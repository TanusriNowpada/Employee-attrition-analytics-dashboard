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4a9161ddf62a91/My Projects/"/>
    </mc:Choice>
  </mc:AlternateContent>
  <xr:revisionPtr revIDLastSave="1" documentId="8_{6CB2F1ED-9F40-4325-B3DE-8ACA14745936}" xr6:coauthVersionLast="47" xr6:coauthVersionMax="47" xr10:uidLastSave="{5DAD8889-4FD1-48CD-BE94-4BD1ADEE5A7C}"/>
  <bookViews>
    <workbookView xWindow="-108" yWindow="-108" windowWidth="23256" windowHeight="12456" activeTab="2" xr2:uid="{DAA6F0DA-3301-4486-843F-17AEB538ED16}"/>
  </bookViews>
  <sheets>
    <sheet name="Employee_Data" sheetId="2" r:id="rId1"/>
    <sheet name="Analysis" sheetId="4" r:id="rId2"/>
    <sheet name="Dashboard" sheetId="3" r:id="rId3"/>
  </sheets>
  <definedNames>
    <definedName name="ExternalData_1" localSheetId="0" hidden="1">Employee_Data!$A$1:$AS$1471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4" l="1"/>
  <c r="I15" i="4" s="1"/>
  <c r="I3" i="4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G3" i="4"/>
  <c r="M3" i="4"/>
  <c r="E25" i="4"/>
  <c r="P16" i="4"/>
  <c r="V21" i="4"/>
  <c r="V20" i="4"/>
  <c r="X9" i="4"/>
  <c r="X8" i="4"/>
  <c r="X10" i="4"/>
  <c r="E31" i="4"/>
  <c r="E32" i="4"/>
  <c r="E26" i="4"/>
  <c r="E28" i="4"/>
  <c r="E29" i="4"/>
  <c r="E30" i="4"/>
  <c r="E33" i="4"/>
  <c r="P19" i="4"/>
  <c r="P18" i="4"/>
  <c r="P20" i="4"/>
  <c r="P17" i="4"/>
  <c r="S33" i="4"/>
  <c r="S34" i="4"/>
  <c r="S35" i="4"/>
  <c r="S32" i="4"/>
  <c r="L31" i="4"/>
  <c r="L32" i="4"/>
  <c r="L30" i="4"/>
  <c r="E27" i="4"/>
  <c r="J16" i="4"/>
  <c r="I16" i="4" s="1"/>
  <c r="J17" i="4"/>
  <c r="I17" i="4" s="1"/>
  <c r="J18" i="4"/>
  <c r="I18" i="4" s="1"/>
  <c r="C3" i="4"/>
  <c r="A3" i="4"/>
  <c r="E3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95EFD-CA9C-4BFE-A8A7-57FA4E7BE228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<sst xmlns="http://schemas.openxmlformats.org/spreadsheetml/2006/main" count="25160" uniqueCount="108">
  <si>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</si>
  <si>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</si>
  <si>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</si>
  <si>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</si>
  <si>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</si>
  <si>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</si>
  <si>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</si>
  <si>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</si>
  <si>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</si>
  <si>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</si>
  <si>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</si>
  <si>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</si>
  <si>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</si>
  <si>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</si>
  <si>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</si>
  <si>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</si>
  <si>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</si>
  <si>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</si>
  <si>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</si>
  <si>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</si>
  <si>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</si>
  <si>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</si>
  <si>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</si>
  <si>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</si>
  <si>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</si>
  <si>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</si>
  <si>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</si>
  <si>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</si>
  <si>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</si>
  <si>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</si>
  <si>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</si>
  <si>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</si>
  <si>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</si>
  <si>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</si>
  <si>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</si>
  <si>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</si>
  <si>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</si>
  <si>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</si>
  <si>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</si>
  <si>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</si>
  <si>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</si>
  <si>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</si>
  <si>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</si>
  <si>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</si>
  <si>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</si>
  <si>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</si>
  <si>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</si>
  <si>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</si>
  <si>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</si>
  <si>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</si>
  <si>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</si>
  <si>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</si>
  <si>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</si>
  <si>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</si>
  <si>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</si>
  <si>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</si>
  <si>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</si>
  <si>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</si>
  <si>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</si>
  <si>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</si>
  <si>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</si>
  <si>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</si>
  <si>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</t>
  </si>
  <si>
    <t>Employees left</t>
  </si>
  <si>
    <t>Attrition Rate</t>
  </si>
  <si>
    <t>Average Monthly income</t>
  </si>
  <si>
    <t>Avg Years At Company</t>
  </si>
  <si>
    <t>Average Job Satisfaction</t>
  </si>
  <si>
    <t>Row Labels</t>
  </si>
  <si>
    <t>Count of EmployeeNumber</t>
  </si>
  <si>
    <t>Column Labels</t>
  </si>
  <si>
    <t>job satsfaction</t>
  </si>
  <si>
    <t>attrition rate</t>
  </si>
  <si>
    <t>Tenuregroup</t>
  </si>
  <si>
    <t>0-4 Years</t>
  </si>
  <si>
    <t>10-14 Years</t>
  </si>
  <si>
    <t>15-24 Years</t>
  </si>
  <si>
    <t>25+ Years</t>
  </si>
  <si>
    <t>5-9 Years</t>
  </si>
  <si>
    <t>Tenure Group</t>
  </si>
  <si>
    <t>Stayed</t>
  </si>
  <si>
    <t>Left</t>
  </si>
  <si>
    <t>Total</t>
  </si>
  <si>
    <t>0–4 Years</t>
  </si>
  <si>
    <t>5–9 Years</t>
  </si>
  <si>
    <t>10–14 Years</t>
  </si>
  <si>
    <t>15–24 Years</t>
  </si>
  <si>
    <t>employee left/total employees</t>
  </si>
  <si>
    <t>Job Role</t>
  </si>
  <si>
    <t>Income group</t>
  </si>
  <si>
    <t>High Income</t>
  </si>
  <si>
    <t>Low Income</t>
  </si>
  <si>
    <t>Medium Income</t>
  </si>
  <si>
    <t>Income Group</t>
  </si>
  <si>
    <t>Work-Life Balance</t>
  </si>
  <si>
    <t>1 (Poor)</t>
  </si>
  <si>
    <t>4 (Best)</t>
  </si>
  <si>
    <t>total</t>
  </si>
  <si>
    <t>Employees Left</t>
  </si>
  <si>
    <t>Income group2</t>
  </si>
  <si>
    <t>Tenuregroup3</t>
  </si>
  <si>
    <t xml:space="preserve"> </t>
  </si>
  <si>
    <t>Income group3</t>
  </si>
  <si>
    <t>Tenuregroup4</t>
  </si>
  <si>
    <t>Income group4</t>
  </si>
  <si>
    <t>Tenuregroup5</t>
  </si>
  <si>
    <t>Income group5</t>
  </si>
  <si>
    <t>Tenuregroup6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</si>
</sst>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2" fontId="0" fillId="0" borderId="0" xfId="0" applyNumberFormat="1"/>
    <xf numFmtId="0" fontId="16" fillId="33" borderId="0" xfId="0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34" borderId="0" xfId="0" applyFill="1"/>
    <xf numFmtId="1" fontId="0" fillId="0" borderId="0" xfId="0" applyNumberFormat="1"/>
    <xf numFmtId="164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" Target="richData/rdrichvalu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chemeClr val="tx1"/>
                </a:solidFill>
              </a:rPr>
              <a:t>Which Job Roles Experience the Highest Attrition Rate?</a:t>
            </a:r>
          </a:p>
        </c:rich>
      </c:tx>
      <c:layout>
        <c:manualLayout>
          <c:xMode val="edge"/>
          <c:yMode val="edge"/>
          <c:x val="0.14910963873418262"/>
          <c:y val="3.9800858226055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1809998359580047"/>
          <c:y val="0.27093137480621937"/>
          <c:w val="0.54384201730643045"/>
          <c:h val="0.625892541941029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Analysis!$E$24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Analysis!$A$25:$A$33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Research Scientist</c:v>
                </c:pt>
                <c:pt idx="5">
                  <c:v>Sales Executive</c:v>
                </c:pt>
                <c:pt idx="6">
                  <c:v>Human Resources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Analysis!$E$25:$E$33</c:f>
              <c:numCache>
                <c:formatCode>0.00%</c:formatCode>
                <c:ptCount val="9"/>
                <c:pt idx="0">
                  <c:v>2.5000000000000001E-2</c:v>
                </c:pt>
                <c:pt idx="1">
                  <c:v>4.9019607843137254E-2</c:v>
                </c:pt>
                <c:pt idx="2">
                  <c:v>6.8702290076335881E-2</c:v>
                </c:pt>
                <c:pt idx="3">
                  <c:v>6.8965517241379309E-2</c:v>
                </c:pt>
                <c:pt idx="4">
                  <c:v>0.16095890410958905</c:v>
                </c:pt>
                <c:pt idx="5">
                  <c:v>0.17484662576687116</c:v>
                </c:pt>
                <c:pt idx="6">
                  <c:v>0.23076923076923078</c:v>
                </c:pt>
                <c:pt idx="7">
                  <c:v>0.23938223938223938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6-478D-9EAF-4E6140B7AE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55430352"/>
        <c:axId val="1055414512"/>
      </c:barChart>
      <c:catAx>
        <c:axId val="105543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14512"/>
        <c:crosses val="autoZero"/>
        <c:auto val="1"/>
        <c:lblAlgn val="ctr"/>
        <c:lblOffset val="100"/>
        <c:noMultiLvlLbl val="0"/>
      </c:catAx>
      <c:valAx>
        <c:axId val="105541451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05543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Which Department Has the Highest Attrition Rate?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477587962323419E-2"/>
          <c:y val="0.21314542889346039"/>
          <c:w val="0.93816750983698705"/>
          <c:h val="0.678374638266370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Analysis!$X$7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Analysis!$T$8:$T$10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Analysis!$X$8:$X$10</c:f>
              <c:numCache>
                <c:formatCode>0.00%</c:formatCode>
                <c:ptCount val="3"/>
                <c:pt idx="0">
                  <c:v>0.20627802690582961</c:v>
                </c:pt>
                <c:pt idx="1">
                  <c:v>0.19047619047619047</c:v>
                </c:pt>
                <c:pt idx="2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5-4C6C-8292-94DAC5F0AD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5458672"/>
        <c:axId val="1055459152"/>
      </c:barChart>
      <c:catAx>
        <c:axId val="105545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59152"/>
        <c:crosses val="autoZero"/>
        <c:auto val="1"/>
        <c:lblAlgn val="ctr"/>
        <c:lblOffset val="100"/>
        <c:noMultiLvlLbl val="0"/>
      </c:catAx>
      <c:valAx>
        <c:axId val="105545915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5545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Does Overtime Increase Employee Attrition?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387900586500764"/>
          <c:y val="4.5112975008558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16890599147386E-2"/>
          <c:y val="0.26560706121412242"/>
          <c:w val="0.9170437405731523"/>
          <c:h val="0.628730702610300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Analysis!$V$19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Analysis!$S$20:$S$21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Analysis!$V$20:$V$21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7-4630-A880-6A98DC6C76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5447152"/>
        <c:axId val="1055451952"/>
      </c:barChart>
      <c:catAx>
        <c:axId val="105544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51952"/>
        <c:crosses val="autoZero"/>
        <c:auto val="1"/>
        <c:lblAlgn val="ctr"/>
        <c:lblOffset val="100"/>
        <c:noMultiLvlLbl val="0"/>
      </c:catAx>
      <c:valAx>
        <c:axId val="105545195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55447152"/>
        <c:crosses val="autoZero"/>
        <c:crossBetween val="between"/>
      </c:valAx>
      <c:spPr>
        <a:noFill/>
        <a:ln w="28575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How Does Income Level Affect Attrition?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03548324065128E-2"/>
          <c:y val="0.17051970339371914"/>
          <c:w val="0.9257759784075573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Analysis!$L$29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Analysis!$G$30:$G$32</c:f>
              <c:strCache>
                <c:ptCount val="3"/>
                <c:pt idx="0">
                  <c:v>Low Income</c:v>
                </c:pt>
                <c:pt idx="1">
                  <c:v>Medium Income</c:v>
                </c:pt>
                <c:pt idx="2">
                  <c:v>High Income</c:v>
                </c:pt>
              </c:strCache>
            </c:strRef>
          </c:cat>
          <c:val>
            <c:numRef>
              <c:f>Analysis!$L$30:$L$32</c:f>
              <c:numCache>
                <c:formatCode>0.00%</c:formatCode>
                <c:ptCount val="3"/>
                <c:pt idx="0">
                  <c:v>0.21762349799732977</c:v>
                </c:pt>
                <c:pt idx="1">
                  <c:v>0.11136363636363636</c:v>
                </c:pt>
                <c:pt idx="2">
                  <c:v>8.8967971530249115E-2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8-4CC3-AE18-E6FC83F43F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5450032"/>
        <c:axId val="1055472112"/>
      </c:barChart>
      <c:catAx>
        <c:axId val="105545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72112"/>
        <c:crosses val="autoZero"/>
        <c:auto val="1"/>
        <c:lblAlgn val="ctr"/>
        <c:lblOffset val="100"/>
        <c:noMultiLvlLbl val="0"/>
      </c:catAx>
      <c:valAx>
        <c:axId val="105547211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55450032"/>
        <c:crosses val="autoZero"/>
        <c:crossBetween val="between"/>
      </c:valAx>
      <c:spPr>
        <a:noFill/>
        <a:ln w="28575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Which Employee Tenure Group Has the Highest Attrition?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335908894964013"/>
          <c:y val="4.7789474685229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10308852902821E-2"/>
          <c:y val="0.24587322926097652"/>
          <c:w val="0.91678166801476857"/>
          <c:h val="0.61452394670178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Analysis!$P$15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Analysis!$L$16:$L$20</c:f>
              <c:strCache>
                <c:ptCount val="5"/>
                <c:pt idx="0">
                  <c:v>0–4 Years</c:v>
                </c:pt>
                <c:pt idx="1">
                  <c:v>25+ Years</c:v>
                </c:pt>
                <c:pt idx="2">
                  <c:v>10–14 Years</c:v>
                </c:pt>
                <c:pt idx="3">
                  <c:v>5–9 Years</c:v>
                </c:pt>
                <c:pt idx="4">
                  <c:v>15–24 Years</c:v>
                </c:pt>
              </c:strCache>
            </c:strRef>
          </c:cat>
          <c:val>
            <c:numRef>
              <c:f>Analysis!$P$16:$P$20</c:f>
              <c:numCache>
                <c:formatCode>0.00%</c:formatCode>
                <c:ptCount val="5"/>
                <c:pt idx="0">
                  <c:v>0.24310344827586206</c:v>
                </c:pt>
                <c:pt idx="1">
                  <c:v>0.13793103448275862</c:v>
                </c:pt>
                <c:pt idx="2">
                  <c:v>0.11538461538461539</c:v>
                </c:pt>
                <c:pt idx="3">
                  <c:v>0.11068702290076336</c:v>
                </c:pt>
                <c:pt idx="4">
                  <c:v>7.7519379844961239E-2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7-40F6-9D1A-7D29D8592E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5415472"/>
        <c:axId val="1055441872"/>
      </c:barChart>
      <c:catAx>
        <c:axId val="105541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41872"/>
        <c:crosses val="autoZero"/>
        <c:auto val="1"/>
        <c:lblAlgn val="ctr"/>
        <c:lblOffset val="100"/>
        <c:noMultiLvlLbl val="0"/>
      </c:catAx>
      <c:valAx>
        <c:axId val="105544187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5541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How Does Job Satisfaction Relate to Attrition?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54035965921893"/>
          <c:y val="1.1529582898523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627791563275438E-2"/>
          <c:y val="0.31855921855921854"/>
          <c:w val="0.9090157154673284"/>
          <c:h val="0.528093603684154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Analysis!$I$14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Analysis!$F$15:$F$18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Analysis!$I$15:$I$18</c:f>
              <c:numCache>
                <c:formatCode>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3-491E-8AA7-26A7883AED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5432752"/>
        <c:axId val="1055434672"/>
      </c:barChart>
      <c:catAx>
        <c:axId val="105543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34672"/>
        <c:crosses val="autoZero"/>
        <c:auto val="1"/>
        <c:lblAlgn val="ctr"/>
        <c:lblOffset val="100"/>
        <c:noMultiLvlLbl val="0"/>
      </c:catAx>
      <c:valAx>
        <c:axId val="10554346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5543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12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6.png"/><Relationship Id="rId5" Type="http://schemas.openxmlformats.org/officeDocument/2006/relationships/chart" Target="../charts/chart5.xml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23</xdr:col>
      <xdr:colOff>190500</xdr:colOff>
      <xdr:row>4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A3C2C1-DF1C-B1FC-B69E-F99C0274A6D4}"/>
            </a:ext>
          </a:extLst>
        </xdr:cNvPr>
        <xdr:cNvSpPr txBox="1"/>
      </xdr:nvSpPr>
      <xdr:spPr>
        <a:xfrm>
          <a:off x="0" y="7620"/>
          <a:ext cx="14211300" cy="79248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>
              <a:solidFill>
                <a:schemeClr val="bg1"/>
              </a:solidFill>
            </a:rPr>
            <a:t>EMPLOYEE ATTRITION ANALYTICS DASHBOARD    </a:t>
          </a:r>
        </a:p>
      </xdr:txBody>
    </xdr:sp>
    <xdr:clientData/>
  </xdr:twoCellAnchor>
  <xdr:twoCellAnchor>
    <xdr:from>
      <xdr:col>0</xdr:col>
      <xdr:colOff>571500</xdr:colOff>
      <xdr:row>5</xdr:row>
      <xdr:rowOff>38100</xdr:rowOff>
    </xdr:from>
    <xdr:to>
      <xdr:col>4</xdr:col>
      <xdr:colOff>83820</xdr:colOff>
      <xdr:row>9</xdr:row>
      <xdr:rowOff>22860</xdr:rowOff>
    </xdr:to>
    <xdr:sp macro="" textlink="Analysis!A3">
      <xdr:nvSpPr>
        <xdr:cNvPr id="3" name="TextBox 2">
          <a:extLst>
            <a:ext uri="{FF2B5EF4-FFF2-40B4-BE49-F238E27FC236}">
              <a16:creationId xmlns:a16="http://schemas.microsoft.com/office/drawing/2014/main" id="{4F997DB2-2988-27C7-7B6D-C6BAB99606CC}"/>
            </a:ext>
          </a:extLst>
        </xdr:cNvPr>
        <xdr:cNvSpPr txBox="1"/>
      </xdr:nvSpPr>
      <xdr:spPr>
        <a:xfrm>
          <a:off x="571500" y="952500"/>
          <a:ext cx="195072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Aptos Narrow"/>
            </a:rPr>
            <a:t>     Total Employees</a:t>
          </a:r>
        </a:p>
        <a:p>
          <a:pPr algn="ctr"/>
          <a:fld id="{FF358976-C55B-4285-BC85-DB10E8C6C0BD}" type="TxLink">
            <a:rPr lang="en-US" sz="2000" b="1" i="0" u="none" strike="noStrike">
              <a:solidFill>
                <a:schemeClr val="tx2">
                  <a:lumMod val="90000"/>
                  <a:lumOff val="10000"/>
                </a:schemeClr>
              </a:solidFill>
              <a:latin typeface="Aptos Narrow"/>
            </a:rPr>
            <a:pPr algn="ctr"/>
            <a:t>1470</a:t>
          </a:fld>
          <a:endParaRPr lang="en-IN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5</xdr:col>
      <xdr:colOff>205740</xdr:colOff>
      <xdr:row>5</xdr:row>
      <xdr:rowOff>22860</xdr:rowOff>
    </xdr:from>
    <xdr:to>
      <xdr:col>8</xdr:col>
      <xdr:colOff>327660</xdr:colOff>
      <xdr:row>9</xdr:row>
      <xdr:rowOff>7620</xdr:rowOff>
    </xdr:to>
    <xdr:sp macro="" textlink="Analysis!C3">
      <xdr:nvSpPr>
        <xdr:cNvPr id="4" name="TextBox 3">
          <a:extLst>
            <a:ext uri="{FF2B5EF4-FFF2-40B4-BE49-F238E27FC236}">
              <a16:creationId xmlns:a16="http://schemas.microsoft.com/office/drawing/2014/main" id="{BEE88469-26A8-3BF4-0D76-1088EA4B5D22}"/>
            </a:ext>
          </a:extLst>
        </xdr:cNvPr>
        <xdr:cNvSpPr txBox="1"/>
      </xdr:nvSpPr>
      <xdr:spPr>
        <a:xfrm>
          <a:off x="3253740" y="937260"/>
          <a:ext cx="195072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Aptos Narrow"/>
            </a:rPr>
            <a:t>Employees Left</a:t>
          </a:r>
        </a:p>
        <a:p>
          <a:pPr algn="ctr"/>
          <a:fld id="{0D437308-461A-4BC2-9B7B-D10A55BEF9CF}" type="TxLink">
            <a:rPr lang="en-US" sz="2000" b="1" i="0" u="none" strike="noStrike">
              <a:solidFill>
                <a:schemeClr val="tx2"/>
              </a:solidFill>
              <a:latin typeface="Aptos Narrow"/>
            </a:rPr>
            <a:pPr algn="ctr"/>
            <a:t>237</a:t>
          </a:fld>
          <a:endParaRPr lang="en-IN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9</xdr:col>
      <xdr:colOff>495300</xdr:colOff>
      <xdr:row>4</xdr:row>
      <xdr:rowOff>175260</xdr:rowOff>
    </xdr:from>
    <xdr:to>
      <xdr:col>13</xdr:col>
      <xdr:colOff>7620</xdr:colOff>
      <xdr:row>8</xdr:row>
      <xdr:rowOff>160020</xdr:rowOff>
    </xdr:to>
    <xdr:sp macro="" textlink="Analysis!E3">
      <xdr:nvSpPr>
        <xdr:cNvPr id="5" name="TextBox 4">
          <a:extLst>
            <a:ext uri="{FF2B5EF4-FFF2-40B4-BE49-F238E27FC236}">
              <a16:creationId xmlns:a16="http://schemas.microsoft.com/office/drawing/2014/main" id="{C3B7F113-CAEB-98A7-203E-D8491F485DD0}"/>
            </a:ext>
          </a:extLst>
        </xdr:cNvPr>
        <xdr:cNvSpPr txBox="1"/>
      </xdr:nvSpPr>
      <xdr:spPr>
        <a:xfrm>
          <a:off x="5981700" y="906780"/>
          <a:ext cx="195072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Aptos Narrow"/>
            </a:rPr>
            <a:t>Attrition Rate</a:t>
          </a:r>
        </a:p>
        <a:p>
          <a:pPr algn="ctr"/>
          <a:fld id="{FA3C9129-EB4D-42F9-B30A-1A6C87475F18}" type="TxLink">
            <a:rPr lang="en-US" sz="2000" b="1" i="0" u="none" strike="noStrike">
              <a:solidFill>
                <a:schemeClr val="tx2"/>
              </a:solidFill>
              <a:latin typeface="Aptos Narrow"/>
            </a:rPr>
            <a:pPr algn="ctr"/>
            <a:t>16%</a:t>
          </a:fld>
          <a:endParaRPr lang="en-IN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14</xdr:col>
      <xdr:colOff>175260</xdr:colOff>
      <xdr:row>4</xdr:row>
      <xdr:rowOff>160020</xdr:rowOff>
    </xdr:from>
    <xdr:to>
      <xdr:col>17</xdr:col>
      <xdr:colOff>297180</xdr:colOff>
      <xdr:row>8</xdr:row>
      <xdr:rowOff>144780</xdr:rowOff>
    </xdr:to>
    <xdr:sp macro="" textlink="Analysis!G3">
      <xdr:nvSpPr>
        <xdr:cNvPr id="6" name="TextBox 5">
          <a:extLst>
            <a:ext uri="{FF2B5EF4-FFF2-40B4-BE49-F238E27FC236}">
              <a16:creationId xmlns:a16="http://schemas.microsoft.com/office/drawing/2014/main" id="{563A7857-F20B-A1C1-9373-0119534EE610}"/>
            </a:ext>
          </a:extLst>
        </xdr:cNvPr>
        <xdr:cNvSpPr txBox="1"/>
      </xdr:nvSpPr>
      <xdr:spPr>
        <a:xfrm>
          <a:off x="8709660" y="891540"/>
          <a:ext cx="195072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 Monthly Income</a:t>
          </a:r>
          <a:endParaRPr lang="en-US" sz="1400" b="0" i="0" u="none" strike="noStrike">
            <a:solidFill>
              <a:srgbClr val="000000"/>
            </a:solidFill>
            <a:latin typeface="Aptos Narrow"/>
          </a:endParaRPr>
        </a:p>
        <a:p>
          <a:pPr algn="ctr"/>
          <a:fld id="{EC0D3975-9D33-4295-AE98-0225968FF3F2}" type="TxLink">
            <a:rPr lang="en-US" sz="2000" b="1" i="0" u="none" strike="noStrike">
              <a:solidFill>
                <a:schemeClr val="tx2"/>
              </a:solidFill>
              <a:latin typeface="Aptos Narrow"/>
            </a:rPr>
            <a:pPr algn="ctr"/>
            <a:t> ₹ 6,503 </a:t>
          </a:fld>
          <a:endParaRPr lang="en-IN" sz="1800" b="1">
            <a:solidFill>
              <a:schemeClr val="tx2"/>
            </a:solidFill>
          </a:endParaRPr>
        </a:p>
      </xdr:txBody>
    </xdr:sp>
    <xdr:clientData/>
  </xdr:twoCellAnchor>
  <xdr:twoCellAnchor>
    <xdr:from>
      <xdr:col>18</xdr:col>
      <xdr:colOff>495300</xdr:colOff>
      <xdr:row>4</xdr:row>
      <xdr:rowOff>160020</xdr:rowOff>
    </xdr:from>
    <xdr:to>
      <xdr:col>22</xdr:col>
      <xdr:colOff>7620</xdr:colOff>
      <xdr:row>8</xdr:row>
      <xdr:rowOff>144780</xdr:rowOff>
    </xdr:to>
    <xdr:sp macro="" textlink="Analysis!M3">
      <xdr:nvSpPr>
        <xdr:cNvPr id="8" name="TextBox 7">
          <a:extLst>
            <a:ext uri="{FF2B5EF4-FFF2-40B4-BE49-F238E27FC236}">
              <a16:creationId xmlns:a16="http://schemas.microsoft.com/office/drawing/2014/main" id="{BB9B2648-461D-A157-C29A-17B6719CEF08}"/>
            </a:ext>
          </a:extLst>
        </xdr:cNvPr>
        <xdr:cNvSpPr txBox="1"/>
      </xdr:nvSpPr>
      <xdr:spPr>
        <a:xfrm>
          <a:off x="11468100" y="891540"/>
          <a:ext cx="195072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Avg Job Satisfaction</a:t>
          </a:r>
          <a:endParaRPr lang="en-IN" sz="1400" b="1">
            <a:effectLst/>
          </a:endParaRPr>
        </a:p>
        <a:p>
          <a:pPr algn="ctr"/>
          <a:fld id="{72CE7B3A-CC82-41CA-8ABA-24832029F372}" type="TxLink">
            <a:rPr lang="en-US" sz="2000" b="1" i="0" u="none" strike="noStrike">
              <a:solidFill>
                <a:schemeClr val="tx2"/>
              </a:solidFill>
              <a:effectLst/>
              <a:latin typeface="Aptos Narrow"/>
              <a:ea typeface="+mn-ea"/>
              <a:cs typeface="+mn-cs"/>
            </a:rPr>
            <a:pPr algn="ctr"/>
            <a:t>2.73 / 4</a:t>
          </a:fld>
          <a:endParaRPr lang="en-IN" sz="2400" b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167640</xdr:colOff>
      <xdr:row>9</xdr:row>
      <xdr:rowOff>175260</xdr:rowOff>
    </xdr:from>
    <xdr:to>
      <xdr:col>6</xdr:col>
      <xdr:colOff>274320</xdr:colOff>
      <xdr:row>23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A5986FE-3841-42BC-ACBB-55B1E36E2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411480</xdr:colOff>
      <xdr:row>9</xdr:row>
      <xdr:rowOff>167640</xdr:rowOff>
    </xdr:from>
    <xdr:to>
      <xdr:col>12</xdr:col>
      <xdr:colOff>601980</xdr:colOff>
      <xdr:row>23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9829D8E-8F6B-427E-9005-21FE92983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121920</xdr:colOff>
      <xdr:row>9</xdr:row>
      <xdr:rowOff>152400</xdr:rowOff>
    </xdr:from>
    <xdr:to>
      <xdr:col>18</xdr:col>
      <xdr:colOff>571500</xdr:colOff>
      <xdr:row>23</xdr:row>
      <xdr:rowOff>144780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D9409F1-CA24-4762-92A2-B21CBDE11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160020</xdr:colOff>
      <xdr:row>24</xdr:row>
      <xdr:rowOff>45720</xdr:rowOff>
    </xdr:from>
    <xdr:to>
      <xdr:col>6</xdr:col>
      <xdr:colOff>289560</xdr:colOff>
      <xdr:row>36</xdr:row>
      <xdr:rowOff>30480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67DB4E7-F270-47B4-B9E6-765072210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426720</xdr:colOff>
      <xdr:row>24</xdr:row>
      <xdr:rowOff>60960</xdr:rowOff>
    </xdr:from>
    <xdr:to>
      <xdr:col>12</xdr:col>
      <xdr:colOff>594360</xdr:colOff>
      <xdr:row>36</xdr:row>
      <xdr:rowOff>53340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724B111-7602-490F-AD16-F8CA173F1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121920</xdr:colOff>
      <xdr:row>24</xdr:row>
      <xdr:rowOff>83820</xdr:rowOff>
    </xdr:from>
    <xdr:to>
      <xdr:col>18</xdr:col>
      <xdr:colOff>556260</xdr:colOff>
      <xdr:row>36</xdr:row>
      <xdr:rowOff>53340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A4B26A4-025E-482A-8955-5398B757B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243840</xdr:colOff>
      <xdr:row>2</xdr:row>
      <xdr:rowOff>91440</xdr:rowOff>
    </xdr:from>
    <xdr:to>
      <xdr:col>16</xdr:col>
      <xdr:colOff>556260</xdr:colOff>
      <xdr:row>4</xdr:row>
      <xdr:rowOff>53340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3F35C78-2C69-978A-0B17-1F135898CF6D}"/>
            </a:ext>
          </a:extLst>
        </xdr:cNvPr>
        <xdr:cNvSpPr txBox="1"/>
      </xdr:nvSpPr>
      <xdr:spPr>
        <a:xfrm>
          <a:off x="3901440" y="457200"/>
          <a:ext cx="6408420" cy="327660"/>
        </a:xfrm>
        <a:prstGeom prst="rect">
          <a:avLst/>
        </a:prstGeom>
        <a:solidFill>
          <a:schemeClr val="tx2"/>
        </a:solidFill>
        <a:ln w="9525" cmpd="sng">
          <a:solidFill>
            <a:schemeClr val="tx2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HR Analytics | IBM HR Employee Attrition Dataset</a:t>
          </a:r>
          <a:endParaRPr lang="en-IN" sz="1600" b="0">
            <a:solidFill>
              <a:schemeClr val="bg1"/>
            </a:solidFill>
          </a:endParaRPr>
        </a:p>
      </xdr:txBody>
    </xdr:sp>
    <xdr:clientData/>
  </xdr:twoCellAnchor>
  <xdr:oneCellAnchor>
    <xdr:from>
      <xdr:col>19</xdr:col>
      <xdr:colOff>76200</xdr:colOff>
      <xdr:row>9</xdr:row>
      <xdr:rowOff>167640</xdr:rowOff>
    </xdr:from>
    <xdr:ext cx="2376000" cy="481584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5CBFCC4-0A0A-BBB7-BDE6-72E148608E38}"/>
            </a:ext>
          </a:extLst>
        </xdr:cNvPr>
        <xdr:cNvSpPr txBox="1"/>
      </xdr:nvSpPr>
      <xdr:spPr>
        <a:xfrm>
          <a:off x="11658600" y="1813560"/>
          <a:ext cx="2376000" cy="481584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 w="28575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80000" tIns="144000" rIns="72000" bIns="0" numCol="1" spcCol="151200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Key </a:t>
          </a:r>
          <a:r>
            <a:rPr lang="en-IN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Recommendations</a:t>
          </a:r>
          <a:endParaRPr lang="en-IN" sz="1600">
            <a:solidFill>
              <a:schemeClr val="bg1"/>
            </a:solidFill>
            <a:effectLst/>
          </a:endParaRPr>
        </a:p>
        <a:p>
          <a:endParaRPr lang="en-IN" sz="1400">
            <a:solidFill>
              <a:schemeClr val="bg1"/>
            </a:solidFill>
          </a:endParaRPr>
        </a:p>
        <a:p>
          <a:r>
            <a:rPr lang="en-IN" sz="1200">
              <a:solidFill>
                <a:schemeClr val="bg1"/>
              </a:solidFill>
            </a:rPr>
            <a:t>➤ </a:t>
          </a:r>
          <a:r>
            <a:rPr lang="en-IN" sz="1200" b="0" i="0">
              <a:solidFill>
                <a:schemeClr val="bg1"/>
              </a:solidFill>
              <a:latin typeface="Aptos Narrow" panose="020B0004020202020204" pitchFamily="34" charset="0"/>
            </a:rPr>
            <a:t>Prioritize retention efforts for Sales Representatives — highest attrition (39.76%). </a:t>
          </a:r>
        </a:p>
        <a:p>
          <a:endParaRPr lang="en-IN" sz="1200" b="0" i="0">
            <a:solidFill>
              <a:schemeClr val="bg1"/>
            </a:solidFill>
            <a:latin typeface="Aptos Narrow" panose="020B0004020202020204" pitchFamily="34" charset="0"/>
          </a:endParaRPr>
        </a:p>
        <a:p>
          <a:r>
            <a:rPr lang="en-IN" sz="1200" b="0" i="0">
              <a:solidFill>
                <a:schemeClr val="bg1"/>
              </a:solidFill>
              <a:latin typeface="Aptos Narrow" panose="020B0004020202020204" pitchFamily="34" charset="0"/>
            </a:rPr>
            <a:t>➤ Review overtime policies — overtime employees have nearly 3× higher attrition.</a:t>
          </a:r>
        </a:p>
        <a:p>
          <a:endParaRPr lang="en-IN" sz="1200" b="0" i="0">
            <a:solidFill>
              <a:schemeClr val="bg1"/>
            </a:solidFill>
            <a:latin typeface="Aptos Narrow" panose="020B0004020202020204" pitchFamily="34" charset="0"/>
          </a:endParaRPr>
        </a:p>
        <a:p>
          <a:r>
            <a:rPr lang="en-IN" sz="1200" b="0" i="0">
              <a:solidFill>
                <a:schemeClr val="bg1"/>
              </a:solidFill>
              <a:latin typeface="Aptos Narrow" panose="020B0004020202020204" pitchFamily="34" charset="0"/>
            </a:rPr>
            <a:t>➤ Strengthen onboarding for new hires — highest attrition in the 0–4 years tenure group.</a:t>
          </a:r>
        </a:p>
        <a:p>
          <a:endParaRPr lang="en-IN" sz="1200" b="0" i="0">
            <a:solidFill>
              <a:schemeClr val="bg1"/>
            </a:solidFill>
            <a:latin typeface="Aptos Narrow" panose="020B0004020202020204" pitchFamily="34" charset="0"/>
          </a:endParaRPr>
        </a:p>
        <a:p>
          <a:r>
            <a:rPr lang="en-IN" sz="1200" b="0" i="0">
              <a:solidFill>
                <a:schemeClr val="bg1"/>
              </a:solidFill>
              <a:latin typeface="Aptos Narrow" panose="020B0004020202020204" pitchFamily="34" charset="0"/>
            </a:rPr>
            <a:t>➤ Review compensation for lower-income employees.</a:t>
          </a:r>
        </a:p>
        <a:p>
          <a:endParaRPr lang="en-IN" sz="1200" b="0" i="0">
            <a:solidFill>
              <a:schemeClr val="bg1"/>
            </a:solidFill>
            <a:latin typeface="Aptos Narrow" panose="020B00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0" i="0">
              <a:solidFill>
                <a:schemeClr val="bg1"/>
              </a:solidFill>
              <a:latin typeface="Aptos Narrow" panose="020B0004020202020204" pitchFamily="34" charset="0"/>
            </a:rPr>
            <a:t>➤ </a:t>
          </a:r>
          <a:r>
            <a:rPr lang="en-IN" sz="1200" b="0">
              <a:solidFill>
                <a:schemeClr val="bg1"/>
              </a:solidFill>
            </a:rPr>
            <a:t>Improve employee engagement initiatives to enhance job satisfaction and reduce employee turnover.</a:t>
          </a:r>
        </a:p>
        <a:p>
          <a:endParaRPr lang="en-IN" sz="16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594360</xdr:colOff>
      <xdr:row>5</xdr:row>
      <xdr:rowOff>22860</xdr:rowOff>
    </xdr:from>
    <xdr:to>
      <xdr:col>1</xdr:col>
      <xdr:colOff>411480</xdr:colOff>
      <xdr:row>7</xdr:row>
      <xdr:rowOff>83820</xdr:rowOff>
    </xdr:to>
    <xdr:pic>
      <xdr:nvPicPr>
        <xdr:cNvPr id="21" name="Graphic 20" descr="Users with solid fill">
          <a:extLst>
            <a:ext uri="{FF2B5EF4-FFF2-40B4-BE49-F238E27FC236}">
              <a16:creationId xmlns:a16="http://schemas.microsoft.com/office/drawing/2014/main" id="{ACF7F4A7-7F3E-7502-DFC7-B6667501A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94360" y="937260"/>
          <a:ext cx="426720" cy="4267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5</xdr:row>
      <xdr:rowOff>83820</xdr:rowOff>
    </xdr:from>
    <xdr:to>
      <xdr:col>5</xdr:col>
      <xdr:colOff>601980</xdr:colOff>
      <xdr:row>7</xdr:row>
      <xdr:rowOff>15240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9E0D7D6-0C5E-B202-D052-396FD8CD6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998220"/>
          <a:ext cx="297180" cy="297180"/>
        </a:xfrm>
        <a:prstGeom prst="rect">
          <a:avLst/>
        </a:prstGeom>
      </xdr:spPr>
    </xdr:pic>
    <xdr:clientData/>
  </xdr:twoCellAnchor>
  <xdr:twoCellAnchor editAs="oneCell">
    <xdr:from>
      <xdr:col>18</xdr:col>
      <xdr:colOff>518160</xdr:colOff>
      <xdr:row>5</xdr:row>
      <xdr:rowOff>7620</xdr:rowOff>
    </xdr:from>
    <xdr:to>
      <xdr:col>19</xdr:col>
      <xdr:colOff>160020</xdr:colOff>
      <xdr:row>6</xdr:row>
      <xdr:rowOff>76200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50ECAAD-0129-4712-87BD-00FF4ACB6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0960" y="92202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4</xdr:row>
      <xdr:rowOff>175260</xdr:rowOff>
    </xdr:from>
    <xdr:to>
      <xdr:col>14</xdr:col>
      <xdr:colOff>518160</xdr:colOff>
      <xdr:row>6</xdr:row>
      <xdr:rowOff>99060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B3765E5-567A-7B8C-C76A-09BD30EA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906780"/>
          <a:ext cx="289560" cy="28956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</xdr:colOff>
      <xdr:row>5</xdr:row>
      <xdr:rowOff>0</xdr:rowOff>
    </xdr:from>
    <xdr:to>
      <xdr:col>10</xdr:col>
      <xdr:colOff>335280</xdr:colOff>
      <xdr:row>6</xdr:row>
      <xdr:rowOff>99060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B0E1F0C-E51D-AA51-B4C7-961161EB2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9340" y="914400"/>
          <a:ext cx="281940" cy="281940"/>
        </a:xfrm>
        <a:prstGeom prst="rect">
          <a:avLst/>
        </a:prstGeom>
        <a:solidFill>
          <a:srgbClr val="C00000"/>
        </a:solidFill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 Tanusri" refreshedDate="46203.490444097224" createdVersion="8" refreshedVersion="8" minRefreshableVersion="3" recordCount="1470" xr:uid="{BAB152FE-711B-4989-B6A2-C43529C50E85}">
  <cacheSource type="worksheet">
    <worksheetSource name="Employee_data"/>
  </cacheSource>
  <cacheFields count="43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Income group" numFmtId="0">
      <sharedItems count="3">
        <s v="Medium Income"/>
        <s v="Low Income"/>
        <s v="High Income"/>
      </sharedItems>
    </cacheField>
    <cacheField name="Income group4" numFmtId="0">
      <sharedItems/>
    </cacheField>
    <cacheField name="Income group3" numFmtId="0">
      <sharedItems/>
    </cacheField>
    <cacheField name="Income group2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enuregroup" numFmtId="0">
      <sharedItems count="5">
        <s v="5-9 Years"/>
        <s v="10-14 Years"/>
        <s v="0-4 Years"/>
        <s v="25+ Years"/>
        <s v="15-24 Years"/>
      </sharedItems>
    </cacheField>
    <cacheField name="TrainingTimesLastYear" numFmtId="0">
      <sharedItems containsSemiMixedTypes="0" containsString="0" containsNumber="1" containsInteger="1" minValue="0" maxValue="6"/>
    </cacheField>
    <cacheField name="Tenuregroup5" numFmtId="0">
      <sharedItems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Tenuregroup4" numFmtId="0">
      <sharedItems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38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Tenuregroup3" numFmtId="0">
      <sharedItems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8752259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n v="5993"/>
    <x v="0"/>
    <s v="Medium Income"/>
    <s v="Medium Income"/>
    <s v="Medium Income"/>
    <n v="19479"/>
    <n v="8"/>
    <s v="Y"/>
    <x v="0"/>
    <n v="11"/>
    <n v="3"/>
    <n v="1"/>
    <n v="80"/>
    <n v="0"/>
    <n v="8"/>
    <x v="0"/>
    <n v="0"/>
    <s v="5-9 Years"/>
    <x v="0"/>
    <s v="5-9 Years"/>
    <x v="0"/>
    <s v="5-9 Years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n v="5130"/>
    <x v="0"/>
    <s v="Medium Income"/>
    <s v="Medium Income"/>
    <s v="Medium Income"/>
    <n v="24907"/>
    <n v="1"/>
    <s v="Y"/>
    <x v="1"/>
    <n v="23"/>
    <n v="4"/>
    <n v="4"/>
    <n v="80"/>
    <n v="1"/>
    <n v="10"/>
    <x v="1"/>
    <n v="3"/>
    <s v="10-14 Years"/>
    <x v="1"/>
    <s v="10-14 Years"/>
    <x v="1"/>
    <s v="10-14 Years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x v="2"/>
    <s v="Single"/>
    <n v="2090"/>
    <x v="1"/>
    <s v="Low Income"/>
    <s v="Low Income"/>
    <s v="Low Income"/>
    <n v="2396"/>
    <n v="6"/>
    <s v="Y"/>
    <x v="0"/>
    <n v="15"/>
    <n v="3"/>
    <n v="2"/>
    <n v="80"/>
    <n v="0"/>
    <n v="7"/>
    <x v="2"/>
    <n v="3"/>
    <s v="0-4 Years"/>
    <x v="1"/>
    <s v="0-4 Years"/>
    <x v="2"/>
    <s v="0-4 Years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n v="2909"/>
    <x v="1"/>
    <s v="Low Income"/>
    <s v="Low Income"/>
    <s v="Low Income"/>
    <n v="23159"/>
    <n v="1"/>
    <s v="Y"/>
    <x v="0"/>
    <n v="11"/>
    <n v="3"/>
    <n v="3"/>
    <n v="80"/>
    <n v="0"/>
    <n v="8"/>
    <x v="0"/>
    <n v="3"/>
    <s v="5-9 Years"/>
    <x v="1"/>
    <s v="5-9 Years"/>
    <x v="3"/>
    <s v="5-9 Years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x v="1"/>
    <s v="Married"/>
    <n v="3468"/>
    <x v="1"/>
    <s v="Low Income"/>
    <s v="Low Income"/>
    <s v="Low Income"/>
    <n v="16632"/>
    <n v="9"/>
    <s v="Y"/>
    <x v="1"/>
    <n v="12"/>
    <n v="3"/>
    <n v="4"/>
    <n v="80"/>
    <n v="1"/>
    <n v="6"/>
    <x v="2"/>
    <n v="3"/>
    <s v="0-4 Years"/>
    <x v="1"/>
    <s v="0-4 Years"/>
    <x v="4"/>
    <s v="0-4 Years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n v="3068"/>
    <x v="1"/>
    <s v="Low Income"/>
    <s v="Low Income"/>
    <s v="Low Income"/>
    <n v="11864"/>
    <n v="0"/>
    <s v="Y"/>
    <x v="1"/>
    <n v="13"/>
    <n v="3"/>
    <n v="3"/>
    <n v="80"/>
    <n v="0"/>
    <n v="8"/>
    <x v="0"/>
    <n v="2"/>
    <s v="5-9 Years"/>
    <x v="2"/>
    <s v="5-9 Years"/>
    <x v="5"/>
    <s v="5-9 Years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n v="2670"/>
    <x v="1"/>
    <s v="Low Income"/>
    <s v="Low Income"/>
    <s v="Low Income"/>
    <n v="9964"/>
    <n v="4"/>
    <s v="Y"/>
    <x v="0"/>
    <n v="20"/>
    <n v="4"/>
    <n v="1"/>
    <n v="80"/>
    <n v="3"/>
    <n v="12"/>
    <x v="2"/>
    <n v="3"/>
    <s v="0-4 Years"/>
    <x v="2"/>
    <s v="0-4 Years"/>
    <x v="6"/>
    <s v="0-4 Years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n v="2693"/>
    <x v="1"/>
    <s v="Low Income"/>
    <s v="Low Income"/>
    <s v="Low Income"/>
    <n v="13335"/>
    <n v="1"/>
    <s v="Y"/>
    <x v="1"/>
    <n v="22"/>
    <n v="4"/>
    <n v="2"/>
    <n v="80"/>
    <n v="1"/>
    <n v="1"/>
    <x v="2"/>
    <n v="2"/>
    <s v="0-4 Years"/>
    <x v="1"/>
    <s v="0-4 Years"/>
    <x v="6"/>
    <s v="0-4 Years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n v="9526"/>
    <x v="0"/>
    <s v="Medium Income"/>
    <s v="Medium Income"/>
    <s v="Medium Income"/>
    <n v="8787"/>
    <n v="0"/>
    <s v="Y"/>
    <x v="1"/>
    <n v="21"/>
    <n v="4"/>
    <n v="2"/>
    <n v="80"/>
    <n v="0"/>
    <n v="10"/>
    <x v="0"/>
    <n v="2"/>
    <s v="5-9 Years"/>
    <x v="1"/>
    <s v="5-9 Years"/>
    <x v="7"/>
    <s v="5-9 Years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n v="5237"/>
    <x v="0"/>
    <s v="Medium Income"/>
    <s v="Medium Income"/>
    <s v="Medium Income"/>
    <n v="16577"/>
    <n v="6"/>
    <s v="Y"/>
    <x v="1"/>
    <n v="13"/>
    <n v="3"/>
    <n v="2"/>
    <n v="80"/>
    <n v="2"/>
    <n v="17"/>
    <x v="0"/>
    <n v="3"/>
    <s v="5-9 Years"/>
    <x v="2"/>
    <s v="5-9 Years"/>
    <x v="5"/>
    <s v="5-9 Years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n v="2426"/>
    <x v="1"/>
    <s v="Low Income"/>
    <s v="Low Income"/>
    <s v="Low Income"/>
    <n v="16479"/>
    <n v="0"/>
    <s v="Y"/>
    <x v="1"/>
    <n v="13"/>
    <n v="3"/>
    <n v="3"/>
    <n v="80"/>
    <n v="1"/>
    <n v="6"/>
    <x v="0"/>
    <n v="5"/>
    <s v="5-9 Years"/>
    <x v="1"/>
    <s v="5-9 Years"/>
    <x v="8"/>
    <s v="5-9 Years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n v="4193"/>
    <x v="1"/>
    <s v="Low Income"/>
    <s v="Low Income"/>
    <s v="Low Income"/>
    <n v="12682"/>
    <n v="0"/>
    <s v="Y"/>
    <x v="0"/>
    <n v="12"/>
    <n v="3"/>
    <n v="4"/>
    <n v="80"/>
    <n v="0"/>
    <n v="10"/>
    <x v="0"/>
    <n v="3"/>
    <s v="5-9 Years"/>
    <x v="1"/>
    <s v="5-9 Years"/>
    <x v="7"/>
    <s v="5-9 Years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n v="2911"/>
    <x v="1"/>
    <s v="Low Income"/>
    <s v="Low Income"/>
    <s v="Low Income"/>
    <n v="15170"/>
    <n v="1"/>
    <s v="Y"/>
    <x v="1"/>
    <n v="17"/>
    <n v="3"/>
    <n v="4"/>
    <n v="80"/>
    <n v="1"/>
    <n v="5"/>
    <x v="0"/>
    <n v="1"/>
    <s v="5-9 Years"/>
    <x v="2"/>
    <s v="5-9 Years"/>
    <x v="8"/>
    <s v="5-9 Years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n v="2661"/>
    <x v="1"/>
    <s v="Low Income"/>
    <s v="Low Income"/>
    <s v="Low Income"/>
    <n v="8758"/>
    <n v="0"/>
    <s v="Y"/>
    <x v="1"/>
    <n v="11"/>
    <n v="3"/>
    <n v="3"/>
    <n v="80"/>
    <n v="1"/>
    <n v="3"/>
    <x v="2"/>
    <n v="2"/>
    <s v="0-4 Years"/>
    <x v="1"/>
    <s v="0-4 Years"/>
    <x v="4"/>
    <s v="0-4 Years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n v="2028"/>
    <x v="1"/>
    <s v="Low Income"/>
    <s v="Low Income"/>
    <s v="Low Income"/>
    <n v="12947"/>
    <n v="5"/>
    <s v="Y"/>
    <x v="0"/>
    <n v="14"/>
    <n v="3"/>
    <n v="2"/>
    <n v="80"/>
    <n v="0"/>
    <n v="6"/>
    <x v="2"/>
    <n v="4"/>
    <s v="0-4 Years"/>
    <x v="1"/>
    <s v="0-4 Years"/>
    <x v="9"/>
    <s v="0-4 Years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n v="9980"/>
    <x v="0"/>
    <s v="Medium Income"/>
    <s v="Medium Income"/>
    <s v="Medium Income"/>
    <n v="10195"/>
    <n v="1"/>
    <s v="Y"/>
    <x v="1"/>
    <n v="11"/>
    <n v="3"/>
    <n v="3"/>
    <n v="80"/>
    <n v="1"/>
    <n v="10"/>
    <x v="1"/>
    <n v="1"/>
    <s v="10-14 Years"/>
    <x v="1"/>
    <s v="10-14 Years"/>
    <x v="1"/>
    <s v="10-14 Years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n v="3298"/>
    <x v="1"/>
    <s v="Low Income"/>
    <s v="Low Income"/>
    <s v="Low Income"/>
    <n v="15053"/>
    <n v="0"/>
    <s v="Y"/>
    <x v="0"/>
    <n v="12"/>
    <n v="3"/>
    <n v="4"/>
    <n v="80"/>
    <n v="2"/>
    <n v="7"/>
    <x v="0"/>
    <n v="5"/>
    <s v="5-9 Years"/>
    <x v="2"/>
    <s v="5-9 Years"/>
    <x v="0"/>
    <s v="5-9 Years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n v="2935"/>
    <x v="1"/>
    <s v="Low Income"/>
    <s v="Low Income"/>
    <s v="Low Income"/>
    <n v="7324"/>
    <n v="1"/>
    <s v="Y"/>
    <x v="0"/>
    <n v="13"/>
    <n v="3"/>
    <n v="2"/>
    <n v="80"/>
    <n v="2"/>
    <n v="1"/>
    <x v="2"/>
    <n v="2"/>
    <s v="0-4 Years"/>
    <x v="2"/>
    <s v="0-4 Years"/>
    <x v="6"/>
    <s v="0-4 Years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n v="15427"/>
    <x v="2"/>
    <s v="High Income"/>
    <s v="High Income"/>
    <s v="High Income"/>
    <n v="22021"/>
    <n v="2"/>
    <s v="Y"/>
    <x v="1"/>
    <n v="16"/>
    <n v="3"/>
    <n v="3"/>
    <n v="80"/>
    <n v="0"/>
    <n v="31"/>
    <x v="3"/>
    <n v="3"/>
    <s v="25+ Years"/>
    <x v="1"/>
    <s v="25+ Years"/>
    <x v="10"/>
    <s v="25+ Years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n v="3944"/>
    <x v="1"/>
    <s v="Low Income"/>
    <s v="Low Income"/>
    <s v="Low Income"/>
    <n v="4306"/>
    <n v="5"/>
    <s v="Y"/>
    <x v="0"/>
    <n v="11"/>
    <n v="3"/>
    <n v="3"/>
    <n v="80"/>
    <n v="0"/>
    <n v="6"/>
    <x v="2"/>
    <n v="3"/>
    <s v="0-4 Years"/>
    <x v="1"/>
    <s v="0-4 Years"/>
    <x v="11"/>
    <s v="0-4 Years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x v="2"/>
    <s v="Divorced"/>
    <n v="4011"/>
    <x v="1"/>
    <s v="Low Income"/>
    <s v="Low Income"/>
    <s v="Low Income"/>
    <n v="8232"/>
    <n v="0"/>
    <s v="Y"/>
    <x v="1"/>
    <n v="18"/>
    <n v="3"/>
    <n v="4"/>
    <n v="80"/>
    <n v="1"/>
    <n v="5"/>
    <x v="2"/>
    <n v="5"/>
    <s v="0-4 Years"/>
    <x v="2"/>
    <s v="0-4 Years"/>
    <x v="9"/>
    <s v="0-4 Years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n v="3407"/>
    <x v="1"/>
    <s v="Low Income"/>
    <s v="Low Income"/>
    <s v="Low Income"/>
    <n v="6986"/>
    <n v="7"/>
    <s v="Y"/>
    <x v="1"/>
    <n v="23"/>
    <n v="4"/>
    <n v="2"/>
    <n v="80"/>
    <n v="0"/>
    <n v="10"/>
    <x v="0"/>
    <n v="4"/>
    <s v="5-9 Years"/>
    <x v="1"/>
    <s v="5-9 Years"/>
    <x v="8"/>
    <s v="5-9 Years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n v="11994"/>
    <x v="2"/>
    <s v="High Income"/>
    <s v="High Income"/>
    <s v="High Income"/>
    <n v="21293"/>
    <n v="0"/>
    <s v="Y"/>
    <x v="1"/>
    <n v="11"/>
    <n v="3"/>
    <n v="3"/>
    <n v="80"/>
    <n v="0"/>
    <n v="13"/>
    <x v="1"/>
    <n v="4"/>
    <s v="10-14 Years"/>
    <x v="1"/>
    <s v="10-14 Years"/>
    <x v="12"/>
    <s v="10-14 Years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n v="1232"/>
    <x v="1"/>
    <s v="Low Income"/>
    <s v="Low Income"/>
    <s v="Low Income"/>
    <n v="19281"/>
    <n v="1"/>
    <s v="Y"/>
    <x v="1"/>
    <n v="14"/>
    <n v="3"/>
    <n v="4"/>
    <n v="80"/>
    <n v="0"/>
    <n v="0"/>
    <x v="2"/>
    <n v="6"/>
    <s v="0-4 Years"/>
    <x v="1"/>
    <s v="0-4 Years"/>
    <x v="2"/>
    <s v="0-4 Years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x v="3"/>
    <s v="Single"/>
    <n v="2960"/>
    <x v="1"/>
    <s v="Low Income"/>
    <s v="Low Income"/>
    <s v="Low Income"/>
    <n v="17102"/>
    <n v="2"/>
    <s v="Y"/>
    <x v="1"/>
    <n v="11"/>
    <n v="3"/>
    <n v="3"/>
    <n v="80"/>
    <n v="0"/>
    <n v="8"/>
    <x v="2"/>
    <n v="2"/>
    <s v="0-4 Years"/>
    <x v="1"/>
    <s v="0-4 Years"/>
    <x v="9"/>
    <s v="0-4 Years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n v="19094"/>
    <x v="2"/>
    <s v="High Income"/>
    <s v="High Income"/>
    <s v="High Income"/>
    <n v="10735"/>
    <n v="4"/>
    <s v="Y"/>
    <x v="1"/>
    <n v="11"/>
    <n v="3"/>
    <n v="4"/>
    <n v="80"/>
    <n v="1"/>
    <n v="26"/>
    <x v="1"/>
    <n v="3"/>
    <s v="10-14 Years"/>
    <x v="2"/>
    <s v="10-14 Years"/>
    <x v="13"/>
    <s v="10-14 Years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n v="3919"/>
    <x v="1"/>
    <s v="Low Income"/>
    <s v="Low Income"/>
    <s v="Low Income"/>
    <n v="4681"/>
    <n v="1"/>
    <s v="Y"/>
    <x v="0"/>
    <n v="22"/>
    <n v="4"/>
    <n v="2"/>
    <n v="80"/>
    <n v="0"/>
    <n v="10"/>
    <x v="1"/>
    <n v="5"/>
    <s v="10-14 Years"/>
    <x v="1"/>
    <s v="10-14 Years"/>
    <x v="1"/>
    <s v="10-14 Years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n v="6825"/>
    <x v="0"/>
    <s v="Medium Income"/>
    <s v="Medium Income"/>
    <s v="Medium Income"/>
    <n v="21173"/>
    <n v="0"/>
    <s v="Y"/>
    <x v="1"/>
    <n v="11"/>
    <n v="3"/>
    <n v="4"/>
    <n v="80"/>
    <n v="1"/>
    <n v="10"/>
    <x v="0"/>
    <n v="2"/>
    <s v="5-9 Years"/>
    <x v="1"/>
    <s v="5-9 Years"/>
    <x v="7"/>
    <s v="5-9 Years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n v="10248"/>
    <x v="2"/>
    <s v="High Income"/>
    <s v="High Income"/>
    <s v="High Income"/>
    <n v="2094"/>
    <n v="3"/>
    <s v="Y"/>
    <x v="1"/>
    <n v="14"/>
    <n v="3"/>
    <n v="4"/>
    <n v="80"/>
    <n v="1"/>
    <n v="24"/>
    <x v="4"/>
    <n v="4"/>
    <s v="15-24 Years"/>
    <x v="1"/>
    <s v="15-24 Years"/>
    <x v="14"/>
    <s v="15-24 Years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n v="18947"/>
    <x v="2"/>
    <s v="High Income"/>
    <s v="High Income"/>
    <s v="High Income"/>
    <n v="22822"/>
    <n v="3"/>
    <s v="Y"/>
    <x v="1"/>
    <n v="12"/>
    <n v="3"/>
    <n v="4"/>
    <n v="80"/>
    <n v="0"/>
    <n v="22"/>
    <x v="2"/>
    <n v="2"/>
    <s v="0-4 Years"/>
    <x v="2"/>
    <s v="0-4 Years"/>
    <x v="4"/>
    <s v="0-4 Years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x v="0"/>
    <s v="Single"/>
    <n v="2496"/>
    <x v="1"/>
    <s v="Low Income"/>
    <s v="Low Income"/>
    <s v="Low Income"/>
    <n v="6670"/>
    <n v="4"/>
    <s v="Y"/>
    <x v="1"/>
    <n v="11"/>
    <n v="3"/>
    <n v="4"/>
    <n v="80"/>
    <n v="0"/>
    <n v="7"/>
    <x v="2"/>
    <n v="3"/>
    <s v="0-4 Years"/>
    <x v="1"/>
    <s v="0-4 Years"/>
    <x v="6"/>
    <s v="0-4 Years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n v="6465"/>
    <x v="0"/>
    <s v="Medium Income"/>
    <s v="Medium Income"/>
    <s v="Medium Income"/>
    <n v="19121"/>
    <n v="2"/>
    <s v="Y"/>
    <x v="0"/>
    <n v="13"/>
    <n v="3"/>
    <n v="4"/>
    <n v="80"/>
    <n v="0"/>
    <n v="9"/>
    <x v="2"/>
    <n v="5"/>
    <s v="0-4 Years"/>
    <x v="3"/>
    <s v="0-4 Years"/>
    <x v="9"/>
    <s v="0-4 Years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x v="2"/>
    <s v="Single"/>
    <n v="2206"/>
    <x v="1"/>
    <s v="Low Income"/>
    <s v="Low Income"/>
    <s v="Low Income"/>
    <n v="16117"/>
    <n v="1"/>
    <s v="Y"/>
    <x v="1"/>
    <n v="13"/>
    <n v="3"/>
    <n v="1"/>
    <n v="80"/>
    <n v="0"/>
    <n v="10"/>
    <x v="1"/>
    <n v="5"/>
    <s v="10-14 Years"/>
    <x v="1"/>
    <s v="10-14 Years"/>
    <x v="1"/>
    <s v="10-14 Years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n v="2086"/>
    <x v="1"/>
    <s v="Low Income"/>
    <s v="Low Income"/>
    <s v="Low Income"/>
    <n v="3335"/>
    <n v="3"/>
    <s v="Y"/>
    <x v="1"/>
    <n v="14"/>
    <n v="3"/>
    <n v="3"/>
    <n v="80"/>
    <n v="1"/>
    <n v="19"/>
    <x v="2"/>
    <n v="6"/>
    <s v="0-4 Years"/>
    <x v="3"/>
    <s v="0-4 Years"/>
    <x v="6"/>
    <s v="0-4 Years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n v="2293"/>
    <x v="1"/>
    <s v="Low Income"/>
    <s v="Low Income"/>
    <s v="Low Income"/>
    <n v="3020"/>
    <n v="2"/>
    <s v="Y"/>
    <x v="0"/>
    <n v="16"/>
    <n v="3"/>
    <n v="1"/>
    <n v="80"/>
    <n v="1"/>
    <n v="6"/>
    <x v="2"/>
    <n v="2"/>
    <s v="0-4 Years"/>
    <x v="2"/>
    <s v="0-4 Years"/>
    <x v="4"/>
    <s v="0-4 Years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n v="2645"/>
    <x v="1"/>
    <s v="Low Income"/>
    <s v="Low Income"/>
    <s v="Low Income"/>
    <n v="21923"/>
    <n v="1"/>
    <s v="Y"/>
    <x v="1"/>
    <n v="12"/>
    <n v="3"/>
    <n v="4"/>
    <n v="80"/>
    <n v="2"/>
    <n v="6"/>
    <x v="0"/>
    <n v="3"/>
    <s v="5-9 Years"/>
    <x v="2"/>
    <s v="5-9 Years"/>
    <x v="8"/>
    <s v="5-9 Years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n v="2683"/>
    <x v="1"/>
    <s v="Low Income"/>
    <s v="Low Income"/>
    <s v="Low Income"/>
    <n v="3810"/>
    <n v="1"/>
    <s v="Y"/>
    <x v="0"/>
    <n v="14"/>
    <n v="3"/>
    <n v="3"/>
    <n v="80"/>
    <n v="0"/>
    <n v="3"/>
    <x v="2"/>
    <n v="2"/>
    <s v="0-4 Years"/>
    <x v="1"/>
    <s v="0-4 Years"/>
    <x v="11"/>
    <s v="0-4 Years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n v="2014"/>
    <x v="1"/>
    <s v="Low Income"/>
    <s v="Low Income"/>
    <s v="Low Income"/>
    <n v="9687"/>
    <n v="1"/>
    <s v="Y"/>
    <x v="1"/>
    <n v="13"/>
    <n v="3"/>
    <n v="1"/>
    <n v="80"/>
    <n v="0"/>
    <n v="2"/>
    <x v="2"/>
    <n v="3"/>
    <s v="0-4 Years"/>
    <x v="1"/>
    <s v="0-4 Years"/>
    <x v="4"/>
    <s v="0-4 Years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n v="3419"/>
    <x v="1"/>
    <s v="Low Income"/>
    <s v="Low Income"/>
    <s v="Low Income"/>
    <n v="13072"/>
    <n v="9"/>
    <s v="Y"/>
    <x v="0"/>
    <n v="14"/>
    <n v="3"/>
    <n v="4"/>
    <n v="80"/>
    <n v="1"/>
    <n v="6"/>
    <x v="2"/>
    <n v="3"/>
    <s v="0-4 Years"/>
    <x v="3"/>
    <s v="0-4 Years"/>
    <x v="6"/>
    <s v="0-4 Years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n v="5376"/>
    <x v="0"/>
    <s v="Medium Income"/>
    <s v="Medium Income"/>
    <s v="Medium Income"/>
    <n v="3193"/>
    <n v="2"/>
    <s v="Y"/>
    <x v="1"/>
    <n v="19"/>
    <n v="3"/>
    <n v="1"/>
    <n v="80"/>
    <n v="2"/>
    <n v="10"/>
    <x v="0"/>
    <n v="3"/>
    <s v="5-9 Years"/>
    <x v="1"/>
    <s v="5-9 Years"/>
    <x v="8"/>
    <s v="5-9 Years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x v="0"/>
    <s v="Divorced"/>
    <n v="1951"/>
    <x v="1"/>
    <s v="Low Income"/>
    <s v="Low Income"/>
    <s v="Low Income"/>
    <n v="10910"/>
    <n v="1"/>
    <s v="Y"/>
    <x v="1"/>
    <n v="12"/>
    <n v="3"/>
    <n v="3"/>
    <n v="80"/>
    <n v="1"/>
    <n v="1"/>
    <x v="2"/>
    <n v="3"/>
    <s v="0-4 Years"/>
    <x v="1"/>
    <s v="0-4 Years"/>
    <x v="6"/>
    <s v="0-4 Years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n v="2341"/>
    <x v="1"/>
    <s v="Low Income"/>
    <s v="Low Income"/>
    <s v="Low Income"/>
    <n v="19715"/>
    <n v="1"/>
    <s v="Y"/>
    <x v="1"/>
    <n v="13"/>
    <n v="3"/>
    <n v="4"/>
    <n v="80"/>
    <n v="1"/>
    <n v="1"/>
    <x v="2"/>
    <n v="6"/>
    <s v="0-4 Years"/>
    <x v="1"/>
    <s v="0-4 Years"/>
    <x v="6"/>
    <s v="0-4 Years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n v="2293"/>
    <x v="1"/>
    <s v="Low Income"/>
    <s v="Low Income"/>
    <s v="Low Income"/>
    <n v="10558"/>
    <n v="1"/>
    <s v="Y"/>
    <x v="1"/>
    <n v="12"/>
    <n v="3"/>
    <n v="3"/>
    <n v="80"/>
    <n v="0"/>
    <n v="1"/>
    <x v="2"/>
    <n v="2"/>
    <s v="0-4 Years"/>
    <x v="2"/>
    <s v="0-4 Years"/>
    <x v="6"/>
    <s v="0-4 Years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n v="8726"/>
    <x v="0"/>
    <s v="Medium Income"/>
    <s v="Medium Income"/>
    <s v="Medium Income"/>
    <n v="2975"/>
    <n v="1"/>
    <s v="Y"/>
    <x v="1"/>
    <n v="15"/>
    <n v="3"/>
    <n v="4"/>
    <n v="80"/>
    <n v="0"/>
    <n v="9"/>
    <x v="0"/>
    <n v="0"/>
    <s v="5-9 Years"/>
    <x v="1"/>
    <s v="5-9 Years"/>
    <x v="7"/>
    <s v="5-9 Years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n v="4011"/>
    <x v="1"/>
    <s v="Low Income"/>
    <s v="Low Income"/>
    <s v="Low Income"/>
    <n v="10781"/>
    <n v="1"/>
    <s v="Y"/>
    <x v="1"/>
    <n v="23"/>
    <n v="4"/>
    <n v="4"/>
    <n v="80"/>
    <n v="0"/>
    <n v="12"/>
    <x v="1"/>
    <n v="2"/>
    <s v="10-14 Years"/>
    <x v="1"/>
    <s v="10-14 Years"/>
    <x v="12"/>
    <s v="10-14 Years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n v="19545"/>
    <x v="2"/>
    <s v="High Income"/>
    <s v="High Income"/>
    <s v="High Income"/>
    <n v="16280"/>
    <n v="1"/>
    <s v="Y"/>
    <x v="1"/>
    <n v="12"/>
    <n v="3"/>
    <n v="4"/>
    <n v="80"/>
    <n v="0"/>
    <n v="23"/>
    <x v="4"/>
    <n v="0"/>
    <s v="15-24 Years"/>
    <x v="1"/>
    <s v="15-24 Years"/>
    <x v="14"/>
    <s v="15-24 Years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n v="4568"/>
    <x v="1"/>
    <s v="Low Income"/>
    <s v="Low Income"/>
    <s v="Low Income"/>
    <n v="10034"/>
    <n v="0"/>
    <s v="Y"/>
    <x v="1"/>
    <n v="20"/>
    <n v="4"/>
    <n v="3"/>
    <n v="80"/>
    <n v="0"/>
    <n v="10"/>
    <x v="0"/>
    <n v="2"/>
    <s v="5-9 Years"/>
    <x v="1"/>
    <s v="5-9 Years"/>
    <x v="7"/>
    <s v="5-9 Years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n v="3022"/>
    <x v="1"/>
    <s v="Low Income"/>
    <s v="Low Income"/>
    <s v="Low Income"/>
    <n v="10227"/>
    <n v="4"/>
    <s v="Y"/>
    <x v="1"/>
    <n v="21"/>
    <n v="4"/>
    <n v="1"/>
    <n v="80"/>
    <n v="0"/>
    <n v="8"/>
    <x v="2"/>
    <n v="1"/>
    <s v="0-4 Years"/>
    <x v="1"/>
    <s v="0-4 Years"/>
    <x v="6"/>
    <s v="0-4 Years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n v="5772"/>
    <x v="0"/>
    <s v="Medium Income"/>
    <s v="Medium Income"/>
    <s v="Medium Income"/>
    <n v="20445"/>
    <n v="4"/>
    <s v="Y"/>
    <x v="0"/>
    <n v="21"/>
    <n v="4"/>
    <n v="3"/>
    <n v="80"/>
    <n v="0"/>
    <n v="14"/>
    <x v="0"/>
    <n v="4"/>
    <s v="5-9 Years"/>
    <x v="1"/>
    <s v="5-9 Years"/>
    <x v="7"/>
    <s v="5-9 Years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n v="2269"/>
    <x v="1"/>
    <s v="Low Income"/>
    <s v="Low Income"/>
    <s v="Low Income"/>
    <n v="4892"/>
    <n v="1"/>
    <s v="Y"/>
    <x v="1"/>
    <n v="19"/>
    <n v="3"/>
    <n v="4"/>
    <n v="80"/>
    <n v="0"/>
    <n v="1"/>
    <x v="2"/>
    <n v="2"/>
    <s v="0-4 Years"/>
    <x v="1"/>
    <s v="0-4 Years"/>
    <x v="6"/>
    <s v="0-4 Years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n v="5381"/>
    <x v="0"/>
    <s v="Medium Income"/>
    <s v="Medium Income"/>
    <s v="Medium Income"/>
    <n v="19294"/>
    <n v="9"/>
    <s v="Y"/>
    <x v="0"/>
    <n v="13"/>
    <n v="3"/>
    <n v="4"/>
    <n v="80"/>
    <n v="0"/>
    <n v="23"/>
    <x v="2"/>
    <n v="2"/>
    <s v="0-4 Years"/>
    <x v="1"/>
    <s v="0-4 Years"/>
    <x v="6"/>
    <s v="0-4 Years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n v="3441"/>
    <x v="1"/>
    <s v="Low Income"/>
    <s v="Low Income"/>
    <s v="Low Income"/>
    <n v="11179"/>
    <n v="1"/>
    <s v="Y"/>
    <x v="0"/>
    <n v="13"/>
    <n v="3"/>
    <n v="3"/>
    <n v="80"/>
    <n v="0"/>
    <n v="2"/>
    <x v="2"/>
    <n v="3"/>
    <s v="0-4 Years"/>
    <x v="2"/>
    <s v="0-4 Years"/>
    <x v="4"/>
    <s v="0-4 Years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n v="5454"/>
    <x v="0"/>
    <s v="Medium Income"/>
    <s v="Medium Income"/>
    <s v="Medium Income"/>
    <n v="4009"/>
    <n v="5"/>
    <s v="Y"/>
    <x v="0"/>
    <n v="21"/>
    <n v="4"/>
    <n v="3"/>
    <n v="80"/>
    <n v="1"/>
    <n v="9"/>
    <x v="2"/>
    <n v="2"/>
    <s v="0-4 Years"/>
    <x v="2"/>
    <s v="0-4 Years"/>
    <x v="9"/>
    <s v="0-4 Years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x v="3"/>
    <s v="Married"/>
    <n v="9884"/>
    <x v="0"/>
    <s v="Medium Income"/>
    <s v="Medium Income"/>
    <s v="Medium Income"/>
    <n v="8302"/>
    <n v="2"/>
    <s v="Y"/>
    <x v="0"/>
    <n v="13"/>
    <n v="3"/>
    <n v="3"/>
    <n v="80"/>
    <n v="1"/>
    <n v="10"/>
    <x v="2"/>
    <n v="3"/>
    <s v="0-4 Years"/>
    <x v="1"/>
    <s v="0-4 Years"/>
    <x v="9"/>
    <s v="0-4 Years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n v="4157"/>
    <x v="1"/>
    <s v="Low Income"/>
    <s v="Low Income"/>
    <s v="Low Income"/>
    <n v="21436"/>
    <n v="7"/>
    <s v="Y"/>
    <x v="0"/>
    <n v="19"/>
    <n v="3"/>
    <n v="3"/>
    <n v="80"/>
    <n v="1"/>
    <n v="5"/>
    <x v="2"/>
    <n v="2"/>
    <s v="0-4 Years"/>
    <x v="2"/>
    <s v="0-4 Years"/>
    <x v="4"/>
    <s v="0-4 Years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n v="13458"/>
    <x v="2"/>
    <s v="High Income"/>
    <s v="High Income"/>
    <s v="High Income"/>
    <n v="15146"/>
    <n v="1"/>
    <s v="Y"/>
    <x v="0"/>
    <n v="12"/>
    <n v="3"/>
    <n v="3"/>
    <n v="80"/>
    <n v="0"/>
    <n v="15"/>
    <x v="4"/>
    <n v="1"/>
    <s v="15-24 Years"/>
    <x v="1"/>
    <s v="15-24 Years"/>
    <x v="15"/>
    <s v="15-24 Years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n v="9069"/>
    <x v="0"/>
    <s v="Medium Income"/>
    <s v="Medium Income"/>
    <s v="Medium Income"/>
    <n v="11031"/>
    <n v="1"/>
    <s v="Y"/>
    <x v="1"/>
    <n v="22"/>
    <n v="4"/>
    <n v="4"/>
    <n v="80"/>
    <n v="1"/>
    <n v="9"/>
    <x v="0"/>
    <n v="3"/>
    <s v="5-9 Years"/>
    <x v="2"/>
    <s v="5-9 Years"/>
    <x v="7"/>
    <s v="5-9 Years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n v="4014"/>
    <x v="1"/>
    <s v="Low Income"/>
    <s v="Low Income"/>
    <s v="Low Income"/>
    <n v="16002"/>
    <n v="3"/>
    <s v="Y"/>
    <x v="0"/>
    <n v="15"/>
    <n v="3"/>
    <n v="3"/>
    <n v="80"/>
    <n v="1"/>
    <n v="4"/>
    <x v="2"/>
    <n v="3"/>
    <s v="0-4 Years"/>
    <x v="1"/>
    <s v="0-4 Years"/>
    <x v="4"/>
    <s v="0-4 Years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n v="5915"/>
    <x v="0"/>
    <s v="Medium Income"/>
    <s v="Medium Income"/>
    <s v="Medium Income"/>
    <n v="9528"/>
    <n v="3"/>
    <s v="Y"/>
    <x v="1"/>
    <n v="22"/>
    <n v="4"/>
    <n v="4"/>
    <n v="80"/>
    <n v="1"/>
    <n v="10"/>
    <x v="0"/>
    <n v="3"/>
    <s v="5-9 Years"/>
    <x v="2"/>
    <s v="5-9 Years"/>
    <x v="5"/>
    <s v="5-9 Years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n v="5993"/>
    <x v="0"/>
    <s v="Medium Income"/>
    <s v="Medium Income"/>
    <s v="Medium Income"/>
    <n v="2689"/>
    <n v="1"/>
    <s v="Y"/>
    <x v="1"/>
    <n v="18"/>
    <n v="3"/>
    <n v="3"/>
    <n v="80"/>
    <n v="1"/>
    <n v="7"/>
    <x v="0"/>
    <n v="2"/>
    <s v="5-9 Years"/>
    <x v="3"/>
    <s v="5-9 Years"/>
    <x v="5"/>
    <s v="5-9 Years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n v="6162"/>
    <x v="0"/>
    <s v="Medium Income"/>
    <s v="Medium Income"/>
    <s v="Medium Income"/>
    <n v="10877"/>
    <n v="1"/>
    <s v="Y"/>
    <x v="0"/>
    <n v="22"/>
    <n v="4"/>
    <n v="2"/>
    <n v="80"/>
    <n v="1"/>
    <n v="9"/>
    <x v="0"/>
    <n v="3"/>
    <s v="5-9 Years"/>
    <x v="1"/>
    <s v="5-9 Years"/>
    <x v="7"/>
    <s v="5-9 Years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n v="2406"/>
    <x v="1"/>
    <s v="Low Income"/>
    <s v="Low Income"/>
    <s v="Low Income"/>
    <n v="5456"/>
    <n v="1"/>
    <s v="Y"/>
    <x v="1"/>
    <n v="11"/>
    <n v="3"/>
    <n v="4"/>
    <n v="80"/>
    <n v="0"/>
    <n v="10"/>
    <x v="1"/>
    <n v="2"/>
    <s v="10-14 Years"/>
    <x v="1"/>
    <s v="10-14 Years"/>
    <x v="1"/>
    <s v="10-14 Years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n v="18740"/>
    <x v="2"/>
    <s v="High Income"/>
    <s v="High Income"/>
    <s v="High Income"/>
    <n v="16701"/>
    <n v="5"/>
    <s v="Y"/>
    <x v="0"/>
    <n v="12"/>
    <n v="3"/>
    <n v="4"/>
    <n v="80"/>
    <n v="1"/>
    <n v="29"/>
    <x v="3"/>
    <n v="2"/>
    <s v="25+ Years"/>
    <x v="2"/>
    <s v="25+ Years"/>
    <x v="16"/>
    <s v="25+ Years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n v="7637"/>
    <x v="0"/>
    <s v="Medium Income"/>
    <s v="Medium Income"/>
    <s v="Medium Income"/>
    <n v="2354"/>
    <n v="7"/>
    <s v="Y"/>
    <x v="1"/>
    <n v="11"/>
    <n v="3"/>
    <n v="4"/>
    <n v="80"/>
    <n v="0"/>
    <n v="28"/>
    <x v="4"/>
    <n v="3"/>
    <s v="15-24 Years"/>
    <x v="2"/>
    <s v="15-24 Years"/>
    <x v="17"/>
    <s v="15-24 Years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n v="10096"/>
    <x v="2"/>
    <s v="High Income"/>
    <s v="High Income"/>
    <s v="High Income"/>
    <n v="8202"/>
    <n v="1"/>
    <s v="Y"/>
    <x v="1"/>
    <n v="13"/>
    <n v="3"/>
    <n v="2"/>
    <n v="80"/>
    <n v="3"/>
    <n v="17"/>
    <x v="4"/>
    <n v="2"/>
    <s v="15-24 Years"/>
    <x v="1"/>
    <s v="15-24 Years"/>
    <x v="18"/>
    <s v="15-24 Years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n v="14756"/>
    <x v="2"/>
    <s v="High Income"/>
    <s v="High Income"/>
    <s v="High Income"/>
    <n v="19730"/>
    <n v="2"/>
    <s v="Y"/>
    <x v="0"/>
    <n v="14"/>
    <n v="3"/>
    <n v="3"/>
    <n v="80"/>
    <n v="3"/>
    <n v="21"/>
    <x v="0"/>
    <n v="2"/>
    <s v="5-9 Years"/>
    <x v="1"/>
    <s v="5-9 Years"/>
    <x v="8"/>
    <s v="5-9 Years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n v="6499"/>
    <x v="0"/>
    <s v="Medium Income"/>
    <s v="Medium Income"/>
    <s v="Medium Income"/>
    <n v="22656"/>
    <n v="1"/>
    <s v="Y"/>
    <x v="1"/>
    <n v="13"/>
    <n v="3"/>
    <n v="3"/>
    <n v="80"/>
    <n v="0"/>
    <n v="6"/>
    <x v="0"/>
    <n v="3"/>
    <s v="5-9 Years"/>
    <x v="1"/>
    <s v="5-9 Years"/>
    <x v="0"/>
    <s v="5-9 Years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n v="9724"/>
    <x v="0"/>
    <s v="Medium Income"/>
    <s v="Medium Income"/>
    <s v="Medium Income"/>
    <n v="18787"/>
    <n v="2"/>
    <s v="Y"/>
    <x v="1"/>
    <n v="17"/>
    <n v="3"/>
    <n v="3"/>
    <n v="80"/>
    <n v="1"/>
    <n v="25"/>
    <x v="2"/>
    <n v="2"/>
    <s v="0-4 Years"/>
    <x v="1"/>
    <s v="0-4 Years"/>
    <x v="6"/>
    <s v="0-4 Years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n v="2194"/>
    <x v="1"/>
    <s v="Low Income"/>
    <s v="Low Income"/>
    <s v="Low Income"/>
    <n v="5868"/>
    <n v="4"/>
    <s v="Y"/>
    <x v="1"/>
    <n v="13"/>
    <n v="3"/>
    <n v="4"/>
    <n v="80"/>
    <n v="1"/>
    <n v="5"/>
    <x v="2"/>
    <n v="2"/>
    <s v="0-4 Years"/>
    <x v="2"/>
    <s v="0-4 Years"/>
    <x v="11"/>
    <s v="0-4 Years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n v="3388"/>
    <x v="1"/>
    <s v="Low Income"/>
    <s v="Low Income"/>
    <s v="Low Income"/>
    <n v="21777"/>
    <n v="0"/>
    <s v="Y"/>
    <x v="0"/>
    <n v="17"/>
    <n v="3"/>
    <n v="1"/>
    <n v="80"/>
    <n v="1"/>
    <n v="2"/>
    <x v="2"/>
    <n v="0"/>
    <s v="0-4 Years"/>
    <x v="2"/>
    <s v="0-4 Years"/>
    <x v="6"/>
    <s v="0-4 Years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n v="5473"/>
    <x v="0"/>
    <s v="Medium Income"/>
    <s v="Medium Income"/>
    <s v="Medium Income"/>
    <n v="24668"/>
    <n v="7"/>
    <s v="Y"/>
    <x v="1"/>
    <n v="11"/>
    <n v="3"/>
    <n v="4"/>
    <n v="80"/>
    <n v="0"/>
    <n v="20"/>
    <x v="2"/>
    <n v="2"/>
    <s v="0-4 Years"/>
    <x v="2"/>
    <s v="0-4 Years"/>
    <x v="9"/>
    <s v="0-4 Years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n v="2703"/>
    <x v="1"/>
    <s v="Low Income"/>
    <s v="Low Income"/>
    <s v="Low Income"/>
    <n v="4956"/>
    <n v="0"/>
    <s v="Y"/>
    <x v="1"/>
    <n v="23"/>
    <n v="4"/>
    <n v="4"/>
    <n v="80"/>
    <n v="1"/>
    <n v="6"/>
    <x v="0"/>
    <n v="3"/>
    <s v="5-9 Years"/>
    <x v="1"/>
    <s v="5-9 Years"/>
    <x v="8"/>
    <s v="5-9 Years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n v="2501"/>
    <x v="1"/>
    <s v="Low Income"/>
    <s v="Low Income"/>
    <s v="Low Income"/>
    <n v="18775"/>
    <n v="1"/>
    <s v="Y"/>
    <x v="1"/>
    <n v="17"/>
    <n v="3"/>
    <n v="2"/>
    <n v="80"/>
    <n v="0"/>
    <n v="1"/>
    <x v="2"/>
    <n v="4"/>
    <s v="0-4 Years"/>
    <x v="1"/>
    <s v="0-4 Years"/>
    <x v="6"/>
    <s v="0-4 Years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n v="6220"/>
    <x v="0"/>
    <s v="Medium Income"/>
    <s v="Medium Income"/>
    <s v="Medium Income"/>
    <n v="7346"/>
    <n v="1"/>
    <s v="Y"/>
    <x v="1"/>
    <n v="17"/>
    <n v="3"/>
    <n v="2"/>
    <n v="80"/>
    <n v="2"/>
    <n v="10"/>
    <x v="1"/>
    <n v="3"/>
    <s v="10-14 Years"/>
    <x v="1"/>
    <s v="10-14 Years"/>
    <x v="1"/>
    <s v="10-14 Years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n v="3038"/>
    <x v="1"/>
    <s v="Low Income"/>
    <s v="Low Income"/>
    <s v="Low Income"/>
    <n v="22002"/>
    <n v="3"/>
    <s v="Y"/>
    <x v="1"/>
    <n v="12"/>
    <n v="3"/>
    <n v="2"/>
    <n v="80"/>
    <n v="0"/>
    <n v="5"/>
    <x v="2"/>
    <n v="3"/>
    <s v="0-4 Years"/>
    <x v="1"/>
    <s v="0-4 Years"/>
    <x v="6"/>
    <s v="0-4 Years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n v="4424"/>
    <x v="1"/>
    <s v="Low Income"/>
    <s v="Low Income"/>
    <s v="Low Income"/>
    <n v="20682"/>
    <n v="1"/>
    <s v="Y"/>
    <x v="1"/>
    <n v="23"/>
    <n v="4"/>
    <n v="4"/>
    <n v="80"/>
    <n v="0"/>
    <n v="11"/>
    <x v="1"/>
    <n v="2"/>
    <s v="10-14 Years"/>
    <x v="1"/>
    <s v="10-14 Years"/>
    <x v="19"/>
    <s v="10-14 Years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n v="4312"/>
    <x v="1"/>
    <s v="Low Income"/>
    <s v="Low Income"/>
    <s v="Low Income"/>
    <n v="23016"/>
    <n v="0"/>
    <s v="Y"/>
    <x v="1"/>
    <n v="14"/>
    <n v="3"/>
    <n v="2"/>
    <n v="80"/>
    <n v="0"/>
    <n v="16"/>
    <x v="4"/>
    <n v="2"/>
    <s v="15-24 Years"/>
    <x v="1"/>
    <s v="15-24 Years"/>
    <x v="15"/>
    <s v="15-24 Years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x v="3"/>
    <s v="Married"/>
    <n v="13245"/>
    <x v="2"/>
    <s v="High Income"/>
    <s v="High Income"/>
    <s v="High Income"/>
    <n v="15067"/>
    <n v="4"/>
    <s v="Y"/>
    <x v="0"/>
    <n v="14"/>
    <n v="3"/>
    <n v="2"/>
    <n v="80"/>
    <n v="0"/>
    <n v="17"/>
    <x v="2"/>
    <n v="3"/>
    <s v="0-4 Years"/>
    <x v="3"/>
    <s v="0-4 Years"/>
    <x v="2"/>
    <s v="0-4 Years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n v="13664"/>
    <x v="2"/>
    <s v="High Income"/>
    <s v="High Income"/>
    <s v="High Income"/>
    <n v="25258"/>
    <n v="4"/>
    <s v="Y"/>
    <x v="1"/>
    <n v="13"/>
    <n v="3"/>
    <n v="1"/>
    <n v="80"/>
    <n v="0"/>
    <n v="16"/>
    <x v="0"/>
    <n v="3"/>
    <s v="5-9 Years"/>
    <x v="3"/>
    <s v="5-9 Years"/>
    <x v="8"/>
    <s v="5-9 Years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n v="5021"/>
    <x v="0"/>
    <s v="Medium Income"/>
    <s v="Medium Income"/>
    <s v="Medium Income"/>
    <n v="10425"/>
    <n v="8"/>
    <s v="Y"/>
    <x v="0"/>
    <n v="22"/>
    <n v="4"/>
    <n v="4"/>
    <n v="80"/>
    <n v="1"/>
    <n v="16"/>
    <x v="2"/>
    <n v="2"/>
    <s v="0-4 Years"/>
    <x v="1"/>
    <s v="0-4 Years"/>
    <x v="9"/>
    <s v="0-4 Years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n v="5126"/>
    <x v="0"/>
    <s v="Medium Income"/>
    <s v="Medium Income"/>
    <s v="Medium Income"/>
    <n v="15998"/>
    <n v="1"/>
    <s v="Y"/>
    <x v="0"/>
    <n v="12"/>
    <n v="3"/>
    <n v="3"/>
    <n v="80"/>
    <n v="2"/>
    <n v="10"/>
    <x v="1"/>
    <n v="1"/>
    <s v="10-14 Years"/>
    <x v="2"/>
    <s v="10-14 Years"/>
    <x v="1"/>
    <s v="10-14 Years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n v="2859"/>
    <x v="1"/>
    <s v="Low Income"/>
    <s v="Low Income"/>
    <s v="Low Income"/>
    <n v="26278"/>
    <n v="1"/>
    <s v="Y"/>
    <x v="1"/>
    <n v="18"/>
    <n v="3"/>
    <n v="1"/>
    <n v="80"/>
    <n v="0"/>
    <n v="6"/>
    <x v="0"/>
    <n v="3"/>
    <s v="5-9 Years"/>
    <x v="1"/>
    <s v="5-9 Years"/>
    <x v="0"/>
    <s v="5-9 Years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n v="10239"/>
    <x v="2"/>
    <s v="High Income"/>
    <s v="High Income"/>
    <s v="High Income"/>
    <n v="18092"/>
    <n v="3"/>
    <s v="Y"/>
    <x v="1"/>
    <n v="14"/>
    <n v="3"/>
    <n v="4"/>
    <n v="80"/>
    <n v="1"/>
    <n v="24"/>
    <x v="2"/>
    <n v="4"/>
    <s v="0-4 Years"/>
    <x v="1"/>
    <s v="0-4 Years"/>
    <x v="6"/>
    <s v="0-4 Years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n v="5329"/>
    <x v="0"/>
    <s v="Medium Income"/>
    <s v="Medium Income"/>
    <s v="Medium Income"/>
    <n v="15717"/>
    <n v="7"/>
    <s v="Y"/>
    <x v="0"/>
    <n v="12"/>
    <n v="3"/>
    <n v="4"/>
    <n v="80"/>
    <n v="3"/>
    <n v="17"/>
    <x v="1"/>
    <n v="3"/>
    <s v="10-14 Years"/>
    <x v="1"/>
    <s v="10-14 Years"/>
    <x v="20"/>
    <s v="10-14 Years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n v="4325"/>
    <x v="1"/>
    <s v="Low Income"/>
    <s v="Low Income"/>
    <s v="Low Income"/>
    <n v="17736"/>
    <n v="1"/>
    <s v="Y"/>
    <x v="1"/>
    <n v="15"/>
    <n v="3"/>
    <n v="3"/>
    <n v="80"/>
    <n v="0"/>
    <n v="5"/>
    <x v="0"/>
    <n v="2"/>
    <s v="5-9 Years"/>
    <x v="1"/>
    <s v="5-9 Years"/>
    <x v="8"/>
    <s v="5-9 Years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n v="7260"/>
    <x v="0"/>
    <s v="Medium Income"/>
    <s v="Medium Income"/>
    <s v="Medium Income"/>
    <n v="21698"/>
    <n v="4"/>
    <s v="Y"/>
    <x v="1"/>
    <n v="11"/>
    <n v="3"/>
    <n v="1"/>
    <n v="80"/>
    <n v="0"/>
    <n v="37"/>
    <x v="0"/>
    <n v="3"/>
    <s v="5-9 Years"/>
    <x v="2"/>
    <s v="5-9 Years"/>
    <x v="0"/>
    <s v="5-9 Years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n v="2322"/>
    <x v="1"/>
    <s v="Low Income"/>
    <s v="Low Income"/>
    <s v="Low Income"/>
    <n v="9518"/>
    <n v="3"/>
    <s v="Y"/>
    <x v="1"/>
    <n v="13"/>
    <n v="3"/>
    <n v="3"/>
    <n v="80"/>
    <n v="1"/>
    <n v="3"/>
    <x v="2"/>
    <n v="3"/>
    <s v="0-4 Years"/>
    <x v="1"/>
    <s v="0-4 Years"/>
    <x v="2"/>
    <s v="0-4 Years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n v="2075"/>
    <x v="1"/>
    <s v="Low Income"/>
    <s v="Low Income"/>
    <s v="Low Income"/>
    <n v="18725"/>
    <n v="3"/>
    <s v="Y"/>
    <x v="1"/>
    <n v="23"/>
    <n v="4"/>
    <n v="2"/>
    <n v="80"/>
    <n v="2"/>
    <n v="10"/>
    <x v="2"/>
    <n v="4"/>
    <s v="0-4 Years"/>
    <x v="1"/>
    <s v="0-4 Years"/>
    <x v="9"/>
    <s v="0-4 Years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n v="4152"/>
    <x v="1"/>
    <s v="Low Income"/>
    <s v="Low Income"/>
    <s v="Low Income"/>
    <n v="15830"/>
    <n v="1"/>
    <s v="Y"/>
    <x v="1"/>
    <n v="19"/>
    <n v="3"/>
    <n v="1"/>
    <n v="80"/>
    <n v="3"/>
    <n v="11"/>
    <x v="1"/>
    <n v="3"/>
    <s v="10-14 Years"/>
    <x v="1"/>
    <s v="10-14 Years"/>
    <x v="19"/>
    <s v="10-14 Years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n v="9619"/>
    <x v="0"/>
    <s v="Medium Income"/>
    <s v="Medium Income"/>
    <s v="Medium Income"/>
    <n v="13596"/>
    <n v="1"/>
    <s v="Y"/>
    <x v="1"/>
    <n v="16"/>
    <n v="3"/>
    <n v="4"/>
    <n v="80"/>
    <n v="0"/>
    <n v="9"/>
    <x v="0"/>
    <n v="3"/>
    <s v="5-9 Years"/>
    <x v="1"/>
    <s v="5-9 Years"/>
    <x v="7"/>
    <s v="5-9 Years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n v="13503"/>
    <x v="2"/>
    <s v="High Income"/>
    <s v="High Income"/>
    <s v="High Income"/>
    <n v="14115"/>
    <n v="1"/>
    <s v="Y"/>
    <x v="1"/>
    <n v="22"/>
    <n v="4"/>
    <n v="4"/>
    <n v="80"/>
    <n v="1"/>
    <n v="22"/>
    <x v="4"/>
    <n v="3"/>
    <s v="15-24 Years"/>
    <x v="2"/>
    <s v="15-24 Years"/>
    <x v="14"/>
    <s v="15-24 Years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n v="5441"/>
    <x v="0"/>
    <s v="Medium Income"/>
    <s v="Medium Income"/>
    <s v="Medium Income"/>
    <n v="8423"/>
    <n v="0"/>
    <s v="Y"/>
    <x v="0"/>
    <n v="22"/>
    <n v="4"/>
    <n v="4"/>
    <n v="80"/>
    <n v="0"/>
    <n v="11"/>
    <x v="1"/>
    <n v="2"/>
    <s v="10-14 Years"/>
    <x v="0"/>
    <s v="10-14 Years"/>
    <x v="1"/>
    <s v="10-14 Years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n v="5209"/>
    <x v="0"/>
    <s v="Medium Income"/>
    <s v="Medium Income"/>
    <s v="Medium Income"/>
    <n v="19760"/>
    <n v="1"/>
    <s v="Y"/>
    <x v="0"/>
    <n v="12"/>
    <n v="3"/>
    <n v="2"/>
    <n v="80"/>
    <n v="3"/>
    <n v="11"/>
    <x v="1"/>
    <n v="4"/>
    <s v="10-14 Years"/>
    <x v="2"/>
    <s v="10-14 Years"/>
    <x v="19"/>
    <s v="10-14 Years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n v="10673"/>
    <x v="2"/>
    <s v="High Income"/>
    <s v="High Income"/>
    <s v="High Income"/>
    <n v="3142"/>
    <n v="2"/>
    <s v="Y"/>
    <x v="0"/>
    <n v="13"/>
    <n v="3"/>
    <n v="3"/>
    <n v="80"/>
    <n v="1"/>
    <n v="21"/>
    <x v="1"/>
    <n v="5"/>
    <s v="10-14 Years"/>
    <x v="2"/>
    <s v="10-14 Years"/>
    <x v="1"/>
    <s v="10-14 Years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n v="5010"/>
    <x v="0"/>
    <s v="Medium Income"/>
    <s v="Medium Income"/>
    <s v="Medium Income"/>
    <n v="24301"/>
    <n v="1"/>
    <s v="Y"/>
    <x v="1"/>
    <n v="16"/>
    <n v="3"/>
    <n v="1"/>
    <n v="80"/>
    <n v="0"/>
    <n v="12"/>
    <x v="1"/>
    <n v="0"/>
    <s v="10-14 Years"/>
    <x v="1"/>
    <s v="10-14 Years"/>
    <x v="19"/>
    <s v="10-14 Years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n v="13549"/>
    <x v="2"/>
    <s v="High Income"/>
    <s v="High Income"/>
    <s v="High Income"/>
    <n v="24001"/>
    <n v="9"/>
    <s v="Y"/>
    <x v="1"/>
    <n v="12"/>
    <n v="3"/>
    <n v="1"/>
    <n v="80"/>
    <n v="1"/>
    <n v="16"/>
    <x v="2"/>
    <n v="5"/>
    <s v="0-4 Years"/>
    <x v="0"/>
    <s v="0-4 Years"/>
    <x v="9"/>
    <s v="0-4 Years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n v="4999"/>
    <x v="1"/>
    <s v="Low Income"/>
    <s v="Low Income"/>
    <s v="Low Income"/>
    <n v="17519"/>
    <n v="0"/>
    <s v="Y"/>
    <x v="1"/>
    <n v="21"/>
    <n v="4"/>
    <n v="1"/>
    <n v="80"/>
    <n v="1"/>
    <n v="4"/>
    <x v="2"/>
    <n v="2"/>
    <s v="0-4 Years"/>
    <x v="2"/>
    <s v="0-4 Years"/>
    <x v="11"/>
    <s v="0-4 Years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x v="2"/>
    <s v="Married"/>
    <n v="4221"/>
    <x v="1"/>
    <s v="Low Income"/>
    <s v="Low Income"/>
    <s v="Low Income"/>
    <n v="8863"/>
    <n v="1"/>
    <s v="Y"/>
    <x v="1"/>
    <n v="15"/>
    <n v="3"/>
    <n v="2"/>
    <n v="80"/>
    <n v="0"/>
    <n v="5"/>
    <x v="0"/>
    <n v="3"/>
    <s v="5-9 Years"/>
    <x v="3"/>
    <s v="5-9 Years"/>
    <x v="8"/>
    <s v="5-9 Years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n v="13872"/>
    <x v="2"/>
    <s v="High Income"/>
    <s v="High Income"/>
    <s v="High Income"/>
    <n v="24409"/>
    <n v="0"/>
    <s v="Y"/>
    <x v="1"/>
    <n v="13"/>
    <n v="3"/>
    <n v="3"/>
    <n v="80"/>
    <n v="0"/>
    <n v="38"/>
    <x v="3"/>
    <n v="1"/>
    <s v="25+ Years"/>
    <x v="2"/>
    <s v="25+ Years"/>
    <x v="21"/>
    <s v="25+ Years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x v="1"/>
    <s v="Married"/>
    <n v="2042"/>
    <x v="1"/>
    <s v="Low Income"/>
    <s v="Low Income"/>
    <s v="Low Income"/>
    <n v="25043"/>
    <n v="4"/>
    <s v="Y"/>
    <x v="1"/>
    <n v="12"/>
    <n v="3"/>
    <n v="3"/>
    <n v="80"/>
    <n v="1"/>
    <n v="17"/>
    <x v="2"/>
    <n v="3"/>
    <s v="0-4 Years"/>
    <x v="3"/>
    <s v="0-4 Years"/>
    <x v="11"/>
    <s v="0-4 Years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n v="2073"/>
    <x v="1"/>
    <s v="Low Income"/>
    <s v="Low Income"/>
    <s v="Low Income"/>
    <n v="23648"/>
    <n v="4"/>
    <s v="Y"/>
    <x v="0"/>
    <n v="22"/>
    <n v="4"/>
    <n v="4"/>
    <n v="80"/>
    <n v="0"/>
    <n v="7"/>
    <x v="2"/>
    <n v="3"/>
    <s v="0-4 Years"/>
    <x v="1"/>
    <s v="0-4 Years"/>
    <x v="11"/>
    <s v="0-4 Years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n v="2956"/>
    <x v="1"/>
    <s v="Low Income"/>
    <s v="Low Income"/>
    <s v="Low Income"/>
    <n v="15178"/>
    <n v="1"/>
    <s v="Y"/>
    <x v="1"/>
    <n v="13"/>
    <n v="3"/>
    <n v="4"/>
    <n v="80"/>
    <n v="0"/>
    <n v="1"/>
    <x v="2"/>
    <n v="2"/>
    <s v="0-4 Years"/>
    <x v="1"/>
    <s v="0-4 Years"/>
    <x v="6"/>
    <s v="0-4 Years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n v="2926"/>
    <x v="1"/>
    <s v="Low Income"/>
    <s v="Low Income"/>
    <s v="Low Income"/>
    <n v="19783"/>
    <n v="1"/>
    <s v="Y"/>
    <x v="0"/>
    <n v="18"/>
    <n v="3"/>
    <n v="2"/>
    <n v="80"/>
    <n v="0"/>
    <n v="1"/>
    <x v="2"/>
    <n v="5"/>
    <s v="0-4 Years"/>
    <x v="1"/>
    <s v="0-4 Years"/>
    <x v="6"/>
    <s v="0-4 Years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n v="4809"/>
    <x v="1"/>
    <s v="Low Income"/>
    <s v="Low Income"/>
    <s v="Low Income"/>
    <n v="12482"/>
    <n v="1"/>
    <s v="Y"/>
    <x v="1"/>
    <n v="14"/>
    <n v="3"/>
    <n v="3"/>
    <n v="80"/>
    <n v="0"/>
    <n v="16"/>
    <x v="4"/>
    <n v="3"/>
    <s v="15-24 Years"/>
    <x v="1"/>
    <s v="15-24 Years"/>
    <x v="22"/>
    <s v="15-24 Years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n v="5163"/>
    <x v="0"/>
    <s v="Medium Income"/>
    <s v="Medium Income"/>
    <s v="Medium Income"/>
    <n v="15850"/>
    <n v="5"/>
    <s v="Y"/>
    <x v="1"/>
    <n v="14"/>
    <n v="3"/>
    <n v="4"/>
    <n v="80"/>
    <n v="1"/>
    <n v="17"/>
    <x v="2"/>
    <n v="2"/>
    <s v="0-4 Years"/>
    <x v="3"/>
    <s v="0-4 Years"/>
    <x v="6"/>
    <s v="0-4 Years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n v="18844"/>
    <x v="2"/>
    <s v="High Income"/>
    <s v="High Income"/>
    <s v="High Income"/>
    <n v="21922"/>
    <n v="9"/>
    <s v="Y"/>
    <x v="1"/>
    <n v="21"/>
    <n v="4"/>
    <n v="4"/>
    <n v="80"/>
    <n v="1"/>
    <n v="30"/>
    <x v="2"/>
    <n v="3"/>
    <s v="0-4 Years"/>
    <x v="1"/>
    <s v="0-4 Years"/>
    <x v="11"/>
    <s v="0-4 Years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n v="18172"/>
    <x v="2"/>
    <s v="High Income"/>
    <s v="High Income"/>
    <s v="High Income"/>
    <n v="9755"/>
    <n v="3"/>
    <s v="Y"/>
    <x v="0"/>
    <n v="19"/>
    <n v="3"/>
    <n v="1"/>
    <n v="80"/>
    <n v="0"/>
    <n v="28"/>
    <x v="0"/>
    <n v="1"/>
    <s v="5-9 Years"/>
    <x v="2"/>
    <s v="5-9 Years"/>
    <x v="3"/>
    <s v="5-9 Years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n v="5744"/>
    <x v="0"/>
    <s v="Medium Income"/>
    <s v="Medium Income"/>
    <s v="Medium Income"/>
    <n v="26959"/>
    <n v="1"/>
    <s v="Y"/>
    <x v="0"/>
    <n v="11"/>
    <n v="3"/>
    <n v="4"/>
    <n v="80"/>
    <n v="0"/>
    <n v="6"/>
    <x v="0"/>
    <n v="1"/>
    <s v="5-9 Years"/>
    <x v="1"/>
    <s v="5-9 Years"/>
    <x v="0"/>
    <s v="5-9 Years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n v="2889"/>
    <x v="1"/>
    <s v="Low Income"/>
    <s v="Low Income"/>
    <s v="Low Income"/>
    <n v="26897"/>
    <n v="1"/>
    <s v="Y"/>
    <x v="1"/>
    <n v="11"/>
    <n v="3"/>
    <n v="3"/>
    <n v="80"/>
    <n v="2"/>
    <n v="2"/>
    <x v="2"/>
    <n v="2"/>
    <s v="0-4 Years"/>
    <x v="1"/>
    <s v="0-4 Years"/>
    <x v="4"/>
    <s v="0-4 Years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n v="2871"/>
    <x v="1"/>
    <s v="Low Income"/>
    <s v="Low Income"/>
    <s v="Low Income"/>
    <n v="23785"/>
    <n v="1"/>
    <s v="Y"/>
    <x v="1"/>
    <n v="15"/>
    <n v="3"/>
    <n v="3"/>
    <n v="80"/>
    <n v="0"/>
    <n v="1"/>
    <x v="2"/>
    <n v="5"/>
    <s v="0-4 Years"/>
    <x v="1"/>
    <s v="0-4 Years"/>
    <x v="2"/>
    <s v="0-4 Years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n v="7484"/>
    <x v="0"/>
    <s v="Medium Income"/>
    <s v="Medium Income"/>
    <s v="Medium Income"/>
    <n v="25796"/>
    <n v="3"/>
    <s v="Y"/>
    <x v="1"/>
    <n v="20"/>
    <n v="4"/>
    <n v="3"/>
    <n v="80"/>
    <n v="0"/>
    <n v="23"/>
    <x v="1"/>
    <n v="1"/>
    <s v="10-14 Years"/>
    <x v="2"/>
    <s v="10-14 Years"/>
    <x v="20"/>
    <s v="10-14 Years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n v="6074"/>
    <x v="0"/>
    <s v="Medium Income"/>
    <s v="Medium Income"/>
    <s v="Medium Income"/>
    <n v="22887"/>
    <n v="1"/>
    <s v="Y"/>
    <x v="0"/>
    <n v="24"/>
    <n v="4"/>
    <n v="4"/>
    <n v="80"/>
    <n v="0"/>
    <n v="9"/>
    <x v="0"/>
    <n v="3"/>
    <s v="5-9 Years"/>
    <x v="1"/>
    <s v="5-9 Years"/>
    <x v="7"/>
    <s v="5-9 Years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n v="17328"/>
    <x v="2"/>
    <s v="High Income"/>
    <s v="High Income"/>
    <s v="High Income"/>
    <n v="13871"/>
    <n v="2"/>
    <s v="Y"/>
    <x v="0"/>
    <n v="12"/>
    <n v="3"/>
    <n v="3"/>
    <n v="80"/>
    <n v="0"/>
    <n v="23"/>
    <x v="0"/>
    <n v="3"/>
    <s v="5-9 Years"/>
    <x v="1"/>
    <s v="5-9 Years"/>
    <x v="8"/>
    <s v="5-9 Years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n v="2774"/>
    <x v="1"/>
    <s v="Low Income"/>
    <s v="Low Income"/>
    <s v="Low Income"/>
    <n v="13257"/>
    <n v="0"/>
    <s v="Y"/>
    <x v="1"/>
    <n v="12"/>
    <n v="3"/>
    <n v="3"/>
    <n v="80"/>
    <n v="1"/>
    <n v="6"/>
    <x v="0"/>
    <n v="2"/>
    <s v="5-9 Years"/>
    <x v="1"/>
    <s v="5-9 Years"/>
    <x v="8"/>
    <s v="5-9 Years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n v="4505"/>
    <x v="1"/>
    <s v="Low Income"/>
    <s v="Low Income"/>
    <s v="Low Income"/>
    <n v="15000"/>
    <n v="6"/>
    <s v="Y"/>
    <x v="1"/>
    <n v="15"/>
    <n v="3"/>
    <n v="3"/>
    <n v="80"/>
    <n v="1"/>
    <n v="12"/>
    <x v="2"/>
    <n v="3"/>
    <s v="0-4 Years"/>
    <x v="1"/>
    <s v="0-4 Years"/>
    <x v="6"/>
    <s v="0-4 Years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n v="7428"/>
    <x v="0"/>
    <s v="Medium Income"/>
    <s v="Medium Income"/>
    <s v="Medium Income"/>
    <n v="14506"/>
    <n v="2"/>
    <s v="Y"/>
    <x v="1"/>
    <n v="12"/>
    <n v="3"/>
    <n v="1"/>
    <n v="80"/>
    <n v="0"/>
    <n v="12"/>
    <x v="0"/>
    <n v="3"/>
    <s v="5-9 Years"/>
    <x v="1"/>
    <s v="5-9 Years"/>
    <x v="8"/>
    <s v="5-9 Years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n v="11631"/>
    <x v="2"/>
    <s v="High Income"/>
    <s v="High Income"/>
    <s v="High Income"/>
    <n v="5615"/>
    <n v="2"/>
    <s v="Y"/>
    <x v="1"/>
    <n v="12"/>
    <n v="3"/>
    <n v="4"/>
    <n v="80"/>
    <n v="0"/>
    <n v="14"/>
    <x v="1"/>
    <n v="6"/>
    <s v="10-14 Years"/>
    <x v="1"/>
    <s v="10-14 Years"/>
    <x v="19"/>
    <s v="10-14 Years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n v="9738"/>
    <x v="0"/>
    <s v="Medium Income"/>
    <s v="Medium Income"/>
    <s v="Medium Income"/>
    <n v="22952"/>
    <n v="0"/>
    <s v="Y"/>
    <x v="1"/>
    <n v="14"/>
    <n v="3"/>
    <n v="3"/>
    <n v="80"/>
    <n v="1"/>
    <n v="10"/>
    <x v="0"/>
    <n v="6"/>
    <s v="5-9 Years"/>
    <x v="1"/>
    <s v="5-9 Years"/>
    <x v="7"/>
    <s v="5-9 Years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n v="2835"/>
    <x v="1"/>
    <s v="Low Income"/>
    <s v="Low Income"/>
    <s v="Low Income"/>
    <n v="2561"/>
    <n v="5"/>
    <s v="Y"/>
    <x v="1"/>
    <n v="22"/>
    <n v="4"/>
    <n v="1"/>
    <n v="80"/>
    <n v="1"/>
    <n v="7"/>
    <x v="2"/>
    <n v="2"/>
    <s v="0-4 Years"/>
    <x v="1"/>
    <s v="0-4 Years"/>
    <x v="6"/>
    <s v="0-4 Years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n v="16959"/>
    <x v="2"/>
    <s v="High Income"/>
    <s v="High Income"/>
    <s v="High Income"/>
    <n v="19494"/>
    <n v="1"/>
    <s v="Y"/>
    <x v="0"/>
    <n v="12"/>
    <n v="3"/>
    <n v="4"/>
    <n v="80"/>
    <n v="2"/>
    <n v="25"/>
    <x v="3"/>
    <n v="3"/>
    <s v="25+ Years"/>
    <x v="3"/>
    <s v="25+ Years"/>
    <x v="10"/>
    <s v="25+ Years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n v="2613"/>
    <x v="1"/>
    <s v="Low Income"/>
    <s v="Low Income"/>
    <s v="Low Income"/>
    <n v="22310"/>
    <n v="1"/>
    <s v="Y"/>
    <x v="1"/>
    <n v="25"/>
    <n v="4"/>
    <n v="3"/>
    <n v="80"/>
    <n v="3"/>
    <n v="10"/>
    <x v="1"/>
    <n v="2"/>
    <s v="10-14 Years"/>
    <x v="2"/>
    <s v="10-14 Years"/>
    <x v="1"/>
    <s v="10-14 Years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n v="6146"/>
    <x v="0"/>
    <s v="Medium Income"/>
    <s v="Medium Income"/>
    <s v="Medium Income"/>
    <n v="15480"/>
    <n v="0"/>
    <s v="Y"/>
    <x v="1"/>
    <n v="13"/>
    <n v="3"/>
    <n v="1"/>
    <n v="80"/>
    <n v="1"/>
    <n v="8"/>
    <x v="0"/>
    <n v="2"/>
    <s v="5-9 Years"/>
    <x v="3"/>
    <s v="5-9 Years"/>
    <x v="5"/>
    <s v="5-9 Years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n v="4963"/>
    <x v="1"/>
    <s v="Low Income"/>
    <s v="Low Income"/>
    <s v="Low Income"/>
    <n v="4510"/>
    <n v="9"/>
    <s v="Y"/>
    <x v="0"/>
    <n v="18"/>
    <n v="3"/>
    <n v="1"/>
    <n v="80"/>
    <n v="3"/>
    <n v="7"/>
    <x v="0"/>
    <n v="2"/>
    <s v="5-9 Years"/>
    <x v="1"/>
    <s v="5-9 Years"/>
    <x v="8"/>
    <s v="5-9 Years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n v="19537"/>
    <x v="2"/>
    <s v="High Income"/>
    <s v="High Income"/>
    <s v="High Income"/>
    <n v="6462"/>
    <n v="7"/>
    <s v="Y"/>
    <x v="1"/>
    <n v="13"/>
    <n v="3"/>
    <n v="3"/>
    <n v="80"/>
    <n v="0"/>
    <n v="23"/>
    <x v="4"/>
    <n v="5"/>
    <s v="15-24 Years"/>
    <x v="1"/>
    <s v="15-24 Years"/>
    <x v="23"/>
    <s v="15-24 Years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n v="6172"/>
    <x v="0"/>
    <s v="Medium Income"/>
    <s v="Medium Income"/>
    <s v="Medium Income"/>
    <n v="20739"/>
    <n v="4"/>
    <s v="Y"/>
    <x v="0"/>
    <n v="18"/>
    <n v="3"/>
    <n v="2"/>
    <n v="80"/>
    <n v="0"/>
    <n v="12"/>
    <x v="0"/>
    <n v="3"/>
    <s v="5-9 Years"/>
    <x v="2"/>
    <s v="5-9 Years"/>
    <x v="5"/>
    <s v="5-9 Years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n v="2368"/>
    <x v="1"/>
    <s v="Low Income"/>
    <s v="Low Income"/>
    <s v="Low Income"/>
    <n v="23300"/>
    <n v="1"/>
    <s v="Y"/>
    <x v="1"/>
    <n v="19"/>
    <n v="3"/>
    <n v="3"/>
    <n v="80"/>
    <n v="0"/>
    <n v="5"/>
    <x v="0"/>
    <n v="3"/>
    <s v="5-9 Years"/>
    <x v="2"/>
    <s v="5-9 Years"/>
    <x v="8"/>
    <s v="5-9 Years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n v="10312"/>
    <x v="2"/>
    <s v="High Income"/>
    <s v="High Income"/>
    <s v="High Income"/>
    <n v="3465"/>
    <n v="1"/>
    <s v="Y"/>
    <x v="1"/>
    <n v="12"/>
    <n v="3"/>
    <n v="4"/>
    <n v="80"/>
    <n v="1"/>
    <n v="40"/>
    <x v="3"/>
    <n v="3"/>
    <s v="25+ Years"/>
    <x v="2"/>
    <s v="25+ Years"/>
    <x v="24"/>
    <s v="25+ Years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n v="1675"/>
    <x v="1"/>
    <s v="Low Income"/>
    <s v="Low Income"/>
    <s v="Low Income"/>
    <n v="26820"/>
    <n v="1"/>
    <s v="Y"/>
    <x v="0"/>
    <n v="19"/>
    <n v="3"/>
    <n v="4"/>
    <n v="80"/>
    <n v="0"/>
    <n v="0"/>
    <x v="2"/>
    <n v="2"/>
    <s v="0-4 Years"/>
    <x v="2"/>
    <s v="0-4 Years"/>
    <x v="2"/>
    <s v="0-4 Years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n v="2523"/>
    <x v="1"/>
    <s v="Low Income"/>
    <s v="Low Income"/>
    <s v="Low Income"/>
    <n v="19299"/>
    <n v="0"/>
    <s v="Y"/>
    <x v="1"/>
    <n v="14"/>
    <n v="3"/>
    <n v="3"/>
    <n v="80"/>
    <n v="1"/>
    <n v="3"/>
    <x v="2"/>
    <n v="2"/>
    <s v="0-4 Years"/>
    <x v="1"/>
    <s v="0-4 Years"/>
    <x v="4"/>
    <s v="0-4 Years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n v="6567"/>
    <x v="0"/>
    <s v="Medium Income"/>
    <s v="Medium Income"/>
    <s v="Medium Income"/>
    <n v="5549"/>
    <n v="1"/>
    <s v="Y"/>
    <x v="1"/>
    <n v="14"/>
    <n v="3"/>
    <n v="3"/>
    <n v="80"/>
    <n v="0"/>
    <n v="16"/>
    <x v="4"/>
    <n v="2"/>
    <s v="15-24 Years"/>
    <x v="2"/>
    <s v="15-24 Years"/>
    <x v="15"/>
    <s v="15-24 Years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n v="4739"/>
    <x v="1"/>
    <s v="Low Income"/>
    <s v="Low Income"/>
    <s v="Low Income"/>
    <n v="16090"/>
    <n v="4"/>
    <s v="Y"/>
    <x v="1"/>
    <n v="12"/>
    <n v="3"/>
    <n v="4"/>
    <n v="80"/>
    <n v="0"/>
    <n v="18"/>
    <x v="2"/>
    <n v="2"/>
    <s v="0-4 Years"/>
    <x v="1"/>
    <s v="0-4 Years"/>
    <x v="11"/>
    <s v="0-4 Years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n v="9208"/>
    <x v="0"/>
    <s v="Medium Income"/>
    <s v="Medium Income"/>
    <s v="Medium Income"/>
    <n v="6645"/>
    <n v="4"/>
    <s v="Y"/>
    <x v="1"/>
    <n v="11"/>
    <n v="3"/>
    <n v="4"/>
    <n v="80"/>
    <n v="0"/>
    <n v="16"/>
    <x v="2"/>
    <n v="3"/>
    <s v="0-4 Years"/>
    <x v="1"/>
    <s v="0-4 Years"/>
    <x v="4"/>
    <s v="0-4 Years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n v="4559"/>
    <x v="1"/>
    <s v="Low Income"/>
    <s v="Low Income"/>
    <s v="Low Income"/>
    <n v="24788"/>
    <n v="3"/>
    <s v="Y"/>
    <x v="0"/>
    <n v="11"/>
    <n v="3"/>
    <n v="3"/>
    <n v="80"/>
    <n v="1"/>
    <n v="4"/>
    <x v="2"/>
    <n v="2"/>
    <s v="0-4 Years"/>
    <x v="1"/>
    <s v="0-4 Years"/>
    <x v="4"/>
    <s v="0-4 Years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n v="8189"/>
    <x v="0"/>
    <s v="Medium Income"/>
    <s v="Medium Income"/>
    <s v="Medium Income"/>
    <n v="21196"/>
    <n v="3"/>
    <s v="Y"/>
    <x v="0"/>
    <n v="13"/>
    <n v="3"/>
    <n v="3"/>
    <n v="80"/>
    <n v="1"/>
    <n v="12"/>
    <x v="0"/>
    <n v="2"/>
    <s v="5-9 Years"/>
    <x v="1"/>
    <s v="5-9 Years"/>
    <x v="7"/>
    <s v="5-9 Years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n v="2942"/>
    <x v="1"/>
    <s v="Low Income"/>
    <s v="Low Income"/>
    <s v="Low Income"/>
    <n v="8916"/>
    <n v="1"/>
    <s v="Y"/>
    <x v="1"/>
    <n v="23"/>
    <n v="4"/>
    <n v="4"/>
    <n v="80"/>
    <n v="1"/>
    <n v="8"/>
    <x v="0"/>
    <n v="3"/>
    <s v="5-9 Years"/>
    <x v="1"/>
    <s v="5-9 Years"/>
    <x v="3"/>
    <s v="5-9 Years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n v="4941"/>
    <x v="1"/>
    <s v="Low Income"/>
    <s v="Low Income"/>
    <s v="Low Income"/>
    <n v="2819"/>
    <n v="6"/>
    <s v="Y"/>
    <x v="1"/>
    <n v="20"/>
    <n v="4"/>
    <n v="4"/>
    <n v="80"/>
    <n v="2"/>
    <n v="7"/>
    <x v="2"/>
    <n v="0"/>
    <s v="0-4 Years"/>
    <x v="1"/>
    <s v="0-4 Years"/>
    <x v="11"/>
    <s v="0-4 Years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n v="10650"/>
    <x v="2"/>
    <s v="High Income"/>
    <s v="High Income"/>
    <s v="High Income"/>
    <n v="25150"/>
    <n v="2"/>
    <s v="Y"/>
    <x v="1"/>
    <n v="15"/>
    <n v="3"/>
    <n v="4"/>
    <n v="80"/>
    <n v="0"/>
    <n v="18"/>
    <x v="2"/>
    <n v="2"/>
    <s v="0-4 Years"/>
    <x v="1"/>
    <s v="0-4 Years"/>
    <x v="9"/>
    <s v="0-4 Years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n v="5902"/>
    <x v="0"/>
    <s v="Medium Income"/>
    <s v="Medium Income"/>
    <s v="Medium Income"/>
    <n v="14590"/>
    <n v="4"/>
    <s v="Y"/>
    <x v="1"/>
    <n v="14"/>
    <n v="3"/>
    <n v="3"/>
    <n v="80"/>
    <n v="1"/>
    <n v="17"/>
    <x v="4"/>
    <n v="1"/>
    <s v="15-24 Years"/>
    <x v="3"/>
    <s v="15-24 Years"/>
    <x v="15"/>
    <s v="15-24 Years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n v="8639"/>
    <x v="0"/>
    <s v="Medium Income"/>
    <s v="Medium Income"/>
    <s v="Medium Income"/>
    <n v="24835"/>
    <n v="2"/>
    <s v="Y"/>
    <x v="1"/>
    <n v="18"/>
    <n v="3"/>
    <n v="4"/>
    <n v="80"/>
    <n v="0"/>
    <n v="6"/>
    <x v="2"/>
    <n v="3"/>
    <s v="0-4 Years"/>
    <x v="1"/>
    <s v="0-4 Years"/>
    <x v="4"/>
    <s v="0-4 Years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n v="6347"/>
    <x v="0"/>
    <s v="Medium Income"/>
    <s v="Medium Income"/>
    <s v="Medium Income"/>
    <n v="13982"/>
    <n v="0"/>
    <s v="Y"/>
    <x v="0"/>
    <n v="19"/>
    <n v="3"/>
    <n v="4"/>
    <n v="80"/>
    <n v="0"/>
    <n v="12"/>
    <x v="1"/>
    <n v="2"/>
    <s v="10-14 Years"/>
    <x v="0"/>
    <s v="10-14 Years"/>
    <x v="19"/>
    <s v="10-14 Years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n v="4200"/>
    <x v="1"/>
    <s v="Low Income"/>
    <s v="Low Income"/>
    <s v="Low Income"/>
    <n v="10224"/>
    <n v="7"/>
    <s v="Y"/>
    <x v="1"/>
    <n v="22"/>
    <n v="4"/>
    <n v="1"/>
    <n v="80"/>
    <n v="0"/>
    <n v="10"/>
    <x v="0"/>
    <n v="2"/>
    <s v="5-9 Years"/>
    <x v="3"/>
    <s v="5-9 Years"/>
    <x v="8"/>
    <s v="5-9 Years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n v="3452"/>
    <x v="1"/>
    <s v="Low Income"/>
    <s v="Low Income"/>
    <s v="Low Income"/>
    <n v="9752"/>
    <n v="5"/>
    <s v="Y"/>
    <x v="1"/>
    <n v="13"/>
    <n v="3"/>
    <n v="2"/>
    <n v="80"/>
    <n v="0"/>
    <n v="9"/>
    <x v="0"/>
    <n v="2"/>
    <s v="5-9 Years"/>
    <x v="2"/>
    <s v="5-9 Years"/>
    <x v="0"/>
    <s v="5-9 Years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n v="4317"/>
    <x v="1"/>
    <s v="Low Income"/>
    <s v="Low Income"/>
    <s v="Low Income"/>
    <n v="2302"/>
    <n v="3"/>
    <s v="Y"/>
    <x v="0"/>
    <n v="20"/>
    <n v="4"/>
    <n v="2"/>
    <n v="80"/>
    <n v="0"/>
    <n v="19"/>
    <x v="2"/>
    <n v="2"/>
    <s v="0-4 Years"/>
    <x v="1"/>
    <s v="0-4 Years"/>
    <x v="11"/>
    <s v="0-4 Years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n v="2632"/>
    <x v="1"/>
    <s v="Low Income"/>
    <s v="Low Income"/>
    <s v="Low Income"/>
    <n v="23910"/>
    <n v="1"/>
    <s v="Y"/>
    <x v="1"/>
    <n v="14"/>
    <n v="3"/>
    <n v="3"/>
    <n v="80"/>
    <n v="0"/>
    <n v="5"/>
    <x v="0"/>
    <n v="4"/>
    <s v="5-9 Years"/>
    <x v="2"/>
    <s v="5-9 Years"/>
    <x v="8"/>
    <s v="5-9 Years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n v="4668"/>
    <x v="1"/>
    <s v="Low Income"/>
    <s v="Low Income"/>
    <s v="Low Income"/>
    <n v="22812"/>
    <n v="0"/>
    <s v="Y"/>
    <x v="1"/>
    <n v="17"/>
    <n v="3"/>
    <n v="4"/>
    <n v="80"/>
    <n v="3"/>
    <n v="9"/>
    <x v="0"/>
    <n v="2"/>
    <s v="5-9 Years"/>
    <x v="3"/>
    <s v="5-9 Years"/>
    <x v="3"/>
    <s v="5-9 Years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n v="3204"/>
    <x v="1"/>
    <s v="Low Income"/>
    <s v="Low Income"/>
    <s v="Low Income"/>
    <n v="10415"/>
    <n v="5"/>
    <s v="Y"/>
    <x v="1"/>
    <n v="14"/>
    <n v="3"/>
    <n v="4"/>
    <n v="80"/>
    <n v="1"/>
    <n v="8"/>
    <x v="2"/>
    <n v="3"/>
    <s v="0-4 Years"/>
    <x v="1"/>
    <s v="0-4 Years"/>
    <x v="11"/>
    <s v="0-4 Years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n v="2720"/>
    <x v="1"/>
    <s v="Low Income"/>
    <s v="Low Income"/>
    <s v="Low Income"/>
    <n v="11162"/>
    <n v="0"/>
    <s v="Y"/>
    <x v="1"/>
    <n v="13"/>
    <n v="3"/>
    <n v="4"/>
    <n v="80"/>
    <n v="0"/>
    <n v="6"/>
    <x v="0"/>
    <n v="3"/>
    <s v="5-9 Years"/>
    <x v="1"/>
    <s v="5-9 Years"/>
    <x v="8"/>
    <s v="5-9 Years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n v="17181"/>
    <x v="2"/>
    <s v="High Income"/>
    <s v="High Income"/>
    <s v="High Income"/>
    <n v="12888"/>
    <n v="4"/>
    <s v="Y"/>
    <x v="1"/>
    <n v="13"/>
    <n v="3"/>
    <n v="2"/>
    <n v="80"/>
    <n v="1"/>
    <n v="21"/>
    <x v="0"/>
    <n v="2"/>
    <s v="5-9 Years"/>
    <x v="2"/>
    <s v="5-9 Years"/>
    <x v="5"/>
    <s v="5-9 Years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n v="2238"/>
    <x v="1"/>
    <s v="Low Income"/>
    <s v="Low Income"/>
    <s v="Low Income"/>
    <n v="6961"/>
    <n v="2"/>
    <s v="Y"/>
    <x v="1"/>
    <n v="21"/>
    <n v="4"/>
    <n v="4"/>
    <n v="80"/>
    <n v="1"/>
    <n v="7"/>
    <x v="0"/>
    <n v="2"/>
    <s v="5-9 Years"/>
    <x v="1"/>
    <s v="5-9 Years"/>
    <x v="8"/>
    <s v="5-9 Years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n v="1483"/>
    <x v="1"/>
    <s v="Low Income"/>
    <s v="Low Income"/>
    <s v="Low Income"/>
    <n v="16102"/>
    <n v="1"/>
    <s v="Y"/>
    <x v="1"/>
    <n v="14"/>
    <n v="3"/>
    <n v="4"/>
    <n v="80"/>
    <n v="0"/>
    <n v="1"/>
    <x v="2"/>
    <n v="3"/>
    <s v="0-4 Years"/>
    <x v="1"/>
    <s v="0-4 Years"/>
    <x v="6"/>
    <s v="0-4 Years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n v="5605"/>
    <x v="0"/>
    <s v="Medium Income"/>
    <s v="Medium Income"/>
    <s v="Medium Income"/>
    <n v="8504"/>
    <n v="1"/>
    <s v="Y"/>
    <x v="1"/>
    <n v="11"/>
    <n v="3"/>
    <n v="1"/>
    <n v="80"/>
    <n v="1"/>
    <n v="20"/>
    <x v="4"/>
    <n v="2"/>
    <s v="15-24 Years"/>
    <x v="1"/>
    <s v="15-24 Years"/>
    <x v="23"/>
    <s v="15-24 Years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n v="7295"/>
    <x v="0"/>
    <s v="Medium Income"/>
    <s v="Medium Income"/>
    <s v="Medium Income"/>
    <n v="11439"/>
    <n v="1"/>
    <s v="Y"/>
    <x v="1"/>
    <n v="13"/>
    <n v="3"/>
    <n v="1"/>
    <n v="80"/>
    <n v="2"/>
    <n v="10"/>
    <x v="1"/>
    <n v="3"/>
    <s v="10-14 Years"/>
    <x v="1"/>
    <s v="10-14 Years"/>
    <x v="1"/>
    <s v="10-14 Years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n v="2306"/>
    <x v="1"/>
    <s v="Low Income"/>
    <s v="Low Income"/>
    <s v="Low Income"/>
    <n v="16047"/>
    <n v="2"/>
    <s v="Y"/>
    <x v="0"/>
    <n v="20"/>
    <n v="4"/>
    <n v="4"/>
    <n v="80"/>
    <n v="1"/>
    <n v="13"/>
    <x v="0"/>
    <n v="3"/>
    <s v="5-9 Years"/>
    <x v="0"/>
    <s v="5-9 Years"/>
    <x v="5"/>
    <s v="5-9 Years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n v="2348"/>
    <x v="1"/>
    <s v="Low Income"/>
    <s v="Low Income"/>
    <s v="Low Income"/>
    <n v="10901"/>
    <n v="8"/>
    <s v="Y"/>
    <x v="1"/>
    <n v="18"/>
    <n v="3"/>
    <n v="3"/>
    <n v="80"/>
    <n v="1"/>
    <n v="20"/>
    <x v="4"/>
    <n v="2"/>
    <s v="15-24 Years"/>
    <x v="0"/>
    <s v="15-24 Years"/>
    <x v="18"/>
    <s v="15-24 Years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n v="8998"/>
    <x v="0"/>
    <s v="Medium Income"/>
    <s v="Medium Income"/>
    <s v="Medium Income"/>
    <n v="15589"/>
    <n v="1"/>
    <s v="Y"/>
    <x v="1"/>
    <n v="14"/>
    <n v="3"/>
    <n v="4"/>
    <n v="80"/>
    <n v="0"/>
    <n v="9"/>
    <x v="0"/>
    <n v="2"/>
    <s v="5-9 Years"/>
    <x v="1"/>
    <s v="5-9 Years"/>
    <x v="7"/>
    <s v="5-9 Years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n v="4319"/>
    <x v="1"/>
    <s v="Low Income"/>
    <s v="Low Income"/>
    <s v="Low Income"/>
    <n v="26283"/>
    <n v="1"/>
    <s v="Y"/>
    <x v="1"/>
    <n v="13"/>
    <n v="3"/>
    <n v="1"/>
    <n v="80"/>
    <n v="1"/>
    <n v="10"/>
    <x v="1"/>
    <n v="1"/>
    <s v="10-14 Years"/>
    <x v="1"/>
    <s v="10-14 Years"/>
    <x v="1"/>
    <s v="10-14 Years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n v="6132"/>
    <x v="0"/>
    <s v="Medium Income"/>
    <s v="Medium Income"/>
    <s v="Medium Income"/>
    <n v="13983"/>
    <n v="2"/>
    <s v="Y"/>
    <x v="1"/>
    <n v="17"/>
    <n v="3"/>
    <n v="3"/>
    <n v="80"/>
    <n v="0"/>
    <n v="10"/>
    <x v="2"/>
    <n v="2"/>
    <s v="0-4 Years"/>
    <x v="1"/>
    <s v="0-4 Years"/>
    <x v="6"/>
    <s v="0-4 Years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n v="3346"/>
    <x v="1"/>
    <s v="Low Income"/>
    <s v="Low Income"/>
    <s v="Low Income"/>
    <n v="11873"/>
    <n v="4"/>
    <s v="Y"/>
    <x v="0"/>
    <n v="20"/>
    <n v="4"/>
    <n v="2"/>
    <n v="80"/>
    <n v="1"/>
    <n v="9"/>
    <x v="2"/>
    <n v="3"/>
    <s v="0-4 Years"/>
    <x v="2"/>
    <s v="0-4 Years"/>
    <x v="6"/>
    <s v="0-4 Years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n v="10855"/>
    <x v="2"/>
    <s v="High Income"/>
    <s v="High Income"/>
    <s v="High Income"/>
    <n v="8552"/>
    <n v="7"/>
    <s v="Y"/>
    <x v="1"/>
    <n v="11"/>
    <n v="3"/>
    <n v="1"/>
    <n v="80"/>
    <n v="1"/>
    <n v="15"/>
    <x v="1"/>
    <n v="2"/>
    <s v="10-14 Years"/>
    <x v="2"/>
    <s v="10-14 Years"/>
    <x v="12"/>
    <s v="10-14 Years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n v="2231"/>
    <x v="1"/>
    <s v="Low Income"/>
    <s v="Low Income"/>
    <s v="Low Income"/>
    <n v="11314"/>
    <n v="6"/>
    <s v="Y"/>
    <x v="1"/>
    <n v="18"/>
    <n v="3"/>
    <n v="4"/>
    <n v="80"/>
    <n v="1"/>
    <n v="6"/>
    <x v="2"/>
    <n v="3"/>
    <s v="0-4 Years"/>
    <x v="1"/>
    <s v="0-4 Years"/>
    <x v="9"/>
    <s v="0-4 Years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n v="2323"/>
    <x v="1"/>
    <s v="Low Income"/>
    <s v="Low Income"/>
    <s v="Low Income"/>
    <n v="11992"/>
    <n v="1"/>
    <s v="Y"/>
    <x v="1"/>
    <n v="24"/>
    <n v="4"/>
    <n v="1"/>
    <n v="80"/>
    <n v="2"/>
    <n v="2"/>
    <x v="2"/>
    <n v="6"/>
    <s v="0-4 Years"/>
    <x v="1"/>
    <s v="0-4 Years"/>
    <x v="4"/>
    <s v="0-4 Years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x v="1"/>
    <s v="Divorced"/>
    <n v="2024"/>
    <x v="1"/>
    <s v="Low Income"/>
    <s v="Low Income"/>
    <s v="Low Income"/>
    <n v="5970"/>
    <n v="6"/>
    <s v="Y"/>
    <x v="1"/>
    <n v="18"/>
    <n v="3"/>
    <n v="4"/>
    <n v="80"/>
    <n v="1"/>
    <n v="6"/>
    <x v="2"/>
    <n v="1"/>
    <s v="0-4 Years"/>
    <x v="0"/>
    <s v="0-4 Years"/>
    <x v="4"/>
    <s v="0-4 Years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n v="2713"/>
    <x v="1"/>
    <s v="Low Income"/>
    <s v="Low Income"/>
    <s v="Low Income"/>
    <n v="6672"/>
    <n v="1"/>
    <s v="Y"/>
    <x v="1"/>
    <n v="11"/>
    <n v="3"/>
    <n v="3"/>
    <n v="80"/>
    <n v="1"/>
    <n v="5"/>
    <x v="0"/>
    <n v="2"/>
    <s v="5-9 Years"/>
    <x v="0"/>
    <s v="5-9 Years"/>
    <x v="8"/>
    <s v="5-9 Years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n v="9439"/>
    <x v="0"/>
    <s v="Medium Income"/>
    <s v="Medium Income"/>
    <s v="Medium Income"/>
    <n v="23402"/>
    <n v="3"/>
    <s v="Y"/>
    <x v="0"/>
    <n v="16"/>
    <n v="3"/>
    <n v="2"/>
    <n v="80"/>
    <n v="1"/>
    <n v="12"/>
    <x v="0"/>
    <n v="2"/>
    <s v="5-9 Years"/>
    <x v="0"/>
    <s v="5-9 Years"/>
    <x v="8"/>
    <s v="5-9 Years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n v="2566"/>
    <x v="1"/>
    <s v="Low Income"/>
    <s v="Low Income"/>
    <s v="Low Income"/>
    <n v="25326"/>
    <n v="1"/>
    <s v="Y"/>
    <x v="0"/>
    <n v="15"/>
    <n v="3"/>
    <n v="4"/>
    <n v="80"/>
    <n v="1"/>
    <n v="1"/>
    <x v="2"/>
    <n v="2"/>
    <s v="0-4 Years"/>
    <x v="2"/>
    <s v="0-4 Years"/>
    <x v="6"/>
    <s v="0-4 Years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n v="19926"/>
    <x v="2"/>
    <s v="High Income"/>
    <s v="High Income"/>
    <s v="High Income"/>
    <n v="17053"/>
    <n v="3"/>
    <s v="Y"/>
    <x v="1"/>
    <n v="15"/>
    <n v="3"/>
    <n v="2"/>
    <n v="80"/>
    <n v="0"/>
    <n v="21"/>
    <x v="0"/>
    <n v="5"/>
    <s v="5-9 Years"/>
    <x v="1"/>
    <s v="5-9 Years"/>
    <x v="8"/>
    <s v="5-9 Years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n v="2451"/>
    <x v="1"/>
    <s v="Low Income"/>
    <s v="Low Income"/>
    <s v="Low Income"/>
    <n v="4609"/>
    <n v="4"/>
    <s v="Y"/>
    <x v="1"/>
    <n v="12"/>
    <n v="3"/>
    <n v="1"/>
    <n v="80"/>
    <n v="1"/>
    <n v="13"/>
    <x v="0"/>
    <n v="2"/>
    <s v="5-9 Years"/>
    <x v="1"/>
    <s v="5-9 Years"/>
    <x v="7"/>
    <s v="5-9 Years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n v="9419"/>
    <x v="0"/>
    <s v="Medium Income"/>
    <s v="Medium Income"/>
    <s v="Medium Income"/>
    <n v="8053"/>
    <n v="2"/>
    <s v="Y"/>
    <x v="1"/>
    <n v="12"/>
    <n v="3"/>
    <n v="3"/>
    <n v="80"/>
    <n v="1"/>
    <n v="12"/>
    <x v="1"/>
    <n v="2"/>
    <s v="10-14 Years"/>
    <x v="1"/>
    <s v="10-14 Years"/>
    <x v="1"/>
    <s v="10-14 Years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n v="8686"/>
    <x v="0"/>
    <s v="Medium Income"/>
    <s v="Medium Income"/>
    <s v="Medium Income"/>
    <n v="12930"/>
    <n v="4"/>
    <s v="Y"/>
    <x v="1"/>
    <n v="22"/>
    <n v="4"/>
    <n v="3"/>
    <n v="80"/>
    <n v="0"/>
    <n v="12"/>
    <x v="0"/>
    <n v="2"/>
    <s v="5-9 Years"/>
    <x v="3"/>
    <s v="5-9 Years"/>
    <x v="3"/>
    <s v="5-9 Years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n v="3038"/>
    <x v="1"/>
    <s v="Low Income"/>
    <s v="Low Income"/>
    <s v="Low Income"/>
    <n v="12430"/>
    <n v="3"/>
    <s v="Y"/>
    <x v="1"/>
    <n v="20"/>
    <n v="4"/>
    <n v="1"/>
    <n v="80"/>
    <n v="0"/>
    <n v="8"/>
    <x v="0"/>
    <n v="2"/>
    <s v="5-9 Years"/>
    <x v="1"/>
    <s v="5-9 Years"/>
    <x v="8"/>
    <s v="5-9 Years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n v="3058"/>
    <x v="1"/>
    <s v="Low Income"/>
    <s v="Low Income"/>
    <s v="Low Income"/>
    <n v="13364"/>
    <n v="0"/>
    <s v="Y"/>
    <x v="0"/>
    <n v="16"/>
    <n v="3"/>
    <n v="4"/>
    <n v="80"/>
    <n v="1"/>
    <n v="6"/>
    <x v="0"/>
    <n v="3"/>
    <s v="5-9 Years"/>
    <x v="2"/>
    <s v="5-9 Years"/>
    <x v="8"/>
    <s v="5-9 Years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n v="2325"/>
    <x v="1"/>
    <s v="Low Income"/>
    <s v="Low Income"/>
    <s v="Low Income"/>
    <n v="20989"/>
    <n v="0"/>
    <s v="Y"/>
    <x v="1"/>
    <n v="21"/>
    <n v="4"/>
    <n v="1"/>
    <n v="80"/>
    <n v="0"/>
    <n v="1"/>
    <x v="2"/>
    <n v="5"/>
    <s v="0-4 Years"/>
    <x v="3"/>
    <s v="0-4 Years"/>
    <x v="2"/>
    <s v="0-4 Years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n v="2088"/>
    <x v="1"/>
    <s v="Low Income"/>
    <s v="Low Income"/>
    <s v="Low Income"/>
    <n v="15062"/>
    <n v="4"/>
    <s v="Y"/>
    <x v="1"/>
    <n v="12"/>
    <n v="3"/>
    <n v="3"/>
    <n v="80"/>
    <n v="0"/>
    <n v="13"/>
    <x v="0"/>
    <n v="3"/>
    <s v="5-9 Years"/>
    <x v="2"/>
    <s v="5-9 Years"/>
    <x v="3"/>
    <s v="5-9 Years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x v="3"/>
    <s v="Divorced"/>
    <n v="3072"/>
    <x v="1"/>
    <s v="Low Income"/>
    <s v="Low Income"/>
    <s v="Low Income"/>
    <n v="11012"/>
    <n v="1"/>
    <s v="Y"/>
    <x v="1"/>
    <n v="11"/>
    <n v="3"/>
    <n v="3"/>
    <n v="80"/>
    <n v="2"/>
    <n v="12"/>
    <x v="1"/>
    <n v="4"/>
    <s v="10-14 Years"/>
    <x v="1"/>
    <s v="10-14 Years"/>
    <x v="12"/>
    <s v="10-14 Years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n v="5006"/>
    <x v="0"/>
    <s v="Medium Income"/>
    <s v="Medium Income"/>
    <s v="Medium Income"/>
    <n v="6319"/>
    <n v="4"/>
    <s v="Y"/>
    <x v="0"/>
    <n v="11"/>
    <n v="3"/>
    <n v="1"/>
    <n v="80"/>
    <n v="1"/>
    <n v="9"/>
    <x v="0"/>
    <n v="3"/>
    <s v="5-9 Years"/>
    <x v="3"/>
    <s v="5-9 Years"/>
    <x v="8"/>
    <s v="5-9 Years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n v="4257"/>
    <x v="1"/>
    <s v="Low Income"/>
    <s v="Low Income"/>
    <s v="Low Income"/>
    <n v="13939"/>
    <n v="4"/>
    <s v="Y"/>
    <x v="0"/>
    <n v="18"/>
    <n v="3"/>
    <n v="3"/>
    <n v="80"/>
    <n v="1"/>
    <n v="19"/>
    <x v="2"/>
    <n v="3"/>
    <s v="0-4 Years"/>
    <x v="1"/>
    <s v="0-4 Years"/>
    <x v="4"/>
    <s v="0-4 Years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n v="2500"/>
    <x v="1"/>
    <s v="Low Income"/>
    <s v="Low Income"/>
    <s v="Low Income"/>
    <n v="10515"/>
    <n v="0"/>
    <s v="Y"/>
    <x v="1"/>
    <n v="14"/>
    <n v="3"/>
    <n v="1"/>
    <n v="80"/>
    <n v="0"/>
    <n v="4"/>
    <x v="2"/>
    <n v="2"/>
    <s v="0-4 Years"/>
    <x v="3"/>
    <s v="0-4 Years"/>
    <x v="11"/>
    <s v="0-4 Years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n v="1102"/>
    <x v="1"/>
    <s v="Low Income"/>
    <s v="Low Income"/>
    <s v="Low Income"/>
    <n v="9241"/>
    <n v="1"/>
    <s v="Y"/>
    <x v="1"/>
    <n v="22"/>
    <n v="4"/>
    <n v="3"/>
    <n v="80"/>
    <n v="0"/>
    <n v="1"/>
    <x v="2"/>
    <n v="3"/>
    <s v="0-4 Years"/>
    <x v="2"/>
    <s v="0-4 Years"/>
    <x v="6"/>
    <s v="0-4 Years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n v="10453"/>
    <x v="2"/>
    <s v="High Income"/>
    <s v="High Income"/>
    <s v="High Income"/>
    <n v="2137"/>
    <n v="1"/>
    <s v="Y"/>
    <x v="1"/>
    <n v="25"/>
    <n v="4"/>
    <n v="3"/>
    <n v="80"/>
    <n v="3"/>
    <n v="24"/>
    <x v="4"/>
    <n v="2"/>
    <s v="15-24 Years"/>
    <x v="1"/>
    <s v="15-24 Years"/>
    <x v="25"/>
    <s v="15-24 Years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n v="2288"/>
    <x v="1"/>
    <s v="Low Income"/>
    <s v="Low Income"/>
    <s v="Low Income"/>
    <n v="6319"/>
    <n v="1"/>
    <s v="Y"/>
    <x v="1"/>
    <n v="12"/>
    <n v="3"/>
    <n v="3"/>
    <n v="80"/>
    <n v="0"/>
    <n v="2"/>
    <x v="2"/>
    <n v="3"/>
    <s v="0-4 Years"/>
    <x v="1"/>
    <s v="0-4 Years"/>
    <x v="4"/>
    <s v="0-4 Years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n v="3929"/>
    <x v="1"/>
    <s v="Low Income"/>
    <s v="Low Income"/>
    <s v="Low Income"/>
    <n v="6984"/>
    <n v="8"/>
    <s v="Y"/>
    <x v="0"/>
    <n v="23"/>
    <n v="4"/>
    <n v="3"/>
    <n v="80"/>
    <n v="1"/>
    <n v="7"/>
    <x v="2"/>
    <n v="0"/>
    <s v="0-4 Years"/>
    <x v="1"/>
    <s v="0-4 Years"/>
    <x v="9"/>
    <s v="0-4 Years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n v="2311"/>
    <x v="1"/>
    <s v="Low Income"/>
    <s v="Low Income"/>
    <s v="Low Income"/>
    <n v="5711"/>
    <n v="2"/>
    <s v="Y"/>
    <x v="1"/>
    <n v="15"/>
    <n v="3"/>
    <n v="4"/>
    <n v="80"/>
    <n v="0"/>
    <n v="9"/>
    <x v="2"/>
    <n v="3"/>
    <s v="0-4 Years"/>
    <x v="1"/>
    <s v="0-4 Years"/>
    <x v="11"/>
    <s v="0-4 Years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n v="3140"/>
    <x v="1"/>
    <s v="Low Income"/>
    <s v="Low Income"/>
    <s v="Low Income"/>
    <n v="21728"/>
    <n v="1"/>
    <s v="Y"/>
    <x v="0"/>
    <n v="22"/>
    <n v="4"/>
    <n v="4"/>
    <n v="80"/>
    <n v="0"/>
    <n v="4"/>
    <x v="2"/>
    <n v="5"/>
    <s v="0-4 Years"/>
    <x v="2"/>
    <s v="0-4 Years"/>
    <x v="9"/>
    <s v="0-4 Years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n v="3690"/>
    <x v="1"/>
    <s v="Low Income"/>
    <s v="Low Income"/>
    <s v="Low Income"/>
    <n v="3425"/>
    <n v="2"/>
    <s v="Y"/>
    <x v="1"/>
    <n v="15"/>
    <n v="3"/>
    <n v="4"/>
    <n v="80"/>
    <n v="1"/>
    <n v="5"/>
    <x v="2"/>
    <n v="2"/>
    <s v="0-4 Years"/>
    <x v="2"/>
    <s v="0-4 Years"/>
    <x v="11"/>
    <s v="0-4 Years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n v="4450"/>
    <x v="1"/>
    <s v="Low Income"/>
    <s v="Low Income"/>
    <s v="Low Income"/>
    <n v="26250"/>
    <n v="1"/>
    <s v="Y"/>
    <x v="1"/>
    <n v="11"/>
    <n v="3"/>
    <n v="3"/>
    <n v="80"/>
    <n v="2"/>
    <n v="5"/>
    <x v="2"/>
    <n v="3"/>
    <s v="0-4 Years"/>
    <x v="1"/>
    <s v="0-4 Years"/>
    <x v="9"/>
    <s v="0-4 Years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n v="2756"/>
    <x v="1"/>
    <s v="Low Income"/>
    <s v="Low Income"/>
    <s v="Low Income"/>
    <n v="4673"/>
    <n v="1"/>
    <s v="Y"/>
    <x v="1"/>
    <n v="13"/>
    <n v="3"/>
    <n v="4"/>
    <n v="80"/>
    <n v="1"/>
    <n v="8"/>
    <x v="0"/>
    <n v="5"/>
    <s v="5-9 Years"/>
    <x v="1"/>
    <s v="5-9 Years"/>
    <x v="3"/>
    <s v="5-9 Years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n v="19033"/>
    <x v="2"/>
    <s v="High Income"/>
    <s v="High Income"/>
    <s v="High Income"/>
    <n v="6499"/>
    <n v="1"/>
    <s v="Y"/>
    <x v="1"/>
    <n v="14"/>
    <n v="3"/>
    <n v="2"/>
    <n v="80"/>
    <n v="1"/>
    <n v="21"/>
    <x v="4"/>
    <n v="2"/>
    <s v="15-24 Years"/>
    <x v="1"/>
    <s v="15-24 Years"/>
    <x v="23"/>
    <s v="15-24 Years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n v="18722"/>
    <x v="2"/>
    <s v="High Income"/>
    <s v="High Income"/>
    <s v="High Income"/>
    <n v="13339"/>
    <n v="8"/>
    <s v="Y"/>
    <x v="1"/>
    <n v="11"/>
    <n v="3"/>
    <n v="4"/>
    <n v="80"/>
    <n v="0"/>
    <n v="36"/>
    <x v="4"/>
    <n v="3"/>
    <s v="15-24 Years"/>
    <x v="1"/>
    <s v="15-24 Years"/>
    <x v="25"/>
    <s v="15-24 Years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n v="9547"/>
    <x v="0"/>
    <s v="Medium Income"/>
    <s v="Medium Income"/>
    <s v="Medium Income"/>
    <n v="14074"/>
    <n v="1"/>
    <s v="Y"/>
    <x v="1"/>
    <n v="17"/>
    <n v="3"/>
    <n v="3"/>
    <n v="80"/>
    <n v="0"/>
    <n v="10"/>
    <x v="1"/>
    <n v="2"/>
    <s v="10-14 Years"/>
    <x v="2"/>
    <s v="10-14 Years"/>
    <x v="1"/>
    <s v="10-14 Years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n v="13734"/>
    <x v="2"/>
    <s v="High Income"/>
    <s v="High Income"/>
    <s v="High Income"/>
    <n v="7192"/>
    <n v="3"/>
    <s v="Y"/>
    <x v="1"/>
    <n v="18"/>
    <n v="3"/>
    <n v="3"/>
    <n v="80"/>
    <n v="0"/>
    <n v="21"/>
    <x v="0"/>
    <n v="6"/>
    <s v="5-9 Years"/>
    <x v="1"/>
    <s v="5-9 Years"/>
    <x v="5"/>
    <s v="5-9 Years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n v="19999"/>
    <x v="2"/>
    <s v="High Income"/>
    <s v="High Income"/>
    <s v="High Income"/>
    <n v="5678"/>
    <n v="0"/>
    <s v="Y"/>
    <x v="1"/>
    <n v="14"/>
    <n v="3"/>
    <n v="1"/>
    <n v="80"/>
    <n v="1"/>
    <n v="34"/>
    <x v="3"/>
    <n v="5"/>
    <s v="25+ Years"/>
    <x v="1"/>
    <s v="25+ Years"/>
    <x v="26"/>
    <s v="25+ Years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n v="2279"/>
    <x v="1"/>
    <s v="Low Income"/>
    <s v="Low Income"/>
    <s v="Low Income"/>
    <n v="11781"/>
    <n v="1"/>
    <s v="Y"/>
    <x v="1"/>
    <n v="16"/>
    <n v="3"/>
    <n v="4"/>
    <n v="80"/>
    <n v="0"/>
    <n v="7"/>
    <x v="0"/>
    <n v="2"/>
    <s v="5-9 Years"/>
    <x v="2"/>
    <s v="5-9 Years"/>
    <x v="5"/>
    <s v="5-9 Years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n v="5916"/>
    <x v="0"/>
    <s v="Medium Income"/>
    <s v="Medium Income"/>
    <s v="Medium Income"/>
    <n v="15497"/>
    <n v="3"/>
    <s v="Y"/>
    <x v="0"/>
    <n v="13"/>
    <n v="3"/>
    <n v="1"/>
    <n v="80"/>
    <n v="0"/>
    <n v="8"/>
    <x v="2"/>
    <n v="1"/>
    <s v="0-4 Years"/>
    <x v="1"/>
    <s v="0-4 Years"/>
    <x v="6"/>
    <s v="0-4 Years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n v="2089"/>
    <x v="1"/>
    <s v="Low Income"/>
    <s v="Low Income"/>
    <s v="Low Income"/>
    <n v="5228"/>
    <n v="4"/>
    <s v="Y"/>
    <x v="1"/>
    <n v="14"/>
    <n v="3"/>
    <n v="4"/>
    <n v="80"/>
    <n v="3"/>
    <n v="7"/>
    <x v="0"/>
    <n v="3"/>
    <s v="5-9 Years"/>
    <x v="3"/>
    <s v="5-9 Years"/>
    <x v="8"/>
    <s v="5-9 Years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x v="0"/>
    <s v="Married"/>
    <n v="16792"/>
    <x v="2"/>
    <s v="High Income"/>
    <s v="High Income"/>
    <s v="High Income"/>
    <n v="20462"/>
    <n v="9"/>
    <s v="Y"/>
    <x v="1"/>
    <n v="23"/>
    <n v="4"/>
    <n v="4"/>
    <n v="80"/>
    <n v="1"/>
    <n v="22"/>
    <x v="4"/>
    <n v="1"/>
    <s v="15-24 Years"/>
    <x v="1"/>
    <s v="15-24 Years"/>
    <x v="23"/>
    <s v="15-24 Years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n v="3564"/>
    <x v="1"/>
    <s v="Low Income"/>
    <s v="Low Income"/>
    <s v="Low Income"/>
    <n v="22977"/>
    <n v="1"/>
    <s v="Y"/>
    <x v="0"/>
    <n v="12"/>
    <n v="3"/>
    <n v="1"/>
    <n v="80"/>
    <n v="1"/>
    <n v="8"/>
    <x v="0"/>
    <n v="3"/>
    <s v="5-9 Years"/>
    <x v="2"/>
    <s v="5-9 Years"/>
    <x v="3"/>
    <s v="5-9 Years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n v="4425"/>
    <x v="1"/>
    <s v="Low Income"/>
    <s v="Low Income"/>
    <s v="Low Income"/>
    <n v="15986"/>
    <n v="5"/>
    <s v="Y"/>
    <x v="1"/>
    <n v="11"/>
    <n v="3"/>
    <n v="4"/>
    <n v="80"/>
    <n v="0"/>
    <n v="10"/>
    <x v="0"/>
    <n v="5"/>
    <s v="5-9 Years"/>
    <x v="1"/>
    <s v="5-9 Years"/>
    <x v="0"/>
    <s v="5-9 Years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n v="5265"/>
    <x v="0"/>
    <s v="Medium Income"/>
    <s v="Medium Income"/>
    <s v="Medium Income"/>
    <n v="16439"/>
    <n v="2"/>
    <s v="Y"/>
    <x v="1"/>
    <n v="16"/>
    <n v="3"/>
    <n v="2"/>
    <n v="80"/>
    <n v="1"/>
    <n v="11"/>
    <x v="0"/>
    <n v="5"/>
    <s v="5-9 Years"/>
    <x v="1"/>
    <s v="5-9 Years"/>
    <x v="8"/>
    <s v="5-9 Years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n v="6553"/>
    <x v="0"/>
    <s v="Medium Income"/>
    <s v="Medium Income"/>
    <s v="Medium Income"/>
    <n v="7259"/>
    <n v="9"/>
    <s v="Y"/>
    <x v="1"/>
    <n v="14"/>
    <n v="3"/>
    <n v="2"/>
    <n v="80"/>
    <n v="0"/>
    <n v="14"/>
    <x v="2"/>
    <n v="3"/>
    <s v="0-4 Years"/>
    <x v="1"/>
    <s v="0-4 Years"/>
    <x v="6"/>
    <s v="0-4 Years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n v="6261"/>
    <x v="0"/>
    <s v="Medium Income"/>
    <s v="Medium Income"/>
    <s v="Medium Income"/>
    <n v="4185"/>
    <n v="3"/>
    <s v="Y"/>
    <x v="1"/>
    <n v="18"/>
    <n v="3"/>
    <n v="1"/>
    <n v="80"/>
    <n v="1"/>
    <n v="9"/>
    <x v="0"/>
    <n v="3"/>
    <s v="5-9 Years"/>
    <x v="0"/>
    <s v="5-9 Years"/>
    <x v="5"/>
    <s v="5-9 Years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n v="4298"/>
    <x v="1"/>
    <s v="Low Income"/>
    <s v="Low Income"/>
    <s v="Low Income"/>
    <n v="9679"/>
    <n v="5"/>
    <s v="Y"/>
    <x v="1"/>
    <n v="19"/>
    <n v="3"/>
    <n v="3"/>
    <n v="80"/>
    <n v="1"/>
    <n v="6"/>
    <x v="2"/>
    <n v="1"/>
    <s v="0-4 Years"/>
    <x v="1"/>
    <s v="0-4 Years"/>
    <x v="4"/>
    <s v="0-4 Years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n v="6804"/>
    <x v="0"/>
    <s v="Medium Income"/>
    <s v="Medium Income"/>
    <s v="Medium Income"/>
    <n v="23793"/>
    <n v="1"/>
    <s v="Y"/>
    <x v="0"/>
    <n v="15"/>
    <n v="3"/>
    <n v="1"/>
    <n v="80"/>
    <n v="2"/>
    <n v="7"/>
    <x v="0"/>
    <n v="0"/>
    <s v="5-9 Years"/>
    <x v="1"/>
    <s v="5-9 Years"/>
    <x v="5"/>
    <s v="5-9 Years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n v="3815"/>
    <x v="1"/>
    <s v="Low Income"/>
    <s v="Low Income"/>
    <s v="Low Income"/>
    <n v="5972"/>
    <n v="1"/>
    <s v="Y"/>
    <x v="0"/>
    <n v="17"/>
    <n v="3"/>
    <n v="4"/>
    <n v="80"/>
    <n v="1"/>
    <n v="5"/>
    <x v="0"/>
    <n v="4"/>
    <s v="5-9 Years"/>
    <x v="3"/>
    <s v="5-9 Years"/>
    <x v="8"/>
    <s v="5-9 Years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n v="2741"/>
    <x v="1"/>
    <s v="Low Income"/>
    <s v="Low Income"/>
    <s v="Low Income"/>
    <n v="16523"/>
    <n v="8"/>
    <s v="Y"/>
    <x v="0"/>
    <n v="15"/>
    <n v="3"/>
    <n v="3"/>
    <n v="80"/>
    <n v="1"/>
    <n v="15"/>
    <x v="0"/>
    <n v="2"/>
    <s v="5-9 Years"/>
    <x v="3"/>
    <s v="5-9 Years"/>
    <x v="5"/>
    <s v="5-9 Years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n v="6673"/>
    <x v="0"/>
    <s v="Medium Income"/>
    <s v="Medium Income"/>
    <s v="Medium Income"/>
    <n v="11354"/>
    <n v="7"/>
    <s v="Y"/>
    <x v="0"/>
    <n v="19"/>
    <n v="3"/>
    <n v="2"/>
    <n v="80"/>
    <n v="0"/>
    <n v="17"/>
    <x v="2"/>
    <n v="2"/>
    <s v="0-4 Years"/>
    <x v="1"/>
    <s v="0-4 Years"/>
    <x v="6"/>
    <s v="0-4 Years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n v="7639"/>
    <x v="0"/>
    <s v="Medium Income"/>
    <s v="Medium Income"/>
    <s v="Medium Income"/>
    <n v="24525"/>
    <n v="1"/>
    <s v="Y"/>
    <x v="1"/>
    <n v="22"/>
    <n v="4"/>
    <n v="4"/>
    <n v="80"/>
    <n v="3"/>
    <n v="10"/>
    <x v="1"/>
    <n v="3"/>
    <s v="10-14 Years"/>
    <x v="2"/>
    <s v="10-14 Years"/>
    <x v="1"/>
    <s v="10-14 Years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n v="2328"/>
    <x v="1"/>
    <s v="Low Income"/>
    <s v="Low Income"/>
    <s v="Low Income"/>
    <n v="12392"/>
    <n v="1"/>
    <s v="Y"/>
    <x v="0"/>
    <n v="16"/>
    <n v="3"/>
    <n v="1"/>
    <n v="80"/>
    <n v="1"/>
    <n v="4"/>
    <x v="2"/>
    <n v="2"/>
    <s v="0-4 Years"/>
    <x v="2"/>
    <s v="0-4 Years"/>
    <x v="9"/>
    <s v="0-4 Years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n v="2153"/>
    <x v="1"/>
    <s v="Low Income"/>
    <s v="Low Income"/>
    <s v="Low Income"/>
    <n v="7703"/>
    <n v="1"/>
    <s v="Y"/>
    <x v="1"/>
    <n v="13"/>
    <n v="3"/>
    <n v="1"/>
    <n v="80"/>
    <n v="0"/>
    <n v="8"/>
    <x v="0"/>
    <n v="2"/>
    <s v="5-9 Years"/>
    <x v="1"/>
    <s v="5-9 Years"/>
    <x v="3"/>
    <s v="5-9 Years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n v="4876"/>
    <x v="1"/>
    <s v="Low Income"/>
    <s v="Low Income"/>
    <s v="Low Income"/>
    <n v="14242"/>
    <n v="9"/>
    <s v="Y"/>
    <x v="1"/>
    <n v="14"/>
    <n v="3"/>
    <n v="4"/>
    <n v="80"/>
    <n v="1"/>
    <n v="5"/>
    <x v="2"/>
    <n v="5"/>
    <s v="0-4 Years"/>
    <x v="0"/>
    <s v="0-4 Years"/>
    <x v="11"/>
    <s v="0-4 Years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n v="9396"/>
    <x v="0"/>
    <s v="Medium Income"/>
    <s v="Medium Income"/>
    <s v="Medium Income"/>
    <n v="12368"/>
    <n v="7"/>
    <s v="Y"/>
    <x v="1"/>
    <n v="16"/>
    <n v="3"/>
    <n v="3"/>
    <n v="80"/>
    <n v="1"/>
    <n v="17"/>
    <x v="2"/>
    <n v="3"/>
    <s v="0-4 Years"/>
    <x v="1"/>
    <s v="0-4 Years"/>
    <x v="9"/>
    <s v="0-4 Years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n v="10400"/>
    <x v="2"/>
    <s v="High Income"/>
    <s v="High Income"/>
    <s v="High Income"/>
    <n v="25812"/>
    <n v="1"/>
    <s v="Y"/>
    <x v="1"/>
    <n v="11"/>
    <n v="3"/>
    <n v="3"/>
    <n v="80"/>
    <n v="0"/>
    <n v="14"/>
    <x v="1"/>
    <n v="2"/>
    <s v="10-14 Years"/>
    <x v="2"/>
    <s v="10-14 Years"/>
    <x v="13"/>
    <s v="10-14 Years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n v="8474"/>
    <x v="0"/>
    <s v="Medium Income"/>
    <s v="Medium Income"/>
    <s v="Medium Income"/>
    <n v="20925"/>
    <n v="1"/>
    <s v="Y"/>
    <x v="1"/>
    <n v="22"/>
    <n v="4"/>
    <n v="3"/>
    <n v="80"/>
    <n v="0"/>
    <n v="12"/>
    <x v="1"/>
    <n v="2"/>
    <s v="10-14 Years"/>
    <x v="1"/>
    <s v="10-14 Years"/>
    <x v="19"/>
    <s v="10-14 Years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n v="9981"/>
    <x v="0"/>
    <s v="Medium Income"/>
    <s v="Medium Income"/>
    <s v="Medium Income"/>
    <n v="12916"/>
    <n v="1"/>
    <s v="Y"/>
    <x v="1"/>
    <n v="14"/>
    <n v="3"/>
    <n v="4"/>
    <n v="80"/>
    <n v="0"/>
    <n v="7"/>
    <x v="0"/>
    <n v="2"/>
    <s v="5-9 Years"/>
    <x v="1"/>
    <s v="5-9 Years"/>
    <x v="5"/>
    <s v="5-9 Years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n v="12490"/>
    <x v="2"/>
    <s v="High Income"/>
    <s v="High Income"/>
    <s v="High Income"/>
    <n v="15736"/>
    <n v="5"/>
    <s v="Y"/>
    <x v="1"/>
    <n v="16"/>
    <n v="3"/>
    <n v="4"/>
    <n v="80"/>
    <n v="2"/>
    <n v="16"/>
    <x v="1"/>
    <n v="5"/>
    <s v="10-14 Years"/>
    <x v="0"/>
    <s v="10-14 Years"/>
    <x v="1"/>
    <s v="10-14 Years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n v="2657"/>
    <x v="1"/>
    <s v="Low Income"/>
    <s v="Low Income"/>
    <s v="Low Income"/>
    <n v="8556"/>
    <n v="5"/>
    <s v="Y"/>
    <x v="0"/>
    <n v="11"/>
    <n v="3"/>
    <n v="3"/>
    <n v="80"/>
    <n v="0"/>
    <n v="8"/>
    <x v="0"/>
    <n v="5"/>
    <s v="5-9 Years"/>
    <x v="1"/>
    <s v="5-9 Years"/>
    <x v="8"/>
    <s v="5-9 Years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n v="13591"/>
    <x v="2"/>
    <s v="High Income"/>
    <s v="High Income"/>
    <s v="High Income"/>
    <n v="14674"/>
    <n v="3"/>
    <s v="Y"/>
    <x v="0"/>
    <n v="18"/>
    <n v="3"/>
    <n v="3"/>
    <n v="80"/>
    <n v="0"/>
    <n v="16"/>
    <x v="2"/>
    <n v="3"/>
    <s v="0-4 Years"/>
    <x v="1"/>
    <s v="0-4 Years"/>
    <x v="6"/>
    <s v="0-4 Years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n v="6696"/>
    <x v="0"/>
    <s v="Medium Income"/>
    <s v="Medium Income"/>
    <s v="Medium Income"/>
    <n v="22967"/>
    <n v="5"/>
    <s v="Y"/>
    <x v="1"/>
    <n v="15"/>
    <n v="3"/>
    <n v="3"/>
    <n v="80"/>
    <n v="0"/>
    <n v="9"/>
    <x v="0"/>
    <n v="5"/>
    <s v="5-9 Years"/>
    <x v="2"/>
    <s v="5-9 Years"/>
    <x v="0"/>
    <s v="5-9 Years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n v="2058"/>
    <x v="1"/>
    <s v="Low Income"/>
    <s v="Low Income"/>
    <s v="Low Income"/>
    <n v="19757"/>
    <n v="0"/>
    <s v="Y"/>
    <x v="1"/>
    <n v="14"/>
    <n v="3"/>
    <n v="4"/>
    <n v="80"/>
    <n v="0"/>
    <n v="7"/>
    <x v="0"/>
    <n v="1"/>
    <s v="5-9 Years"/>
    <x v="2"/>
    <s v="5-9 Years"/>
    <x v="0"/>
    <s v="5-9 Years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n v="8865"/>
    <x v="0"/>
    <s v="Medium Income"/>
    <s v="Medium Income"/>
    <s v="Medium Income"/>
    <n v="16840"/>
    <n v="6"/>
    <s v="Y"/>
    <x v="1"/>
    <n v="12"/>
    <n v="3"/>
    <n v="4"/>
    <n v="80"/>
    <n v="0"/>
    <n v="23"/>
    <x v="4"/>
    <n v="2"/>
    <s v="15-24 Years"/>
    <x v="1"/>
    <s v="15-24 Years"/>
    <x v="27"/>
    <s v="15-24 Years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n v="5940"/>
    <x v="0"/>
    <s v="Medium Income"/>
    <s v="Medium Income"/>
    <s v="Medium Income"/>
    <n v="17011"/>
    <n v="2"/>
    <s v="Y"/>
    <x v="1"/>
    <n v="14"/>
    <n v="3"/>
    <n v="4"/>
    <n v="80"/>
    <n v="1"/>
    <n v="16"/>
    <x v="0"/>
    <n v="4"/>
    <s v="5-9 Years"/>
    <x v="1"/>
    <s v="5-9 Years"/>
    <x v="0"/>
    <s v="5-9 Years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n v="5914"/>
    <x v="0"/>
    <s v="Medium Income"/>
    <s v="Medium Income"/>
    <s v="Medium Income"/>
    <n v="9945"/>
    <n v="8"/>
    <s v="Y"/>
    <x v="1"/>
    <n v="16"/>
    <n v="3"/>
    <n v="4"/>
    <n v="80"/>
    <n v="0"/>
    <n v="16"/>
    <x v="1"/>
    <n v="3"/>
    <s v="10-14 Years"/>
    <x v="3"/>
    <s v="10-14 Years"/>
    <x v="20"/>
    <s v="10-14 Years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n v="2622"/>
    <x v="1"/>
    <s v="Low Income"/>
    <s v="Low Income"/>
    <s v="Low Income"/>
    <n v="13248"/>
    <n v="6"/>
    <s v="Y"/>
    <x v="1"/>
    <n v="21"/>
    <n v="4"/>
    <n v="4"/>
    <n v="80"/>
    <n v="0"/>
    <n v="7"/>
    <x v="2"/>
    <n v="3"/>
    <s v="0-4 Years"/>
    <x v="1"/>
    <s v="0-4 Years"/>
    <x v="11"/>
    <s v="0-4 Years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n v="12185"/>
    <x v="2"/>
    <s v="High Income"/>
    <s v="High Income"/>
    <s v="High Income"/>
    <n v="10056"/>
    <n v="1"/>
    <s v="Y"/>
    <x v="0"/>
    <n v="14"/>
    <n v="3"/>
    <n v="3"/>
    <n v="80"/>
    <n v="3"/>
    <n v="10"/>
    <x v="1"/>
    <n v="1"/>
    <s v="10-14 Years"/>
    <x v="1"/>
    <s v="10-14 Years"/>
    <x v="1"/>
    <s v="10-14 Years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n v="10609"/>
    <x v="2"/>
    <s v="High Income"/>
    <s v="High Income"/>
    <s v="High Income"/>
    <n v="9647"/>
    <n v="0"/>
    <s v="Y"/>
    <x v="1"/>
    <n v="12"/>
    <n v="3"/>
    <n v="3"/>
    <n v="80"/>
    <n v="2"/>
    <n v="17"/>
    <x v="4"/>
    <n v="6"/>
    <s v="15-24 Years"/>
    <x v="2"/>
    <s v="15-24 Years"/>
    <x v="22"/>
    <s v="15-24 Years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x v="2"/>
    <s v="Married"/>
    <n v="4345"/>
    <x v="1"/>
    <s v="Low Income"/>
    <s v="Low Income"/>
    <s v="Low Income"/>
    <n v="4381"/>
    <n v="0"/>
    <s v="Y"/>
    <x v="1"/>
    <n v="12"/>
    <n v="3"/>
    <n v="4"/>
    <n v="80"/>
    <n v="1"/>
    <n v="6"/>
    <x v="0"/>
    <n v="2"/>
    <s v="5-9 Years"/>
    <x v="1"/>
    <s v="5-9 Years"/>
    <x v="8"/>
    <s v="5-9 Years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n v="2177"/>
    <x v="1"/>
    <s v="Low Income"/>
    <s v="Low Income"/>
    <s v="Low Income"/>
    <n v="8456"/>
    <n v="3"/>
    <s v="Y"/>
    <x v="1"/>
    <n v="17"/>
    <n v="3"/>
    <n v="1"/>
    <n v="80"/>
    <n v="1"/>
    <n v="7"/>
    <x v="2"/>
    <n v="6"/>
    <s v="0-4 Years"/>
    <x v="1"/>
    <s v="0-4 Years"/>
    <x v="6"/>
    <s v="0-4 Years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n v="2793"/>
    <x v="1"/>
    <s v="Low Income"/>
    <s v="Low Income"/>
    <s v="Low Income"/>
    <n v="2539"/>
    <n v="4"/>
    <s v="Y"/>
    <x v="1"/>
    <n v="17"/>
    <n v="3"/>
    <n v="3"/>
    <n v="80"/>
    <n v="1"/>
    <n v="13"/>
    <x v="0"/>
    <n v="2"/>
    <s v="5-9 Years"/>
    <x v="1"/>
    <s v="5-9 Years"/>
    <x v="7"/>
    <s v="5-9 Years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n v="7918"/>
    <x v="0"/>
    <s v="Medium Income"/>
    <s v="Medium Income"/>
    <s v="Medium Income"/>
    <n v="6599"/>
    <n v="1"/>
    <s v="Y"/>
    <x v="1"/>
    <n v="14"/>
    <n v="3"/>
    <n v="4"/>
    <n v="80"/>
    <n v="1"/>
    <n v="11"/>
    <x v="1"/>
    <n v="5"/>
    <s v="10-14 Years"/>
    <x v="1"/>
    <s v="10-14 Years"/>
    <x v="19"/>
    <s v="10-14 Years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n v="8789"/>
    <x v="0"/>
    <s v="Medium Income"/>
    <s v="Medium Income"/>
    <s v="Medium Income"/>
    <n v="9096"/>
    <n v="1"/>
    <s v="Y"/>
    <x v="1"/>
    <n v="14"/>
    <n v="3"/>
    <n v="1"/>
    <n v="80"/>
    <n v="0"/>
    <n v="10"/>
    <x v="1"/>
    <n v="3"/>
    <s v="10-14 Years"/>
    <x v="3"/>
    <s v="10-14 Years"/>
    <x v="1"/>
    <s v="10-14 Years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n v="2389"/>
    <x v="1"/>
    <s v="Low Income"/>
    <s v="Low Income"/>
    <s v="Low Income"/>
    <n v="14961"/>
    <n v="1"/>
    <s v="Y"/>
    <x v="0"/>
    <n v="13"/>
    <n v="3"/>
    <n v="3"/>
    <n v="80"/>
    <n v="0"/>
    <n v="4"/>
    <x v="2"/>
    <n v="3"/>
    <s v="0-4 Years"/>
    <x v="2"/>
    <s v="0-4 Years"/>
    <x v="9"/>
    <s v="0-4 Years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n v="3212"/>
    <x v="1"/>
    <s v="Low Income"/>
    <s v="Low Income"/>
    <s v="Low Income"/>
    <n v="3300"/>
    <n v="7"/>
    <s v="Y"/>
    <x v="1"/>
    <n v="15"/>
    <n v="3"/>
    <n v="2"/>
    <n v="80"/>
    <n v="0"/>
    <n v="6"/>
    <x v="2"/>
    <n v="3"/>
    <s v="0-4 Years"/>
    <x v="2"/>
    <s v="0-4 Years"/>
    <x v="4"/>
    <s v="0-4 Years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n v="19232"/>
    <x v="2"/>
    <s v="High Income"/>
    <s v="High Income"/>
    <s v="High Income"/>
    <n v="4933"/>
    <n v="1"/>
    <s v="Y"/>
    <x v="1"/>
    <n v="11"/>
    <n v="3"/>
    <n v="4"/>
    <n v="80"/>
    <n v="0"/>
    <n v="22"/>
    <x v="4"/>
    <n v="3"/>
    <s v="15-24 Years"/>
    <x v="1"/>
    <s v="15-24 Years"/>
    <x v="14"/>
    <s v="15-24 Years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n v="2267"/>
    <x v="1"/>
    <s v="Low Income"/>
    <s v="Low Income"/>
    <s v="Low Income"/>
    <n v="25657"/>
    <n v="8"/>
    <s v="Y"/>
    <x v="1"/>
    <n v="17"/>
    <n v="3"/>
    <n v="4"/>
    <n v="80"/>
    <n v="0"/>
    <n v="7"/>
    <x v="2"/>
    <n v="2"/>
    <s v="0-4 Years"/>
    <x v="2"/>
    <s v="0-4 Years"/>
    <x v="4"/>
    <s v="0-4 Years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n v="19517"/>
    <x v="2"/>
    <s v="High Income"/>
    <s v="High Income"/>
    <s v="High Income"/>
    <n v="24118"/>
    <n v="3"/>
    <s v="Y"/>
    <x v="1"/>
    <n v="11"/>
    <n v="3"/>
    <n v="3"/>
    <n v="80"/>
    <n v="1"/>
    <n v="32"/>
    <x v="0"/>
    <n v="3"/>
    <s v="5-9 Years"/>
    <x v="2"/>
    <s v="5-9 Years"/>
    <x v="5"/>
    <s v="5-9 Years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n v="2436"/>
    <x v="1"/>
    <s v="Low Income"/>
    <s v="Low Income"/>
    <s v="Low Income"/>
    <n v="22149"/>
    <n v="5"/>
    <s v="Y"/>
    <x v="0"/>
    <n v="13"/>
    <n v="3"/>
    <n v="3"/>
    <n v="80"/>
    <n v="1"/>
    <n v="8"/>
    <x v="0"/>
    <n v="2"/>
    <s v="5-9 Years"/>
    <x v="0"/>
    <s v="5-9 Years"/>
    <x v="8"/>
    <s v="5-9 Years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n v="16064"/>
    <x v="2"/>
    <s v="High Income"/>
    <s v="High Income"/>
    <s v="High Income"/>
    <n v="7744"/>
    <n v="5"/>
    <s v="Y"/>
    <x v="0"/>
    <n v="22"/>
    <n v="4"/>
    <n v="3"/>
    <n v="80"/>
    <n v="1"/>
    <n v="22"/>
    <x v="4"/>
    <n v="3"/>
    <s v="15-24 Years"/>
    <x v="1"/>
    <s v="15-24 Years"/>
    <x v="18"/>
    <s v="15-24 Years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n v="2707"/>
    <x v="1"/>
    <s v="Low Income"/>
    <s v="Low Income"/>
    <s v="Low Income"/>
    <n v="21509"/>
    <n v="7"/>
    <s v="Y"/>
    <x v="1"/>
    <n v="20"/>
    <n v="4"/>
    <n v="1"/>
    <n v="80"/>
    <n v="0"/>
    <n v="13"/>
    <x v="0"/>
    <n v="3"/>
    <s v="5-9 Years"/>
    <x v="3"/>
    <s v="5-9 Years"/>
    <x v="7"/>
    <s v="5-9 Years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n v="19068"/>
    <x v="2"/>
    <s v="High Income"/>
    <s v="High Income"/>
    <s v="High Income"/>
    <n v="21030"/>
    <n v="1"/>
    <s v="Y"/>
    <x v="0"/>
    <n v="18"/>
    <n v="3"/>
    <n v="4"/>
    <n v="80"/>
    <n v="0"/>
    <n v="33"/>
    <x v="3"/>
    <n v="2"/>
    <s v="25+ Years"/>
    <x v="3"/>
    <s v="25+ Years"/>
    <x v="26"/>
    <s v="25+ Years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n v="3931"/>
    <x v="1"/>
    <s v="Low Income"/>
    <s v="Low Income"/>
    <s v="Low Income"/>
    <n v="20990"/>
    <n v="2"/>
    <s v="Y"/>
    <x v="1"/>
    <n v="11"/>
    <n v="3"/>
    <n v="1"/>
    <n v="80"/>
    <n v="1"/>
    <n v="6"/>
    <x v="2"/>
    <n v="5"/>
    <s v="0-4 Years"/>
    <x v="1"/>
    <s v="0-4 Years"/>
    <x v="9"/>
    <s v="0-4 Years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n v="3730"/>
    <x v="1"/>
    <s v="Low Income"/>
    <s v="Low Income"/>
    <s v="Low Income"/>
    <n v="9571"/>
    <n v="0"/>
    <s v="Y"/>
    <x v="0"/>
    <n v="14"/>
    <n v="3"/>
    <n v="4"/>
    <n v="80"/>
    <n v="0"/>
    <n v="4"/>
    <x v="2"/>
    <n v="2"/>
    <s v="0-4 Years"/>
    <x v="0"/>
    <s v="0-4 Years"/>
    <x v="11"/>
    <s v="0-4 Years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n v="2232"/>
    <x v="1"/>
    <s v="Low Income"/>
    <s v="Low Income"/>
    <s v="Low Income"/>
    <n v="15417"/>
    <n v="7"/>
    <s v="Y"/>
    <x v="1"/>
    <n v="14"/>
    <n v="3"/>
    <n v="3"/>
    <n v="80"/>
    <n v="3"/>
    <n v="7"/>
    <x v="2"/>
    <n v="1"/>
    <s v="0-4 Years"/>
    <x v="1"/>
    <s v="0-4 Years"/>
    <x v="11"/>
    <s v="0-4 Years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n v="4465"/>
    <x v="1"/>
    <s v="Low Income"/>
    <s v="Low Income"/>
    <s v="Low Income"/>
    <n v="12069"/>
    <n v="0"/>
    <s v="Y"/>
    <x v="1"/>
    <n v="18"/>
    <n v="3"/>
    <n v="1"/>
    <n v="80"/>
    <n v="0"/>
    <n v="4"/>
    <x v="2"/>
    <n v="2"/>
    <s v="0-4 Years"/>
    <x v="1"/>
    <s v="0-4 Years"/>
    <x v="11"/>
    <s v="0-4 Years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n v="3072"/>
    <x v="1"/>
    <s v="Low Income"/>
    <s v="Low Income"/>
    <s v="Low Income"/>
    <n v="19877"/>
    <n v="2"/>
    <s v="Y"/>
    <x v="1"/>
    <n v="16"/>
    <n v="3"/>
    <n v="1"/>
    <n v="80"/>
    <n v="2"/>
    <n v="17"/>
    <x v="2"/>
    <n v="2"/>
    <s v="0-4 Years"/>
    <x v="2"/>
    <s v="0-4 Years"/>
    <x v="6"/>
    <s v="0-4 Years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n v="3319"/>
    <x v="1"/>
    <s v="Low Income"/>
    <s v="Low Income"/>
    <s v="Low Income"/>
    <n v="24447"/>
    <n v="1"/>
    <s v="Y"/>
    <x v="1"/>
    <n v="17"/>
    <n v="3"/>
    <n v="1"/>
    <n v="80"/>
    <n v="2"/>
    <n v="9"/>
    <x v="0"/>
    <n v="3"/>
    <s v="5-9 Years"/>
    <x v="1"/>
    <s v="5-9 Years"/>
    <x v="7"/>
    <s v="5-9 Years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x v="0"/>
    <s v="Married"/>
    <n v="19202"/>
    <x v="2"/>
    <s v="High Income"/>
    <s v="High Income"/>
    <s v="High Income"/>
    <n v="15970"/>
    <n v="0"/>
    <s v="Y"/>
    <x v="1"/>
    <n v="11"/>
    <n v="3"/>
    <n v="3"/>
    <n v="80"/>
    <n v="1"/>
    <n v="25"/>
    <x v="4"/>
    <n v="2"/>
    <s v="15-24 Years"/>
    <x v="1"/>
    <s v="15-24 Years"/>
    <x v="25"/>
    <s v="15-24 Years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n v="13675"/>
    <x v="2"/>
    <s v="High Income"/>
    <s v="High Income"/>
    <s v="High Income"/>
    <n v="13523"/>
    <n v="9"/>
    <s v="Y"/>
    <x v="1"/>
    <n v="12"/>
    <n v="3"/>
    <n v="1"/>
    <n v="80"/>
    <n v="1"/>
    <n v="9"/>
    <x v="2"/>
    <n v="3"/>
    <s v="0-4 Years"/>
    <x v="1"/>
    <s v="0-4 Years"/>
    <x v="4"/>
    <s v="0-4 Years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n v="2911"/>
    <x v="1"/>
    <s v="Low Income"/>
    <s v="Low Income"/>
    <s v="Low Income"/>
    <n v="14776"/>
    <n v="1"/>
    <s v="Y"/>
    <x v="1"/>
    <n v="13"/>
    <n v="3"/>
    <n v="3"/>
    <n v="80"/>
    <n v="1"/>
    <n v="2"/>
    <x v="2"/>
    <n v="2"/>
    <s v="0-4 Years"/>
    <x v="2"/>
    <s v="0-4 Years"/>
    <x v="4"/>
    <s v="0-4 Years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n v="5957"/>
    <x v="0"/>
    <s v="Medium Income"/>
    <s v="Medium Income"/>
    <s v="Medium Income"/>
    <n v="23687"/>
    <n v="6"/>
    <s v="Y"/>
    <x v="1"/>
    <n v="13"/>
    <n v="3"/>
    <n v="2"/>
    <n v="80"/>
    <n v="1"/>
    <n v="13"/>
    <x v="1"/>
    <n v="3"/>
    <s v="10-14 Years"/>
    <x v="1"/>
    <s v="10-14 Years"/>
    <x v="19"/>
    <s v="10-14 Years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n v="3920"/>
    <x v="1"/>
    <s v="Low Income"/>
    <s v="Low Income"/>
    <s v="Low Income"/>
    <n v="18697"/>
    <n v="2"/>
    <s v="Y"/>
    <x v="1"/>
    <n v="14"/>
    <n v="3"/>
    <n v="1"/>
    <n v="80"/>
    <n v="1"/>
    <n v="17"/>
    <x v="2"/>
    <n v="2"/>
    <s v="0-4 Years"/>
    <x v="2"/>
    <s v="0-4 Years"/>
    <x v="11"/>
    <s v="0-4 Years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n v="6434"/>
    <x v="0"/>
    <s v="Medium Income"/>
    <s v="Medium Income"/>
    <s v="Medium Income"/>
    <n v="5118"/>
    <n v="4"/>
    <s v="Y"/>
    <x v="1"/>
    <n v="17"/>
    <n v="3"/>
    <n v="4"/>
    <n v="80"/>
    <n v="1"/>
    <n v="9"/>
    <x v="2"/>
    <n v="1"/>
    <s v="0-4 Years"/>
    <x v="1"/>
    <s v="0-4 Years"/>
    <x v="11"/>
    <s v="0-4 Years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n v="10048"/>
    <x v="2"/>
    <s v="High Income"/>
    <s v="High Income"/>
    <s v="High Income"/>
    <n v="22573"/>
    <n v="6"/>
    <s v="Y"/>
    <x v="1"/>
    <n v="11"/>
    <n v="3"/>
    <n v="2"/>
    <n v="80"/>
    <n v="2"/>
    <n v="17"/>
    <x v="2"/>
    <n v="5"/>
    <s v="0-4 Years"/>
    <x v="1"/>
    <s v="0-4 Years"/>
    <x v="6"/>
    <s v="0-4 Years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n v="10938"/>
    <x v="2"/>
    <s v="High Income"/>
    <s v="High Income"/>
    <s v="High Income"/>
    <n v="6420"/>
    <n v="0"/>
    <s v="Y"/>
    <x v="1"/>
    <n v="25"/>
    <n v="4"/>
    <n v="4"/>
    <n v="80"/>
    <n v="0"/>
    <n v="20"/>
    <x v="4"/>
    <n v="1"/>
    <s v="15-24 Years"/>
    <x v="1"/>
    <s v="15-24 Years"/>
    <x v="27"/>
    <s v="15-24 Years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n v="2340"/>
    <x v="1"/>
    <s v="Low Income"/>
    <s v="Low Income"/>
    <s v="Low Income"/>
    <n v="22673"/>
    <n v="1"/>
    <s v="Y"/>
    <x v="1"/>
    <n v="19"/>
    <n v="3"/>
    <n v="1"/>
    <n v="80"/>
    <n v="0"/>
    <n v="6"/>
    <x v="0"/>
    <n v="1"/>
    <s v="5-9 Years"/>
    <x v="1"/>
    <s v="5-9 Years"/>
    <x v="0"/>
    <s v="5-9 Years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n v="6545"/>
    <x v="0"/>
    <s v="Medium Income"/>
    <s v="Medium Income"/>
    <s v="Medium Income"/>
    <n v="23016"/>
    <n v="3"/>
    <s v="Y"/>
    <x v="0"/>
    <n v="13"/>
    <n v="3"/>
    <n v="3"/>
    <n v="80"/>
    <n v="0"/>
    <n v="10"/>
    <x v="2"/>
    <n v="1"/>
    <s v="0-4 Years"/>
    <x v="1"/>
    <s v="0-4 Years"/>
    <x v="11"/>
    <s v="0-4 Years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n v="6931"/>
    <x v="0"/>
    <s v="Medium Income"/>
    <s v="Medium Income"/>
    <s v="Medium Income"/>
    <n v="10732"/>
    <n v="2"/>
    <s v="Y"/>
    <x v="1"/>
    <n v="14"/>
    <n v="3"/>
    <n v="4"/>
    <n v="80"/>
    <n v="1"/>
    <n v="10"/>
    <x v="2"/>
    <n v="2"/>
    <s v="0-4 Years"/>
    <x v="1"/>
    <s v="0-4 Years"/>
    <x v="11"/>
    <s v="0-4 Years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n v="4898"/>
    <x v="1"/>
    <s v="Low Income"/>
    <s v="Low Income"/>
    <s v="Low Income"/>
    <n v="7505"/>
    <n v="0"/>
    <s v="Y"/>
    <x v="1"/>
    <n v="12"/>
    <n v="3"/>
    <n v="4"/>
    <n v="80"/>
    <n v="2"/>
    <n v="5"/>
    <x v="2"/>
    <n v="3"/>
    <s v="0-4 Years"/>
    <x v="1"/>
    <s v="0-4 Years"/>
    <x v="9"/>
    <s v="0-4 Years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n v="2593"/>
    <x v="1"/>
    <s v="Low Income"/>
    <s v="Low Income"/>
    <s v="Low Income"/>
    <n v="8007"/>
    <n v="0"/>
    <s v="Y"/>
    <x v="0"/>
    <n v="11"/>
    <n v="3"/>
    <n v="3"/>
    <n v="80"/>
    <n v="1"/>
    <n v="10"/>
    <x v="0"/>
    <n v="4"/>
    <s v="5-9 Years"/>
    <x v="1"/>
    <s v="5-9 Years"/>
    <x v="7"/>
    <s v="5-9 Years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n v="19436"/>
    <x v="2"/>
    <s v="High Income"/>
    <s v="High Income"/>
    <s v="High Income"/>
    <n v="5949"/>
    <n v="0"/>
    <s v="Y"/>
    <x v="1"/>
    <n v="19"/>
    <n v="3"/>
    <n v="4"/>
    <n v="80"/>
    <n v="1"/>
    <n v="22"/>
    <x v="4"/>
    <n v="5"/>
    <s v="15-24 Years"/>
    <x v="1"/>
    <s v="15-24 Years"/>
    <x v="17"/>
    <s v="15-24 Years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n v="2723"/>
    <x v="1"/>
    <s v="Low Income"/>
    <s v="Low Income"/>
    <s v="Low Income"/>
    <n v="23231"/>
    <n v="1"/>
    <s v="Y"/>
    <x v="1"/>
    <n v="11"/>
    <n v="3"/>
    <n v="2"/>
    <n v="80"/>
    <n v="0"/>
    <n v="1"/>
    <x v="2"/>
    <n v="0"/>
    <s v="0-4 Years"/>
    <x v="2"/>
    <s v="0-4 Years"/>
    <x v="6"/>
    <s v="0-4 Years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n v="3479"/>
    <x v="1"/>
    <s v="Low Income"/>
    <s v="Low Income"/>
    <s v="Low Income"/>
    <n v="11652"/>
    <n v="0"/>
    <s v="Y"/>
    <x v="1"/>
    <n v="11"/>
    <n v="3"/>
    <n v="2"/>
    <n v="80"/>
    <n v="0"/>
    <n v="6"/>
    <x v="0"/>
    <n v="2"/>
    <s v="5-9 Years"/>
    <x v="3"/>
    <s v="5-9 Years"/>
    <x v="8"/>
    <s v="5-9 Years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n v="2794"/>
    <x v="1"/>
    <s v="Low Income"/>
    <s v="Low Income"/>
    <s v="Low Income"/>
    <n v="26062"/>
    <n v="1"/>
    <s v="Y"/>
    <x v="1"/>
    <n v="20"/>
    <n v="4"/>
    <n v="3"/>
    <n v="80"/>
    <n v="0"/>
    <n v="5"/>
    <x v="0"/>
    <n v="3"/>
    <s v="5-9 Years"/>
    <x v="0"/>
    <s v="5-9 Years"/>
    <x v="8"/>
    <s v="5-9 Years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n v="5249"/>
    <x v="0"/>
    <s v="Medium Income"/>
    <s v="Medium Income"/>
    <s v="Medium Income"/>
    <n v="19682"/>
    <n v="3"/>
    <s v="Y"/>
    <x v="1"/>
    <n v="18"/>
    <n v="3"/>
    <n v="4"/>
    <n v="80"/>
    <n v="1"/>
    <n v="13"/>
    <x v="0"/>
    <n v="0"/>
    <s v="5-9 Years"/>
    <x v="1"/>
    <s v="5-9 Years"/>
    <x v="3"/>
    <s v="5-9 Years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n v="2176"/>
    <x v="1"/>
    <s v="Low Income"/>
    <s v="Low Income"/>
    <s v="Low Income"/>
    <n v="19737"/>
    <n v="4"/>
    <s v="Y"/>
    <x v="1"/>
    <n v="13"/>
    <n v="3"/>
    <n v="4"/>
    <n v="80"/>
    <n v="0"/>
    <n v="9"/>
    <x v="0"/>
    <n v="5"/>
    <s v="5-9 Years"/>
    <x v="1"/>
    <s v="5-9 Years"/>
    <x v="0"/>
    <s v="5-9 Years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n v="16872"/>
    <x v="2"/>
    <s v="High Income"/>
    <s v="High Income"/>
    <s v="High Income"/>
    <n v="14977"/>
    <n v="3"/>
    <s v="Y"/>
    <x v="0"/>
    <n v="12"/>
    <n v="3"/>
    <n v="2"/>
    <n v="80"/>
    <n v="1"/>
    <n v="28"/>
    <x v="0"/>
    <n v="2"/>
    <s v="5-9 Years"/>
    <x v="2"/>
    <s v="5-9 Years"/>
    <x v="5"/>
    <s v="5-9 Years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n v="3485"/>
    <x v="1"/>
    <s v="Low Income"/>
    <s v="Low Income"/>
    <s v="Low Income"/>
    <n v="14935"/>
    <n v="2"/>
    <s v="Y"/>
    <x v="1"/>
    <n v="11"/>
    <n v="3"/>
    <n v="3"/>
    <n v="80"/>
    <n v="0"/>
    <n v="5"/>
    <x v="2"/>
    <n v="5"/>
    <s v="0-4 Years"/>
    <x v="0"/>
    <s v="0-4 Years"/>
    <x v="2"/>
    <s v="0-4 Years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n v="6644"/>
    <x v="0"/>
    <s v="Medium Income"/>
    <s v="Medium Income"/>
    <s v="Medium Income"/>
    <n v="3687"/>
    <n v="2"/>
    <s v="Y"/>
    <x v="1"/>
    <n v="19"/>
    <n v="3"/>
    <n v="2"/>
    <n v="80"/>
    <n v="2"/>
    <n v="10"/>
    <x v="2"/>
    <n v="2"/>
    <s v="0-4 Years"/>
    <x v="1"/>
    <s v="0-4 Years"/>
    <x v="2"/>
    <s v="0-4 Years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n v="5582"/>
    <x v="0"/>
    <s v="Medium Income"/>
    <s v="Medium Income"/>
    <s v="Medium Income"/>
    <n v="14408"/>
    <n v="0"/>
    <s v="Y"/>
    <x v="1"/>
    <n v="21"/>
    <n v="4"/>
    <n v="2"/>
    <n v="80"/>
    <n v="1"/>
    <n v="10"/>
    <x v="0"/>
    <n v="2"/>
    <s v="5-9 Years"/>
    <x v="1"/>
    <s v="5-9 Years"/>
    <x v="7"/>
    <s v="5-9 Years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n v="4000"/>
    <x v="1"/>
    <s v="Low Income"/>
    <s v="Low Income"/>
    <s v="Low Income"/>
    <n v="18384"/>
    <n v="1"/>
    <s v="Y"/>
    <x v="1"/>
    <n v="12"/>
    <n v="3"/>
    <n v="4"/>
    <n v="80"/>
    <n v="2"/>
    <n v="6"/>
    <x v="0"/>
    <n v="2"/>
    <s v="5-9 Years"/>
    <x v="1"/>
    <s v="5-9 Years"/>
    <x v="0"/>
    <s v="5-9 Years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n v="13496"/>
    <x v="2"/>
    <s v="High Income"/>
    <s v="High Income"/>
    <s v="High Income"/>
    <n v="7501"/>
    <n v="0"/>
    <s v="Y"/>
    <x v="0"/>
    <n v="14"/>
    <n v="3"/>
    <n v="2"/>
    <n v="80"/>
    <n v="0"/>
    <n v="21"/>
    <x v="4"/>
    <n v="2"/>
    <s v="15-24 Years"/>
    <x v="1"/>
    <s v="15-24 Years"/>
    <x v="23"/>
    <s v="15-24 Years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n v="3210"/>
    <x v="1"/>
    <s v="Low Income"/>
    <s v="Low Income"/>
    <s v="Low Income"/>
    <n v="20251"/>
    <n v="0"/>
    <s v="Y"/>
    <x v="1"/>
    <n v="11"/>
    <n v="3"/>
    <n v="3"/>
    <n v="80"/>
    <n v="1"/>
    <n v="16"/>
    <x v="4"/>
    <n v="4"/>
    <s v="15-24 Years"/>
    <x v="1"/>
    <s v="15-24 Years"/>
    <x v="15"/>
    <s v="15-24 Years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n v="19045"/>
    <x v="2"/>
    <s v="High Income"/>
    <s v="High Income"/>
    <s v="High Income"/>
    <n v="18938"/>
    <n v="0"/>
    <s v="Y"/>
    <x v="0"/>
    <n v="14"/>
    <n v="3"/>
    <n v="3"/>
    <n v="80"/>
    <n v="0"/>
    <n v="37"/>
    <x v="3"/>
    <n v="2"/>
    <s v="25+ Years"/>
    <x v="1"/>
    <s v="25+ Years"/>
    <x v="28"/>
    <s v="25+ Years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n v="11849"/>
    <x v="2"/>
    <s v="High Income"/>
    <s v="High Income"/>
    <s v="High Income"/>
    <n v="10268"/>
    <n v="1"/>
    <s v="Y"/>
    <x v="0"/>
    <n v="12"/>
    <n v="3"/>
    <n v="4"/>
    <n v="80"/>
    <n v="1"/>
    <n v="10"/>
    <x v="1"/>
    <n v="2"/>
    <s v="10-14 Years"/>
    <x v="2"/>
    <s v="10-14 Years"/>
    <x v="1"/>
    <s v="10-14 Years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n v="2070"/>
    <x v="1"/>
    <s v="Low Income"/>
    <s v="Low Income"/>
    <s v="Low Income"/>
    <n v="2613"/>
    <n v="1"/>
    <s v="Y"/>
    <x v="1"/>
    <n v="23"/>
    <n v="4"/>
    <n v="4"/>
    <n v="80"/>
    <n v="1"/>
    <n v="5"/>
    <x v="0"/>
    <n v="3"/>
    <s v="5-9 Years"/>
    <x v="2"/>
    <s v="5-9 Years"/>
    <x v="8"/>
    <s v="5-9 Years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n v="6502"/>
    <x v="0"/>
    <s v="Medium Income"/>
    <s v="Medium Income"/>
    <s v="Medium Income"/>
    <n v="22825"/>
    <n v="4"/>
    <s v="Y"/>
    <x v="1"/>
    <n v="14"/>
    <n v="3"/>
    <n v="2"/>
    <n v="80"/>
    <n v="1"/>
    <n v="7"/>
    <x v="0"/>
    <n v="5"/>
    <s v="5-9 Years"/>
    <x v="3"/>
    <s v="5-9 Years"/>
    <x v="8"/>
    <s v="5-9 Years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n v="3230"/>
    <x v="1"/>
    <s v="Low Income"/>
    <s v="Low Income"/>
    <s v="Low Income"/>
    <n v="10531"/>
    <n v="1"/>
    <s v="Y"/>
    <x v="1"/>
    <n v="17"/>
    <n v="3"/>
    <n v="1"/>
    <n v="80"/>
    <n v="0"/>
    <n v="3"/>
    <x v="2"/>
    <n v="4"/>
    <s v="0-4 Years"/>
    <x v="3"/>
    <s v="0-4 Years"/>
    <x v="11"/>
    <s v="0-4 Years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n v="13603"/>
    <x v="2"/>
    <s v="High Income"/>
    <s v="High Income"/>
    <s v="High Income"/>
    <n v="11677"/>
    <n v="2"/>
    <s v="Y"/>
    <x v="0"/>
    <n v="18"/>
    <n v="3"/>
    <n v="1"/>
    <n v="80"/>
    <n v="2"/>
    <n v="15"/>
    <x v="0"/>
    <n v="2"/>
    <s v="5-9 Years"/>
    <x v="1"/>
    <s v="5-9 Years"/>
    <x v="8"/>
    <s v="5-9 Years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n v="11996"/>
    <x v="2"/>
    <s v="High Income"/>
    <s v="High Income"/>
    <s v="High Income"/>
    <n v="19100"/>
    <n v="7"/>
    <s v="Y"/>
    <x v="1"/>
    <n v="18"/>
    <n v="3"/>
    <n v="2"/>
    <n v="80"/>
    <n v="1"/>
    <n v="10"/>
    <x v="0"/>
    <n v="6"/>
    <s v="5-9 Years"/>
    <x v="2"/>
    <s v="5-9 Years"/>
    <x v="5"/>
    <s v="5-9 Years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n v="5605"/>
    <x v="0"/>
    <s v="Medium Income"/>
    <s v="Medium Income"/>
    <s v="Medium Income"/>
    <n v="19191"/>
    <n v="1"/>
    <s v="Y"/>
    <x v="0"/>
    <n v="24"/>
    <n v="4"/>
    <n v="3"/>
    <n v="80"/>
    <n v="1"/>
    <n v="8"/>
    <x v="0"/>
    <n v="3"/>
    <s v="5-9 Years"/>
    <x v="1"/>
    <s v="5-9 Years"/>
    <x v="3"/>
    <s v="5-9 Years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n v="6397"/>
    <x v="0"/>
    <s v="Medium Income"/>
    <s v="Medium Income"/>
    <s v="Medium Income"/>
    <n v="26767"/>
    <n v="1"/>
    <s v="Y"/>
    <x v="1"/>
    <n v="20"/>
    <n v="4"/>
    <n v="1"/>
    <n v="80"/>
    <n v="1"/>
    <n v="6"/>
    <x v="0"/>
    <n v="6"/>
    <s v="5-9 Years"/>
    <x v="0"/>
    <s v="5-9 Years"/>
    <x v="0"/>
    <s v="5-9 Years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n v="19144"/>
    <x v="2"/>
    <s v="High Income"/>
    <s v="High Income"/>
    <s v="High Income"/>
    <n v="15815"/>
    <n v="3"/>
    <s v="Y"/>
    <x v="1"/>
    <n v="14"/>
    <n v="3"/>
    <n v="1"/>
    <n v="80"/>
    <n v="2"/>
    <n v="28"/>
    <x v="1"/>
    <n v="4"/>
    <s v="10-14 Years"/>
    <x v="2"/>
    <s v="10-14 Years"/>
    <x v="1"/>
    <s v="10-14 Years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n v="17584"/>
    <x v="2"/>
    <s v="High Income"/>
    <s v="High Income"/>
    <s v="High Income"/>
    <n v="21016"/>
    <n v="3"/>
    <s v="Y"/>
    <x v="0"/>
    <n v="16"/>
    <n v="3"/>
    <n v="4"/>
    <n v="80"/>
    <n v="3"/>
    <n v="21"/>
    <x v="0"/>
    <n v="5"/>
    <s v="5-9 Years"/>
    <x v="2"/>
    <s v="5-9 Years"/>
    <x v="8"/>
    <s v="5-9 Years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n v="4907"/>
    <x v="1"/>
    <s v="Low Income"/>
    <s v="Low Income"/>
    <s v="Low Income"/>
    <n v="24532"/>
    <n v="1"/>
    <s v="Y"/>
    <x v="1"/>
    <n v="25"/>
    <n v="4"/>
    <n v="3"/>
    <n v="80"/>
    <n v="0"/>
    <n v="20"/>
    <x v="4"/>
    <n v="3"/>
    <s v="15-24 Years"/>
    <x v="1"/>
    <s v="15-24 Years"/>
    <x v="23"/>
    <s v="15-24 Years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n v="4554"/>
    <x v="1"/>
    <s v="Low Income"/>
    <s v="Low Income"/>
    <s v="Low Income"/>
    <n v="20260"/>
    <n v="1"/>
    <s v="Y"/>
    <x v="1"/>
    <n v="18"/>
    <n v="3"/>
    <n v="1"/>
    <n v="80"/>
    <n v="0"/>
    <n v="10"/>
    <x v="1"/>
    <n v="3"/>
    <s v="10-14 Years"/>
    <x v="2"/>
    <s v="10-14 Years"/>
    <x v="1"/>
    <s v="10-14 Years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n v="5415"/>
    <x v="0"/>
    <s v="Medium Income"/>
    <s v="Medium Income"/>
    <s v="Medium Income"/>
    <n v="15972"/>
    <n v="3"/>
    <s v="Y"/>
    <x v="0"/>
    <n v="19"/>
    <n v="3"/>
    <n v="4"/>
    <n v="80"/>
    <n v="1"/>
    <n v="12"/>
    <x v="1"/>
    <n v="4"/>
    <s v="10-14 Years"/>
    <x v="1"/>
    <s v="10-14 Years"/>
    <x v="1"/>
    <s v="10-14 Years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n v="4741"/>
    <x v="1"/>
    <s v="Low Income"/>
    <s v="Low Income"/>
    <s v="Low Income"/>
    <n v="22722"/>
    <n v="1"/>
    <s v="Y"/>
    <x v="0"/>
    <n v="13"/>
    <n v="3"/>
    <n v="3"/>
    <n v="80"/>
    <n v="1"/>
    <n v="5"/>
    <x v="0"/>
    <n v="3"/>
    <s v="5-9 Years"/>
    <x v="1"/>
    <s v="5-9 Years"/>
    <x v="8"/>
    <s v="5-9 Years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n v="2115"/>
    <x v="1"/>
    <s v="Low Income"/>
    <s v="Low Income"/>
    <s v="Low Income"/>
    <n v="15881"/>
    <n v="1"/>
    <s v="Y"/>
    <x v="1"/>
    <n v="12"/>
    <n v="3"/>
    <n v="2"/>
    <n v="80"/>
    <n v="0"/>
    <n v="17"/>
    <x v="4"/>
    <n v="3"/>
    <s v="15-24 Years"/>
    <x v="1"/>
    <s v="15-24 Years"/>
    <x v="18"/>
    <s v="15-24 Years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n v="3161"/>
    <x v="1"/>
    <s v="Low Income"/>
    <s v="Low Income"/>
    <s v="Low Income"/>
    <n v="19920"/>
    <n v="3"/>
    <s v="Y"/>
    <x v="0"/>
    <n v="22"/>
    <n v="4"/>
    <n v="4"/>
    <n v="80"/>
    <n v="1"/>
    <n v="19"/>
    <x v="2"/>
    <n v="0"/>
    <s v="0-4 Years"/>
    <x v="0"/>
    <s v="0-4 Years"/>
    <x v="6"/>
    <s v="0-4 Years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n v="5745"/>
    <x v="0"/>
    <s v="Medium Income"/>
    <s v="Medium Income"/>
    <s v="Medium Income"/>
    <n v="18899"/>
    <n v="9"/>
    <s v="Y"/>
    <x v="1"/>
    <n v="14"/>
    <n v="3"/>
    <n v="2"/>
    <n v="80"/>
    <n v="1"/>
    <n v="10"/>
    <x v="2"/>
    <n v="2"/>
    <s v="0-4 Years"/>
    <x v="1"/>
    <s v="0-4 Years"/>
    <x v="4"/>
    <s v="0-4 Years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n v="2373"/>
    <x v="1"/>
    <s v="Low Income"/>
    <s v="Low Income"/>
    <s v="Low Income"/>
    <n v="14180"/>
    <n v="2"/>
    <s v="Y"/>
    <x v="0"/>
    <n v="13"/>
    <n v="3"/>
    <n v="4"/>
    <n v="80"/>
    <n v="1"/>
    <n v="5"/>
    <x v="2"/>
    <n v="2"/>
    <s v="0-4 Years"/>
    <x v="1"/>
    <s v="0-4 Years"/>
    <x v="11"/>
    <s v="0-4 Years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n v="3310"/>
    <x v="1"/>
    <s v="Low Income"/>
    <s v="Low Income"/>
    <s v="Low Income"/>
    <n v="4488"/>
    <n v="1"/>
    <s v="Y"/>
    <x v="1"/>
    <n v="21"/>
    <n v="4"/>
    <n v="4"/>
    <n v="80"/>
    <n v="0"/>
    <n v="5"/>
    <x v="0"/>
    <n v="3"/>
    <s v="5-9 Years"/>
    <x v="1"/>
    <s v="5-9 Years"/>
    <x v="8"/>
    <s v="5-9 Years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n v="18665"/>
    <x v="2"/>
    <s v="High Income"/>
    <s v="High Income"/>
    <s v="High Income"/>
    <n v="25594"/>
    <n v="9"/>
    <s v="Y"/>
    <x v="0"/>
    <n v="11"/>
    <n v="3"/>
    <n v="4"/>
    <n v="80"/>
    <n v="0"/>
    <n v="22"/>
    <x v="2"/>
    <n v="4"/>
    <s v="0-4 Years"/>
    <x v="1"/>
    <s v="0-4 Years"/>
    <x v="11"/>
    <s v="0-4 Years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n v="4485"/>
    <x v="1"/>
    <s v="Low Income"/>
    <s v="Low Income"/>
    <s v="Low Income"/>
    <n v="26285"/>
    <n v="4"/>
    <s v="Y"/>
    <x v="1"/>
    <n v="12"/>
    <n v="3"/>
    <n v="4"/>
    <n v="80"/>
    <n v="0"/>
    <n v="10"/>
    <x v="0"/>
    <n v="2"/>
    <s v="5-9 Years"/>
    <x v="1"/>
    <s v="5-9 Years"/>
    <x v="3"/>
    <s v="5-9 Years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n v="2789"/>
    <x v="1"/>
    <s v="Low Income"/>
    <s v="Low Income"/>
    <s v="Low Income"/>
    <n v="3909"/>
    <n v="1"/>
    <s v="Y"/>
    <x v="1"/>
    <n v="11"/>
    <n v="3"/>
    <n v="3"/>
    <n v="80"/>
    <n v="1"/>
    <n v="2"/>
    <x v="2"/>
    <n v="5"/>
    <s v="0-4 Years"/>
    <x v="2"/>
    <s v="0-4 Years"/>
    <x v="4"/>
    <s v="0-4 Years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n v="5828"/>
    <x v="0"/>
    <s v="Medium Income"/>
    <s v="Medium Income"/>
    <s v="Medium Income"/>
    <n v="8450"/>
    <n v="1"/>
    <s v="Y"/>
    <x v="0"/>
    <n v="12"/>
    <n v="3"/>
    <n v="2"/>
    <n v="80"/>
    <n v="0"/>
    <n v="8"/>
    <x v="0"/>
    <n v="0"/>
    <s v="5-9 Years"/>
    <x v="1"/>
    <s v="5-9 Years"/>
    <x v="3"/>
    <s v="5-9 Years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n v="2326"/>
    <x v="1"/>
    <s v="Low Income"/>
    <s v="Low Income"/>
    <s v="Low Income"/>
    <n v="11411"/>
    <n v="1"/>
    <s v="Y"/>
    <x v="0"/>
    <n v="12"/>
    <n v="3"/>
    <n v="3"/>
    <n v="80"/>
    <n v="3"/>
    <n v="4"/>
    <x v="2"/>
    <n v="3"/>
    <s v="0-4 Years"/>
    <x v="2"/>
    <s v="0-4 Years"/>
    <x v="9"/>
    <s v="0-4 Years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n v="13525"/>
    <x v="2"/>
    <s v="High Income"/>
    <s v="High Income"/>
    <s v="High Income"/>
    <n v="14864"/>
    <n v="5"/>
    <s v="Y"/>
    <x v="1"/>
    <n v="14"/>
    <n v="3"/>
    <n v="4"/>
    <n v="80"/>
    <n v="1"/>
    <n v="23"/>
    <x v="4"/>
    <n v="2"/>
    <s v="15-24 Years"/>
    <x v="3"/>
    <s v="15-24 Years"/>
    <x v="23"/>
    <s v="15-24 Years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n v="1420"/>
    <x v="1"/>
    <s v="Low Income"/>
    <s v="Low Income"/>
    <s v="Low Income"/>
    <n v="25233"/>
    <n v="1"/>
    <s v="Y"/>
    <x v="1"/>
    <n v="13"/>
    <n v="3"/>
    <n v="3"/>
    <n v="80"/>
    <n v="0"/>
    <n v="0"/>
    <x v="2"/>
    <n v="2"/>
    <s v="0-4 Years"/>
    <x v="1"/>
    <s v="0-4 Years"/>
    <x v="2"/>
    <s v="0-4 Years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n v="8020"/>
    <x v="0"/>
    <s v="Medium Income"/>
    <s v="Medium Income"/>
    <s v="Medium Income"/>
    <n v="5100"/>
    <n v="0"/>
    <s v="Y"/>
    <x v="1"/>
    <n v="15"/>
    <n v="3"/>
    <n v="3"/>
    <n v="80"/>
    <n v="2"/>
    <n v="12"/>
    <x v="1"/>
    <n v="3"/>
    <s v="10-14 Years"/>
    <x v="2"/>
    <s v="10-14 Years"/>
    <x v="19"/>
    <s v="10-14 Years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n v="3688"/>
    <x v="1"/>
    <s v="Low Income"/>
    <s v="Low Income"/>
    <s v="Low Income"/>
    <n v="7122"/>
    <n v="4"/>
    <s v="Y"/>
    <x v="1"/>
    <n v="18"/>
    <n v="3"/>
    <n v="4"/>
    <n v="80"/>
    <n v="2"/>
    <n v="4"/>
    <x v="2"/>
    <n v="2"/>
    <s v="0-4 Years"/>
    <x v="1"/>
    <s v="0-4 Years"/>
    <x v="6"/>
    <s v="0-4 Years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n v="5482"/>
    <x v="0"/>
    <s v="Medium Income"/>
    <s v="Medium Income"/>
    <s v="Medium Income"/>
    <n v="16321"/>
    <n v="5"/>
    <s v="Y"/>
    <x v="1"/>
    <n v="18"/>
    <n v="3"/>
    <n v="4"/>
    <n v="80"/>
    <n v="1"/>
    <n v="13"/>
    <x v="2"/>
    <n v="3"/>
    <s v="0-4 Years"/>
    <x v="1"/>
    <s v="0-4 Years"/>
    <x v="9"/>
    <s v="0-4 Years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n v="16015"/>
    <x v="2"/>
    <s v="High Income"/>
    <s v="High Income"/>
    <s v="High Income"/>
    <n v="15896"/>
    <n v="1"/>
    <s v="Y"/>
    <x v="1"/>
    <n v="19"/>
    <n v="3"/>
    <n v="2"/>
    <n v="80"/>
    <n v="0"/>
    <n v="22"/>
    <x v="4"/>
    <n v="2"/>
    <s v="15-24 Years"/>
    <x v="1"/>
    <s v="15-24 Years"/>
    <x v="14"/>
    <s v="15-24 Years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n v="1200"/>
    <x v="1"/>
    <s v="Low Income"/>
    <s v="Low Income"/>
    <s v="Low Income"/>
    <n v="9724"/>
    <n v="1"/>
    <s v="Y"/>
    <x v="1"/>
    <n v="12"/>
    <n v="3"/>
    <n v="1"/>
    <n v="80"/>
    <n v="0"/>
    <n v="0"/>
    <x v="2"/>
    <n v="2"/>
    <s v="0-4 Years"/>
    <x v="1"/>
    <s v="0-4 Years"/>
    <x v="2"/>
    <s v="0-4 Years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n v="5661"/>
    <x v="0"/>
    <s v="Medium Income"/>
    <s v="Medium Income"/>
    <s v="Medium Income"/>
    <n v="4824"/>
    <n v="0"/>
    <s v="Y"/>
    <x v="1"/>
    <n v="19"/>
    <n v="3"/>
    <n v="3"/>
    <n v="80"/>
    <n v="0"/>
    <n v="9"/>
    <x v="0"/>
    <n v="2"/>
    <s v="5-9 Years"/>
    <x v="1"/>
    <s v="5-9 Years"/>
    <x v="3"/>
    <s v="5-9 Years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n v="6929"/>
    <x v="0"/>
    <s v="Medium Income"/>
    <s v="Medium Income"/>
    <s v="Medium Income"/>
    <n v="12241"/>
    <n v="4"/>
    <s v="Y"/>
    <x v="1"/>
    <n v="11"/>
    <n v="3"/>
    <n v="2"/>
    <n v="80"/>
    <n v="1"/>
    <n v="10"/>
    <x v="0"/>
    <n v="3"/>
    <s v="5-9 Years"/>
    <x v="2"/>
    <s v="5-9 Years"/>
    <x v="3"/>
    <s v="5-9 Years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n v="9613"/>
    <x v="0"/>
    <s v="Medium Income"/>
    <s v="Medium Income"/>
    <s v="Medium Income"/>
    <n v="10942"/>
    <n v="0"/>
    <s v="Y"/>
    <x v="1"/>
    <n v="17"/>
    <n v="3"/>
    <n v="1"/>
    <n v="80"/>
    <n v="3"/>
    <n v="19"/>
    <x v="4"/>
    <n v="5"/>
    <s v="15-24 Years"/>
    <x v="2"/>
    <s v="15-24 Years"/>
    <x v="29"/>
    <s v="15-24 Years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n v="5674"/>
    <x v="0"/>
    <s v="Medium Income"/>
    <s v="Medium Income"/>
    <s v="Medium Income"/>
    <n v="6927"/>
    <n v="7"/>
    <s v="Y"/>
    <x v="1"/>
    <n v="15"/>
    <n v="3"/>
    <n v="3"/>
    <n v="80"/>
    <n v="1"/>
    <n v="11"/>
    <x v="0"/>
    <n v="3"/>
    <s v="5-9 Years"/>
    <x v="1"/>
    <s v="5-9 Years"/>
    <x v="7"/>
    <s v="5-9 Years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n v="5484"/>
    <x v="0"/>
    <s v="Medium Income"/>
    <s v="Medium Income"/>
    <s v="Medium Income"/>
    <n v="16985"/>
    <n v="1"/>
    <s v="Y"/>
    <x v="1"/>
    <n v="14"/>
    <n v="3"/>
    <n v="3"/>
    <n v="80"/>
    <n v="1"/>
    <n v="13"/>
    <x v="1"/>
    <n v="3"/>
    <s v="10-14 Years"/>
    <x v="2"/>
    <s v="10-14 Years"/>
    <x v="20"/>
    <s v="10-14 Years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n v="12061"/>
    <x v="2"/>
    <s v="High Income"/>
    <s v="High Income"/>
    <s v="High Income"/>
    <n v="26707"/>
    <n v="3"/>
    <s v="Y"/>
    <x v="1"/>
    <n v="17"/>
    <n v="3"/>
    <n v="3"/>
    <n v="80"/>
    <n v="1"/>
    <n v="19"/>
    <x v="1"/>
    <n v="2"/>
    <s v="10-14 Years"/>
    <x v="1"/>
    <s v="10-14 Years"/>
    <x v="1"/>
    <s v="10-14 Years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n v="5660"/>
    <x v="0"/>
    <s v="Medium Income"/>
    <s v="Medium Income"/>
    <s v="Medium Income"/>
    <n v="17056"/>
    <n v="2"/>
    <s v="Y"/>
    <x v="0"/>
    <n v="13"/>
    <n v="3"/>
    <n v="4"/>
    <n v="80"/>
    <n v="1"/>
    <n v="12"/>
    <x v="0"/>
    <n v="2"/>
    <s v="5-9 Years"/>
    <x v="1"/>
    <s v="5-9 Years"/>
    <x v="8"/>
    <s v="5-9 Years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n v="4821"/>
    <x v="1"/>
    <s v="Low Income"/>
    <s v="Low Income"/>
    <s v="Low Income"/>
    <n v="10077"/>
    <n v="0"/>
    <s v="Y"/>
    <x v="0"/>
    <n v="12"/>
    <n v="3"/>
    <n v="3"/>
    <n v="80"/>
    <n v="1"/>
    <n v="6"/>
    <x v="0"/>
    <n v="4"/>
    <s v="5-9 Years"/>
    <x v="1"/>
    <s v="5-9 Years"/>
    <x v="8"/>
    <s v="5-9 Years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n v="6410"/>
    <x v="0"/>
    <s v="Medium Income"/>
    <s v="Medium Income"/>
    <s v="Medium Income"/>
    <n v="17822"/>
    <n v="3"/>
    <s v="Y"/>
    <x v="1"/>
    <n v="12"/>
    <n v="3"/>
    <n v="4"/>
    <n v="80"/>
    <n v="0"/>
    <n v="9"/>
    <x v="2"/>
    <n v="1"/>
    <s v="0-4 Years"/>
    <x v="1"/>
    <s v="0-4 Years"/>
    <x v="4"/>
    <s v="0-4 Years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n v="5210"/>
    <x v="0"/>
    <s v="Medium Income"/>
    <s v="Medium Income"/>
    <s v="Medium Income"/>
    <n v="20308"/>
    <n v="1"/>
    <s v="Y"/>
    <x v="1"/>
    <n v="18"/>
    <n v="3"/>
    <n v="1"/>
    <n v="80"/>
    <n v="1"/>
    <n v="24"/>
    <x v="4"/>
    <n v="2"/>
    <s v="15-24 Years"/>
    <x v="1"/>
    <s v="15-24 Years"/>
    <x v="25"/>
    <s v="15-24 Years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n v="2695"/>
    <x v="1"/>
    <s v="Low Income"/>
    <s v="Low Income"/>
    <s v="Low Income"/>
    <n v="7747"/>
    <n v="0"/>
    <s v="Y"/>
    <x v="0"/>
    <n v="18"/>
    <n v="3"/>
    <n v="2"/>
    <n v="80"/>
    <n v="1"/>
    <n v="3"/>
    <x v="2"/>
    <n v="2"/>
    <s v="0-4 Years"/>
    <x v="0"/>
    <s v="0-4 Years"/>
    <x v="4"/>
    <s v="0-4 Years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n v="11878"/>
    <x v="2"/>
    <s v="High Income"/>
    <s v="High Income"/>
    <s v="High Income"/>
    <n v="23364"/>
    <n v="6"/>
    <s v="Y"/>
    <x v="1"/>
    <n v="11"/>
    <n v="3"/>
    <n v="2"/>
    <n v="80"/>
    <n v="2"/>
    <n v="12"/>
    <x v="1"/>
    <n v="2"/>
    <s v="10-14 Years"/>
    <x v="1"/>
    <s v="10-14 Years"/>
    <x v="1"/>
    <s v="10-14 Years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n v="17068"/>
    <x v="2"/>
    <s v="High Income"/>
    <s v="High Income"/>
    <s v="High Income"/>
    <n v="5355"/>
    <n v="1"/>
    <s v="Y"/>
    <x v="0"/>
    <n v="14"/>
    <n v="3"/>
    <n v="4"/>
    <n v="80"/>
    <n v="0"/>
    <n v="21"/>
    <x v="4"/>
    <n v="3"/>
    <s v="15-24 Years"/>
    <x v="1"/>
    <s v="15-24 Years"/>
    <x v="17"/>
    <s v="15-24 Years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n v="2455"/>
    <x v="1"/>
    <s v="Low Income"/>
    <s v="Low Income"/>
    <s v="Low Income"/>
    <n v="10675"/>
    <n v="0"/>
    <s v="Y"/>
    <x v="1"/>
    <n v="19"/>
    <n v="3"/>
    <n v="1"/>
    <n v="80"/>
    <n v="0"/>
    <n v="9"/>
    <x v="0"/>
    <n v="5"/>
    <s v="5-9 Years"/>
    <x v="1"/>
    <s v="5-9 Years"/>
    <x v="3"/>
    <s v="5-9 Years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n v="13964"/>
    <x v="2"/>
    <s v="High Income"/>
    <s v="High Income"/>
    <s v="High Income"/>
    <n v="17810"/>
    <n v="7"/>
    <s v="Y"/>
    <x v="0"/>
    <n v="12"/>
    <n v="3"/>
    <n v="4"/>
    <n v="80"/>
    <n v="0"/>
    <n v="25"/>
    <x v="0"/>
    <n v="2"/>
    <s v="5-9 Years"/>
    <x v="1"/>
    <s v="5-9 Years"/>
    <x v="5"/>
    <s v="5-9 Years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n v="4941"/>
    <x v="1"/>
    <s v="Low Income"/>
    <s v="Low Income"/>
    <s v="Low Income"/>
    <n v="17747"/>
    <n v="2"/>
    <s v="Y"/>
    <x v="1"/>
    <n v="15"/>
    <n v="3"/>
    <n v="1"/>
    <n v="80"/>
    <n v="0"/>
    <n v="11"/>
    <x v="0"/>
    <n v="3"/>
    <s v="5-9 Years"/>
    <x v="2"/>
    <s v="5-9 Years"/>
    <x v="3"/>
    <s v="5-9 Years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n v="2478"/>
    <x v="1"/>
    <s v="Low Income"/>
    <s v="Low Income"/>
    <s v="Low Income"/>
    <n v="20938"/>
    <n v="1"/>
    <s v="Y"/>
    <x v="0"/>
    <n v="12"/>
    <n v="3"/>
    <n v="2"/>
    <n v="80"/>
    <n v="0"/>
    <n v="4"/>
    <x v="2"/>
    <n v="2"/>
    <s v="0-4 Years"/>
    <x v="2"/>
    <s v="0-4 Years"/>
    <x v="9"/>
    <s v="0-4 Years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n v="5228"/>
    <x v="0"/>
    <s v="Medium Income"/>
    <s v="Medium Income"/>
    <s v="Medium Income"/>
    <n v="24624"/>
    <n v="1"/>
    <s v="Y"/>
    <x v="0"/>
    <n v="11"/>
    <n v="3"/>
    <n v="4"/>
    <n v="80"/>
    <n v="0"/>
    <n v="13"/>
    <x v="1"/>
    <n v="2"/>
    <s v="10-14 Years"/>
    <x v="1"/>
    <s v="10-14 Years"/>
    <x v="20"/>
    <s v="10-14 Years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n v="4478"/>
    <x v="1"/>
    <s v="Low Income"/>
    <s v="Low Income"/>
    <s v="Low Income"/>
    <n v="5242"/>
    <n v="1"/>
    <s v="Y"/>
    <x v="0"/>
    <n v="11"/>
    <n v="3"/>
    <n v="1"/>
    <n v="80"/>
    <n v="0"/>
    <n v="5"/>
    <x v="0"/>
    <n v="3"/>
    <s v="5-9 Years"/>
    <x v="1"/>
    <s v="5-9 Years"/>
    <x v="8"/>
    <s v="5-9 Years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n v="7547"/>
    <x v="0"/>
    <s v="Medium Income"/>
    <s v="Medium Income"/>
    <s v="Medium Income"/>
    <n v="7143"/>
    <n v="4"/>
    <s v="Y"/>
    <x v="1"/>
    <n v="12"/>
    <n v="3"/>
    <n v="4"/>
    <n v="80"/>
    <n v="3"/>
    <n v="13"/>
    <x v="0"/>
    <n v="3"/>
    <s v="5-9 Years"/>
    <x v="1"/>
    <s v="5-9 Years"/>
    <x v="5"/>
    <s v="5-9 Years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n v="5055"/>
    <x v="0"/>
    <s v="Medium Income"/>
    <s v="Medium Income"/>
    <s v="Medium Income"/>
    <n v="10557"/>
    <n v="7"/>
    <s v="Y"/>
    <x v="1"/>
    <n v="16"/>
    <n v="3"/>
    <n v="3"/>
    <n v="80"/>
    <n v="0"/>
    <n v="10"/>
    <x v="0"/>
    <n v="0"/>
    <s v="5-9 Years"/>
    <x v="2"/>
    <s v="5-9 Years"/>
    <x v="5"/>
    <s v="5-9 Years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n v="3464"/>
    <x v="1"/>
    <s v="Low Income"/>
    <s v="Low Income"/>
    <s v="Low Income"/>
    <n v="24737"/>
    <n v="5"/>
    <s v="Y"/>
    <x v="0"/>
    <n v="13"/>
    <n v="3"/>
    <n v="4"/>
    <n v="80"/>
    <n v="0"/>
    <n v="5"/>
    <x v="2"/>
    <n v="4"/>
    <s v="0-4 Years"/>
    <x v="2"/>
    <s v="0-4 Years"/>
    <x v="11"/>
    <s v="0-4 Years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n v="5775"/>
    <x v="0"/>
    <s v="Medium Income"/>
    <s v="Medium Income"/>
    <s v="Medium Income"/>
    <n v="11934"/>
    <n v="1"/>
    <s v="Y"/>
    <x v="1"/>
    <n v="13"/>
    <n v="3"/>
    <n v="4"/>
    <n v="80"/>
    <n v="2"/>
    <n v="11"/>
    <x v="1"/>
    <n v="2"/>
    <s v="10-14 Years"/>
    <x v="1"/>
    <s v="10-14 Years"/>
    <x v="1"/>
    <s v="10-14 Years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n v="8943"/>
    <x v="0"/>
    <s v="Medium Income"/>
    <s v="Medium Income"/>
    <s v="Medium Income"/>
    <n v="14034"/>
    <n v="1"/>
    <s v="Y"/>
    <x v="1"/>
    <n v="24"/>
    <n v="4"/>
    <n v="1"/>
    <n v="80"/>
    <n v="1"/>
    <n v="10"/>
    <x v="1"/>
    <n v="2"/>
    <s v="10-14 Years"/>
    <x v="1"/>
    <s v="10-14 Years"/>
    <x v="1"/>
    <s v="10-14 Years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n v="19272"/>
    <x v="2"/>
    <s v="High Income"/>
    <s v="High Income"/>
    <s v="High Income"/>
    <n v="21141"/>
    <n v="1"/>
    <s v="Y"/>
    <x v="1"/>
    <n v="15"/>
    <n v="3"/>
    <n v="1"/>
    <n v="80"/>
    <n v="1"/>
    <n v="21"/>
    <x v="4"/>
    <n v="2"/>
    <s v="15-24 Years"/>
    <x v="1"/>
    <s v="15-24 Years"/>
    <x v="17"/>
    <s v="15-24 Years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n v="5238"/>
    <x v="0"/>
    <s v="Medium Income"/>
    <s v="Medium Income"/>
    <s v="Medium Income"/>
    <n v="17778"/>
    <n v="4"/>
    <s v="Y"/>
    <x v="0"/>
    <n v="18"/>
    <n v="3"/>
    <n v="1"/>
    <n v="80"/>
    <n v="0"/>
    <n v="12"/>
    <x v="2"/>
    <n v="3"/>
    <s v="0-4 Years"/>
    <x v="2"/>
    <s v="0-4 Years"/>
    <x v="6"/>
    <s v="0-4 Years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n v="4682"/>
    <x v="1"/>
    <s v="Low Income"/>
    <s v="Low Income"/>
    <s v="Low Income"/>
    <n v="4317"/>
    <n v="3"/>
    <s v="Y"/>
    <x v="1"/>
    <n v="14"/>
    <n v="3"/>
    <n v="3"/>
    <n v="80"/>
    <n v="0"/>
    <n v="9"/>
    <x v="0"/>
    <n v="6"/>
    <s v="5-9 Years"/>
    <x v="2"/>
    <s v="5-9 Years"/>
    <x v="5"/>
    <s v="5-9 Years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n v="18300"/>
    <x v="2"/>
    <s v="High Income"/>
    <s v="High Income"/>
    <s v="High Income"/>
    <n v="16375"/>
    <n v="4"/>
    <s v="Y"/>
    <x v="1"/>
    <n v="11"/>
    <n v="3"/>
    <n v="2"/>
    <n v="80"/>
    <n v="1"/>
    <n v="21"/>
    <x v="2"/>
    <n v="2"/>
    <s v="0-4 Years"/>
    <x v="1"/>
    <s v="0-4 Years"/>
    <x v="11"/>
    <s v="0-4 Years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n v="5257"/>
    <x v="0"/>
    <s v="Medium Income"/>
    <s v="Medium Income"/>
    <s v="Medium Income"/>
    <n v="6227"/>
    <n v="1"/>
    <s v="Y"/>
    <x v="1"/>
    <n v="11"/>
    <n v="3"/>
    <n v="2"/>
    <n v="80"/>
    <n v="1"/>
    <n v="9"/>
    <x v="0"/>
    <n v="3"/>
    <s v="5-9 Years"/>
    <x v="3"/>
    <s v="5-9 Years"/>
    <x v="7"/>
    <s v="5-9 Years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n v="6349"/>
    <x v="0"/>
    <s v="Medium Income"/>
    <s v="Medium Income"/>
    <s v="Medium Income"/>
    <n v="22107"/>
    <n v="0"/>
    <s v="Y"/>
    <x v="0"/>
    <n v="13"/>
    <n v="3"/>
    <n v="4"/>
    <n v="80"/>
    <n v="1"/>
    <n v="6"/>
    <x v="0"/>
    <n v="0"/>
    <s v="5-9 Years"/>
    <x v="1"/>
    <s v="5-9 Years"/>
    <x v="8"/>
    <s v="5-9 Years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n v="4869"/>
    <x v="1"/>
    <s v="Low Income"/>
    <s v="Low Income"/>
    <s v="Low Income"/>
    <n v="16885"/>
    <n v="3"/>
    <s v="Y"/>
    <x v="1"/>
    <n v="12"/>
    <n v="3"/>
    <n v="4"/>
    <n v="80"/>
    <n v="0"/>
    <n v="20"/>
    <x v="2"/>
    <n v="4"/>
    <s v="0-4 Years"/>
    <x v="2"/>
    <s v="0-4 Years"/>
    <x v="9"/>
    <s v="0-4 Years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n v="9985"/>
    <x v="0"/>
    <s v="Medium Income"/>
    <s v="Medium Income"/>
    <s v="Medium Income"/>
    <n v="9262"/>
    <n v="8"/>
    <s v="Y"/>
    <x v="1"/>
    <n v="16"/>
    <n v="3"/>
    <n v="1"/>
    <n v="80"/>
    <n v="1"/>
    <n v="10"/>
    <x v="2"/>
    <n v="1"/>
    <s v="0-4 Years"/>
    <x v="2"/>
    <s v="0-4 Years"/>
    <x v="6"/>
    <s v="0-4 Years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x v="0"/>
    <s v="Married"/>
    <n v="3697"/>
    <x v="1"/>
    <s v="Low Income"/>
    <s v="Low Income"/>
    <s v="Low Income"/>
    <n v="9278"/>
    <n v="9"/>
    <s v="Y"/>
    <x v="1"/>
    <n v="14"/>
    <n v="3"/>
    <n v="1"/>
    <n v="80"/>
    <n v="2"/>
    <n v="12"/>
    <x v="1"/>
    <n v="3"/>
    <s v="10-14 Years"/>
    <x v="1"/>
    <s v="10-14 Years"/>
    <x v="1"/>
    <s v="10-14 Years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n v="7457"/>
    <x v="0"/>
    <s v="Medium Income"/>
    <s v="Medium Income"/>
    <s v="Medium Income"/>
    <n v="13273"/>
    <n v="2"/>
    <s v="Y"/>
    <x v="0"/>
    <n v="22"/>
    <n v="4"/>
    <n v="3"/>
    <n v="80"/>
    <n v="3"/>
    <n v="6"/>
    <x v="2"/>
    <n v="2"/>
    <s v="0-4 Years"/>
    <x v="2"/>
    <s v="0-4 Years"/>
    <x v="9"/>
    <s v="0-4 Years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x v="3"/>
    <s v="Married"/>
    <n v="2119"/>
    <x v="1"/>
    <s v="Low Income"/>
    <s v="Low Income"/>
    <s v="Low Income"/>
    <n v="4759"/>
    <n v="1"/>
    <s v="Y"/>
    <x v="0"/>
    <n v="11"/>
    <n v="3"/>
    <n v="4"/>
    <n v="80"/>
    <n v="0"/>
    <n v="7"/>
    <x v="0"/>
    <n v="4"/>
    <s v="5-9 Years"/>
    <x v="2"/>
    <s v="5-9 Years"/>
    <x v="5"/>
    <s v="5-9 Years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x v="0"/>
    <s v="Single"/>
    <n v="3983"/>
    <x v="1"/>
    <s v="Low Income"/>
    <s v="Low Income"/>
    <s v="Low Income"/>
    <n v="7621"/>
    <n v="0"/>
    <s v="Y"/>
    <x v="1"/>
    <n v="17"/>
    <n v="3"/>
    <n v="3"/>
    <n v="80"/>
    <n v="0"/>
    <n v="4"/>
    <x v="2"/>
    <n v="2"/>
    <s v="0-4 Years"/>
    <x v="1"/>
    <s v="0-4 Years"/>
    <x v="11"/>
    <s v="0-4 Years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n v="6118"/>
    <x v="0"/>
    <s v="Medium Income"/>
    <s v="Medium Income"/>
    <s v="Medium Income"/>
    <n v="5431"/>
    <n v="1"/>
    <s v="Y"/>
    <x v="1"/>
    <n v="13"/>
    <n v="3"/>
    <n v="3"/>
    <n v="80"/>
    <n v="3"/>
    <n v="10"/>
    <x v="1"/>
    <n v="2"/>
    <s v="10-14 Years"/>
    <x v="1"/>
    <s v="10-14 Years"/>
    <x v="1"/>
    <s v="10-14 Years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n v="6214"/>
    <x v="0"/>
    <s v="Medium Income"/>
    <s v="Medium Income"/>
    <s v="Medium Income"/>
    <n v="3415"/>
    <n v="1"/>
    <s v="Y"/>
    <x v="1"/>
    <n v="18"/>
    <n v="3"/>
    <n v="1"/>
    <n v="80"/>
    <n v="1"/>
    <n v="8"/>
    <x v="0"/>
    <n v="3"/>
    <s v="5-9 Years"/>
    <x v="1"/>
    <s v="5-9 Years"/>
    <x v="3"/>
    <s v="5-9 Years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n v="6347"/>
    <x v="0"/>
    <s v="Medium Income"/>
    <s v="Medium Income"/>
    <s v="Medium Income"/>
    <n v="23177"/>
    <n v="7"/>
    <s v="Y"/>
    <x v="1"/>
    <n v="16"/>
    <n v="3"/>
    <n v="3"/>
    <n v="80"/>
    <n v="2"/>
    <n v="8"/>
    <x v="0"/>
    <n v="2"/>
    <s v="5-9 Years"/>
    <x v="2"/>
    <s v="5-9 Years"/>
    <x v="0"/>
    <s v="5-9 Years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n v="11510"/>
    <x v="2"/>
    <s v="High Income"/>
    <s v="High Income"/>
    <s v="High Income"/>
    <n v="15682"/>
    <n v="0"/>
    <s v="Y"/>
    <x v="0"/>
    <n v="14"/>
    <n v="3"/>
    <n v="2"/>
    <n v="80"/>
    <n v="1"/>
    <n v="12"/>
    <x v="1"/>
    <n v="3"/>
    <s v="10-14 Years"/>
    <x v="1"/>
    <s v="10-14 Years"/>
    <x v="19"/>
    <s v="10-14 Years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n v="7143"/>
    <x v="0"/>
    <s v="Medium Income"/>
    <s v="Medium Income"/>
    <s v="Medium Income"/>
    <n v="25713"/>
    <n v="1"/>
    <s v="Y"/>
    <x v="0"/>
    <n v="14"/>
    <n v="3"/>
    <n v="3"/>
    <n v="80"/>
    <n v="0"/>
    <n v="11"/>
    <x v="1"/>
    <n v="2"/>
    <s v="10-14 Years"/>
    <x v="2"/>
    <s v="10-14 Years"/>
    <x v="19"/>
    <s v="10-14 Years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n v="8268"/>
    <x v="0"/>
    <s v="Medium Income"/>
    <s v="Medium Income"/>
    <s v="Medium Income"/>
    <n v="11866"/>
    <n v="1"/>
    <s v="Y"/>
    <x v="0"/>
    <n v="14"/>
    <n v="3"/>
    <n v="1"/>
    <n v="80"/>
    <n v="2"/>
    <n v="7"/>
    <x v="0"/>
    <n v="2"/>
    <s v="5-9 Years"/>
    <x v="1"/>
    <s v="5-9 Years"/>
    <x v="5"/>
    <s v="5-9 Years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n v="8095"/>
    <x v="0"/>
    <s v="Medium Income"/>
    <s v="Medium Income"/>
    <s v="Medium Income"/>
    <n v="18264"/>
    <n v="0"/>
    <s v="Y"/>
    <x v="1"/>
    <n v="13"/>
    <n v="3"/>
    <n v="4"/>
    <n v="80"/>
    <n v="0"/>
    <n v="17"/>
    <x v="4"/>
    <n v="5"/>
    <s v="15-24 Years"/>
    <x v="1"/>
    <s v="15-24 Years"/>
    <x v="22"/>
    <s v="15-24 Years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n v="2904"/>
    <x v="1"/>
    <s v="Low Income"/>
    <s v="Low Income"/>
    <s v="Low Income"/>
    <n v="16092"/>
    <n v="1"/>
    <s v="Y"/>
    <x v="1"/>
    <n v="12"/>
    <n v="3"/>
    <n v="3"/>
    <n v="80"/>
    <n v="2"/>
    <n v="4"/>
    <x v="2"/>
    <n v="2"/>
    <s v="0-4 Years"/>
    <x v="2"/>
    <s v="0-4 Years"/>
    <x v="9"/>
    <s v="0-4 Years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n v="6032"/>
    <x v="0"/>
    <s v="Medium Income"/>
    <s v="Medium Income"/>
    <s v="Medium Income"/>
    <n v="10110"/>
    <n v="6"/>
    <s v="Y"/>
    <x v="0"/>
    <n v="15"/>
    <n v="3"/>
    <n v="4"/>
    <n v="80"/>
    <n v="0"/>
    <n v="8"/>
    <x v="0"/>
    <n v="3"/>
    <s v="5-9 Years"/>
    <x v="1"/>
    <s v="5-9 Years"/>
    <x v="8"/>
    <s v="5-9 Years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n v="2976"/>
    <x v="1"/>
    <s v="Low Income"/>
    <s v="Low Income"/>
    <s v="Low Income"/>
    <n v="25751"/>
    <n v="3"/>
    <s v="Y"/>
    <x v="1"/>
    <n v="19"/>
    <n v="3"/>
    <n v="1"/>
    <n v="80"/>
    <n v="0"/>
    <n v="5"/>
    <x v="2"/>
    <n v="3"/>
    <s v="0-4 Years"/>
    <x v="1"/>
    <s v="0-4 Years"/>
    <x v="2"/>
    <s v="0-4 Years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n v="15992"/>
    <x v="2"/>
    <s v="High Income"/>
    <s v="High Income"/>
    <s v="High Income"/>
    <n v="15901"/>
    <n v="2"/>
    <s v="Y"/>
    <x v="1"/>
    <n v="14"/>
    <n v="3"/>
    <n v="2"/>
    <n v="80"/>
    <n v="0"/>
    <n v="16"/>
    <x v="2"/>
    <n v="2"/>
    <s v="0-4 Years"/>
    <x v="1"/>
    <s v="0-4 Years"/>
    <x v="6"/>
    <s v="0-4 Years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n v="4649"/>
    <x v="1"/>
    <s v="Low Income"/>
    <s v="Low Income"/>
    <s v="Low Income"/>
    <n v="16928"/>
    <n v="1"/>
    <s v="Y"/>
    <x v="1"/>
    <n v="14"/>
    <n v="3"/>
    <n v="1"/>
    <n v="80"/>
    <n v="1"/>
    <n v="4"/>
    <x v="2"/>
    <n v="3"/>
    <s v="0-4 Years"/>
    <x v="2"/>
    <s v="0-4 Years"/>
    <x v="9"/>
    <s v="0-4 Years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n v="2696"/>
    <x v="1"/>
    <s v="Low Income"/>
    <s v="Low Income"/>
    <s v="Low Income"/>
    <n v="24017"/>
    <n v="0"/>
    <s v="Y"/>
    <x v="0"/>
    <n v="11"/>
    <n v="3"/>
    <n v="3"/>
    <n v="80"/>
    <n v="1"/>
    <n v="4"/>
    <x v="2"/>
    <n v="5"/>
    <s v="0-4 Years"/>
    <x v="1"/>
    <s v="0-4 Years"/>
    <x v="11"/>
    <s v="0-4 Years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n v="2370"/>
    <x v="1"/>
    <s v="Low Income"/>
    <s v="Low Income"/>
    <s v="Low Income"/>
    <n v="3956"/>
    <n v="1"/>
    <s v="Y"/>
    <x v="1"/>
    <n v="13"/>
    <n v="3"/>
    <n v="3"/>
    <n v="80"/>
    <n v="1"/>
    <n v="8"/>
    <x v="0"/>
    <n v="4"/>
    <s v="5-9 Years"/>
    <x v="1"/>
    <s v="5-9 Years"/>
    <x v="3"/>
    <s v="5-9 Years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n v="12504"/>
    <x v="2"/>
    <s v="High Income"/>
    <s v="High Income"/>
    <s v="High Income"/>
    <n v="23978"/>
    <n v="3"/>
    <s v="Y"/>
    <x v="1"/>
    <n v="21"/>
    <n v="4"/>
    <n v="2"/>
    <n v="80"/>
    <n v="1"/>
    <n v="15"/>
    <x v="2"/>
    <n v="3"/>
    <s v="0-4 Years"/>
    <x v="0"/>
    <s v="0-4 Years"/>
    <x v="2"/>
    <s v="0-4 Years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n v="5974"/>
    <x v="0"/>
    <s v="Medium Income"/>
    <s v="Medium Income"/>
    <s v="Medium Income"/>
    <n v="17001"/>
    <n v="4"/>
    <s v="Y"/>
    <x v="0"/>
    <n v="13"/>
    <n v="3"/>
    <n v="1"/>
    <n v="80"/>
    <n v="2"/>
    <n v="13"/>
    <x v="0"/>
    <n v="2"/>
    <s v="5-9 Years"/>
    <x v="1"/>
    <s v="5-9 Years"/>
    <x v="5"/>
    <s v="5-9 Years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n v="4736"/>
    <x v="1"/>
    <s v="Low Income"/>
    <s v="Low Income"/>
    <s v="Low Income"/>
    <n v="6069"/>
    <n v="7"/>
    <s v="Y"/>
    <x v="0"/>
    <n v="12"/>
    <n v="3"/>
    <n v="2"/>
    <n v="80"/>
    <n v="1"/>
    <n v="4"/>
    <x v="2"/>
    <n v="2"/>
    <s v="0-4 Years"/>
    <x v="3"/>
    <s v="0-4 Years"/>
    <x v="4"/>
    <s v="0-4 Years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n v="5296"/>
    <x v="0"/>
    <s v="Medium Income"/>
    <s v="Medium Income"/>
    <s v="Medium Income"/>
    <n v="20156"/>
    <n v="1"/>
    <s v="Y"/>
    <x v="1"/>
    <n v="17"/>
    <n v="3"/>
    <n v="2"/>
    <n v="80"/>
    <n v="1"/>
    <n v="8"/>
    <x v="0"/>
    <n v="3"/>
    <s v="5-9 Years"/>
    <x v="1"/>
    <s v="5-9 Years"/>
    <x v="3"/>
    <s v="5-9 Years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x v="0"/>
    <s v="Single"/>
    <n v="6781"/>
    <x v="0"/>
    <s v="Medium Income"/>
    <s v="Medium Income"/>
    <s v="Medium Income"/>
    <n v="17078"/>
    <n v="3"/>
    <s v="Y"/>
    <x v="1"/>
    <n v="23"/>
    <n v="4"/>
    <n v="2"/>
    <n v="80"/>
    <n v="0"/>
    <n v="14"/>
    <x v="2"/>
    <n v="6"/>
    <s v="0-4 Years"/>
    <x v="1"/>
    <s v="0-4 Years"/>
    <x v="6"/>
    <s v="0-4 Years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n v="2174"/>
    <x v="1"/>
    <s v="Low Income"/>
    <s v="Low Income"/>
    <s v="Low Income"/>
    <n v="9150"/>
    <n v="1"/>
    <s v="Y"/>
    <x v="0"/>
    <n v="11"/>
    <n v="3"/>
    <n v="3"/>
    <n v="80"/>
    <n v="0"/>
    <n v="3"/>
    <x v="2"/>
    <n v="3"/>
    <s v="0-4 Years"/>
    <x v="1"/>
    <s v="0-4 Years"/>
    <x v="11"/>
    <s v="0-4 Years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x v="0"/>
    <s v="Single"/>
    <n v="6653"/>
    <x v="0"/>
    <s v="Medium Income"/>
    <s v="Medium Income"/>
    <s v="Medium Income"/>
    <n v="15276"/>
    <n v="4"/>
    <s v="Y"/>
    <x v="1"/>
    <n v="15"/>
    <n v="3"/>
    <n v="2"/>
    <n v="80"/>
    <n v="0"/>
    <n v="7"/>
    <x v="2"/>
    <n v="6"/>
    <s v="0-4 Years"/>
    <x v="1"/>
    <s v="0-4 Years"/>
    <x v="6"/>
    <s v="0-4 Years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n v="9699"/>
    <x v="0"/>
    <s v="Medium Income"/>
    <s v="Medium Income"/>
    <s v="Medium Income"/>
    <n v="7246"/>
    <n v="4"/>
    <s v="Y"/>
    <x v="1"/>
    <n v="11"/>
    <n v="3"/>
    <n v="1"/>
    <n v="80"/>
    <n v="1"/>
    <n v="16"/>
    <x v="1"/>
    <n v="2"/>
    <s v="10-14 Years"/>
    <x v="1"/>
    <s v="10-14 Years"/>
    <x v="20"/>
    <s v="10-14 Years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n v="6755"/>
    <x v="0"/>
    <s v="Medium Income"/>
    <s v="Medium Income"/>
    <s v="Medium Income"/>
    <n v="2967"/>
    <n v="2"/>
    <s v="Y"/>
    <x v="1"/>
    <n v="11"/>
    <n v="3"/>
    <n v="3"/>
    <n v="80"/>
    <n v="0"/>
    <n v="15"/>
    <x v="2"/>
    <n v="2"/>
    <s v="0-4 Years"/>
    <x v="1"/>
    <s v="0-4 Years"/>
    <x v="11"/>
    <s v="0-4 Years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n v="2213"/>
    <x v="1"/>
    <s v="Low Income"/>
    <s v="Low Income"/>
    <s v="Low Income"/>
    <n v="22495"/>
    <n v="3"/>
    <s v="Y"/>
    <x v="0"/>
    <n v="13"/>
    <n v="3"/>
    <n v="3"/>
    <n v="80"/>
    <n v="1"/>
    <n v="10"/>
    <x v="0"/>
    <n v="3"/>
    <s v="5-9 Years"/>
    <x v="1"/>
    <s v="5-9 Years"/>
    <x v="5"/>
    <s v="5-9 Years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x v="0"/>
    <s v="Single"/>
    <n v="2610"/>
    <x v="1"/>
    <s v="Low Income"/>
    <s v="Low Income"/>
    <s v="Low Income"/>
    <n v="2851"/>
    <n v="1"/>
    <s v="Y"/>
    <x v="1"/>
    <n v="24"/>
    <n v="4"/>
    <n v="3"/>
    <n v="80"/>
    <n v="0"/>
    <n v="3"/>
    <x v="2"/>
    <n v="3"/>
    <s v="0-4 Years"/>
    <x v="2"/>
    <s v="0-4 Years"/>
    <x v="11"/>
    <s v="0-4 Years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n v="2851"/>
    <x v="1"/>
    <s v="Low Income"/>
    <s v="Low Income"/>
    <s v="Low Income"/>
    <n v="9150"/>
    <n v="1"/>
    <s v="Y"/>
    <x v="0"/>
    <n v="13"/>
    <n v="3"/>
    <n v="2"/>
    <n v="80"/>
    <n v="0"/>
    <n v="1"/>
    <x v="2"/>
    <n v="2"/>
    <s v="0-4 Years"/>
    <x v="1"/>
    <s v="0-4 Years"/>
    <x v="6"/>
    <s v="0-4 Years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n v="3452"/>
    <x v="1"/>
    <s v="Low Income"/>
    <s v="Low Income"/>
    <s v="Low Income"/>
    <n v="17663"/>
    <n v="6"/>
    <s v="Y"/>
    <x v="1"/>
    <n v="20"/>
    <n v="4"/>
    <n v="2"/>
    <n v="80"/>
    <n v="1"/>
    <n v="17"/>
    <x v="0"/>
    <n v="3"/>
    <s v="5-9 Years"/>
    <x v="1"/>
    <s v="5-9 Years"/>
    <x v="8"/>
    <s v="5-9 Years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n v="5258"/>
    <x v="0"/>
    <s v="Medium Income"/>
    <s v="Medium Income"/>
    <s v="Medium Income"/>
    <n v="16044"/>
    <n v="2"/>
    <s v="Y"/>
    <x v="1"/>
    <n v="14"/>
    <n v="3"/>
    <n v="3"/>
    <n v="80"/>
    <n v="0"/>
    <n v="7"/>
    <x v="2"/>
    <n v="2"/>
    <s v="0-4 Years"/>
    <x v="3"/>
    <s v="0-4 Years"/>
    <x v="6"/>
    <s v="0-4 Years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n v="9355"/>
    <x v="0"/>
    <s v="Medium Income"/>
    <s v="Medium Income"/>
    <s v="Medium Income"/>
    <n v="9558"/>
    <n v="1"/>
    <s v="Y"/>
    <x v="1"/>
    <n v="18"/>
    <n v="3"/>
    <n v="3"/>
    <n v="80"/>
    <n v="0"/>
    <n v="8"/>
    <x v="0"/>
    <n v="5"/>
    <s v="5-9 Years"/>
    <x v="1"/>
    <s v="5-9 Years"/>
    <x v="3"/>
    <s v="5-9 Years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n v="10496"/>
    <x v="2"/>
    <s v="High Income"/>
    <s v="High Income"/>
    <s v="High Income"/>
    <n v="2755"/>
    <n v="6"/>
    <s v="Y"/>
    <x v="1"/>
    <n v="15"/>
    <n v="3"/>
    <n v="4"/>
    <n v="80"/>
    <n v="0"/>
    <n v="20"/>
    <x v="2"/>
    <n v="2"/>
    <s v="0-4 Years"/>
    <x v="1"/>
    <s v="0-4 Years"/>
    <x v="9"/>
    <s v="0-4 Years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n v="6380"/>
    <x v="0"/>
    <s v="Medium Income"/>
    <s v="Medium Income"/>
    <s v="Medium Income"/>
    <n v="6110"/>
    <n v="2"/>
    <s v="Y"/>
    <x v="0"/>
    <n v="12"/>
    <n v="3"/>
    <n v="1"/>
    <n v="80"/>
    <n v="2"/>
    <n v="8"/>
    <x v="0"/>
    <n v="6"/>
    <s v="5-9 Years"/>
    <x v="1"/>
    <s v="5-9 Years"/>
    <x v="0"/>
    <s v="5-9 Years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n v="2657"/>
    <x v="1"/>
    <s v="Low Income"/>
    <s v="Low Income"/>
    <s v="Low Income"/>
    <n v="7551"/>
    <n v="0"/>
    <s v="Y"/>
    <x v="0"/>
    <n v="16"/>
    <n v="3"/>
    <n v="4"/>
    <n v="80"/>
    <n v="0"/>
    <n v="3"/>
    <x v="2"/>
    <n v="5"/>
    <s v="0-4 Years"/>
    <x v="1"/>
    <s v="0-4 Years"/>
    <x v="4"/>
    <s v="0-4 Years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n v="2716"/>
    <x v="1"/>
    <s v="Low Income"/>
    <s v="Low Income"/>
    <s v="Low Income"/>
    <n v="25422"/>
    <n v="1"/>
    <s v="Y"/>
    <x v="1"/>
    <n v="15"/>
    <n v="3"/>
    <n v="4"/>
    <n v="80"/>
    <n v="0"/>
    <n v="1"/>
    <x v="2"/>
    <n v="0"/>
    <s v="0-4 Years"/>
    <x v="1"/>
    <s v="0-4 Years"/>
    <x v="6"/>
    <s v="0-4 Years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n v="2201"/>
    <x v="1"/>
    <s v="Low Income"/>
    <s v="Low Income"/>
    <s v="Low Income"/>
    <n v="18168"/>
    <n v="9"/>
    <s v="Y"/>
    <x v="1"/>
    <n v="16"/>
    <n v="3"/>
    <n v="4"/>
    <n v="80"/>
    <n v="0"/>
    <n v="6"/>
    <x v="2"/>
    <n v="4"/>
    <s v="0-4 Years"/>
    <x v="1"/>
    <s v="0-4 Years"/>
    <x v="11"/>
    <s v="0-4 Years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n v="6540"/>
    <x v="0"/>
    <s v="Medium Income"/>
    <s v="Medium Income"/>
    <s v="Medium Income"/>
    <n v="19394"/>
    <n v="9"/>
    <s v="Y"/>
    <x v="1"/>
    <n v="19"/>
    <n v="3"/>
    <n v="3"/>
    <n v="80"/>
    <n v="0"/>
    <n v="10"/>
    <x v="2"/>
    <n v="5"/>
    <s v="0-4 Years"/>
    <x v="1"/>
    <s v="0-4 Years"/>
    <x v="6"/>
    <s v="0-4 Years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n v="3816"/>
    <x v="1"/>
    <s v="Low Income"/>
    <s v="Low Income"/>
    <s v="Low Income"/>
    <n v="17881"/>
    <n v="1"/>
    <s v="Y"/>
    <x v="1"/>
    <n v="11"/>
    <n v="3"/>
    <n v="2"/>
    <n v="80"/>
    <n v="1"/>
    <n v="5"/>
    <x v="0"/>
    <n v="2"/>
    <s v="5-9 Years"/>
    <x v="1"/>
    <s v="5-9 Years"/>
    <x v="8"/>
    <s v="5-9 Years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n v="5253"/>
    <x v="0"/>
    <s v="Medium Income"/>
    <s v="Medium Income"/>
    <s v="Medium Income"/>
    <n v="20750"/>
    <n v="1"/>
    <s v="Y"/>
    <x v="1"/>
    <n v="16"/>
    <n v="3"/>
    <n v="4"/>
    <n v="80"/>
    <n v="0"/>
    <n v="7"/>
    <x v="0"/>
    <n v="1"/>
    <s v="5-9 Years"/>
    <x v="1"/>
    <s v="5-9 Years"/>
    <x v="5"/>
    <s v="5-9 Years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x v="2"/>
    <s v="Single"/>
    <n v="10965"/>
    <x v="2"/>
    <s v="High Income"/>
    <s v="High Income"/>
    <s v="High Income"/>
    <n v="12066"/>
    <n v="8"/>
    <s v="Y"/>
    <x v="1"/>
    <n v="24"/>
    <n v="4"/>
    <n v="3"/>
    <n v="80"/>
    <n v="0"/>
    <n v="26"/>
    <x v="0"/>
    <n v="2"/>
    <s v="5-9 Years"/>
    <x v="1"/>
    <s v="5-9 Years"/>
    <x v="8"/>
    <s v="5-9 Years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n v="4936"/>
    <x v="1"/>
    <s v="Low Income"/>
    <s v="Low Income"/>
    <s v="Low Income"/>
    <n v="14862"/>
    <n v="4"/>
    <s v="Y"/>
    <x v="1"/>
    <n v="11"/>
    <n v="3"/>
    <n v="3"/>
    <n v="80"/>
    <n v="1"/>
    <n v="18"/>
    <x v="0"/>
    <n v="2"/>
    <s v="5-9 Years"/>
    <x v="2"/>
    <s v="5-9 Years"/>
    <x v="5"/>
    <s v="5-9 Years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n v="2543"/>
    <x v="1"/>
    <s v="Low Income"/>
    <s v="Low Income"/>
    <s v="Low Income"/>
    <n v="11868"/>
    <n v="4"/>
    <s v="Y"/>
    <x v="1"/>
    <n v="13"/>
    <n v="3"/>
    <n v="2"/>
    <n v="80"/>
    <n v="1"/>
    <n v="6"/>
    <x v="2"/>
    <n v="3"/>
    <s v="0-4 Years"/>
    <x v="1"/>
    <s v="0-4 Years"/>
    <x v="4"/>
    <s v="0-4 Years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n v="5304"/>
    <x v="0"/>
    <s v="Medium Income"/>
    <s v="Medium Income"/>
    <s v="Medium Income"/>
    <n v="4652"/>
    <n v="8"/>
    <s v="Y"/>
    <x v="0"/>
    <n v="13"/>
    <n v="3"/>
    <n v="2"/>
    <n v="80"/>
    <n v="0"/>
    <n v="9"/>
    <x v="0"/>
    <n v="3"/>
    <s v="5-9 Years"/>
    <x v="2"/>
    <s v="5-9 Years"/>
    <x v="8"/>
    <s v="5-9 Years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n v="16659"/>
    <x v="2"/>
    <s v="High Income"/>
    <s v="High Income"/>
    <s v="High Income"/>
    <n v="23258"/>
    <n v="2"/>
    <s v="Y"/>
    <x v="0"/>
    <n v="13"/>
    <n v="3"/>
    <n v="3"/>
    <n v="80"/>
    <n v="0"/>
    <n v="30"/>
    <x v="0"/>
    <n v="2"/>
    <s v="5-9 Years"/>
    <x v="1"/>
    <s v="5-9 Years"/>
    <x v="8"/>
    <s v="5-9 Years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n v="4260"/>
    <x v="1"/>
    <s v="Low Income"/>
    <s v="Low Income"/>
    <s v="Low Income"/>
    <n v="5915"/>
    <n v="1"/>
    <s v="Y"/>
    <x v="0"/>
    <n v="12"/>
    <n v="3"/>
    <n v="4"/>
    <n v="80"/>
    <n v="1"/>
    <n v="5"/>
    <x v="0"/>
    <n v="2"/>
    <s v="5-9 Years"/>
    <x v="3"/>
    <s v="5-9 Years"/>
    <x v="8"/>
    <s v="5-9 Years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n v="2476"/>
    <x v="1"/>
    <s v="Low Income"/>
    <s v="Low Income"/>
    <s v="Low Income"/>
    <n v="17434"/>
    <n v="1"/>
    <s v="Y"/>
    <x v="1"/>
    <n v="18"/>
    <n v="3"/>
    <n v="1"/>
    <n v="80"/>
    <n v="1"/>
    <n v="1"/>
    <x v="2"/>
    <n v="3"/>
    <s v="0-4 Years"/>
    <x v="1"/>
    <s v="0-4 Years"/>
    <x v="6"/>
    <s v="0-4 Years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n v="3102"/>
    <x v="1"/>
    <s v="Low Income"/>
    <s v="Low Income"/>
    <s v="Low Income"/>
    <n v="6582"/>
    <n v="0"/>
    <s v="Y"/>
    <x v="1"/>
    <n v="22"/>
    <n v="4"/>
    <n v="3"/>
    <n v="80"/>
    <n v="0"/>
    <n v="7"/>
    <x v="0"/>
    <n v="2"/>
    <s v="5-9 Years"/>
    <x v="1"/>
    <s v="5-9 Years"/>
    <x v="0"/>
    <s v="5-9 Years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n v="2244"/>
    <x v="1"/>
    <s v="Low Income"/>
    <s v="Low Income"/>
    <s v="Low Income"/>
    <n v="24440"/>
    <n v="1"/>
    <s v="Y"/>
    <x v="1"/>
    <n v="13"/>
    <n v="3"/>
    <n v="4"/>
    <n v="80"/>
    <n v="1"/>
    <n v="2"/>
    <x v="2"/>
    <n v="1"/>
    <s v="0-4 Years"/>
    <x v="1"/>
    <s v="0-4 Years"/>
    <x v="4"/>
    <s v="0-4 Years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n v="7596"/>
    <x v="0"/>
    <s v="Medium Income"/>
    <s v="Medium Income"/>
    <s v="Medium Income"/>
    <n v="3809"/>
    <n v="1"/>
    <s v="Y"/>
    <x v="1"/>
    <n v="13"/>
    <n v="3"/>
    <n v="2"/>
    <n v="80"/>
    <n v="2"/>
    <n v="10"/>
    <x v="1"/>
    <n v="2"/>
    <s v="10-14 Years"/>
    <x v="1"/>
    <s v="10-14 Years"/>
    <x v="1"/>
    <s v="10-14 Years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n v="2285"/>
    <x v="1"/>
    <s v="Low Income"/>
    <s v="Low Income"/>
    <s v="Low Income"/>
    <n v="3427"/>
    <n v="9"/>
    <s v="Y"/>
    <x v="0"/>
    <n v="23"/>
    <n v="4"/>
    <n v="3"/>
    <n v="80"/>
    <n v="0"/>
    <n v="3"/>
    <x v="2"/>
    <n v="4"/>
    <s v="0-4 Years"/>
    <x v="1"/>
    <s v="0-4 Years"/>
    <x v="6"/>
    <s v="0-4 Years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n v="3034"/>
    <x v="1"/>
    <s v="Low Income"/>
    <s v="Low Income"/>
    <s v="Low Income"/>
    <n v="26914"/>
    <n v="1"/>
    <s v="Y"/>
    <x v="1"/>
    <n v="12"/>
    <n v="3"/>
    <n v="3"/>
    <n v="80"/>
    <n v="1"/>
    <n v="18"/>
    <x v="4"/>
    <n v="2"/>
    <s v="15-24 Years"/>
    <x v="2"/>
    <s v="15-24 Years"/>
    <x v="29"/>
    <s v="15-24 Years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n v="5715"/>
    <x v="0"/>
    <s v="Medium Income"/>
    <s v="Medium Income"/>
    <s v="Medium Income"/>
    <n v="22553"/>
    <n v="7"/>
    <s v="Y"/>
    <x v="1"/>
    <n v="12"/>
    <n v="3"/>
    <n v="3"/>
    <n v="80"/>
    <n v="2"/>
    <n v="8"/>
    <x v="0"/>
    <n v="5"/>
    <s v="5-9 Years"/>
    <x v="1"/>
    <s v="5-9 Years"/>
    <x v="8"/>
    <s v="5-9 Years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n v="2576"/>
    <x v="1"/>
    <s v="Low Income"/>
    <s v="Low Income"/>
    <s v="Low Income"/>
    <n v="20490"/>
    <n v="3"/>
    <s v="Y"/>
    <x v="1"/>
    <n v="16"/>
    <n v="3"/>
    <n v="2"/>
    <n v="80"/>
    <n v="1"/>
    <n v="8"/>
    <x v="0"/>
    <n v="5"/>
    <s v="5-9 Years"/>
    <x v="1"/>
    <s v="5-9 Years"/>
    <x v="8"/>
    <s v="5-9 Years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n v="4197"/>
    <x v="1"/>
    <s v="Low Income"/>
    <s v="Low Income"/>
    <s v="Low Income"/>
    <n v="21123"/>
    <n v="2"/>
    <s v="Y"/>
    <x v="0"/>
    <n v="12"/>
    <n v="3"/>
    <n v="4"/>
    <n v="80"/>
    <n v="0"/>
    <n v="18"/>
    <x v="2"/>
    <n v="2"/>
    <s v="0-4 Years"/>
    <x v="2"/>
    <s v="0-4 Years"/>
    <x v="6"/>
    <s v="0-4 Years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n v="14336"/>
    <x v="2"/>
    <s v="High Income"/>
    <s v="High Income"/>
    <s v="High Income"/>
    <n v="4345"/>
    <n v="1"/>
    <s v="Y"/>
    <x v="1"/>
    <n v="11"/>
    <n v="3"/>
    <n v="3"/>
    <n v="80"/>
    <n v="1"/>
    <n v="25"/>
    <x v="3"/>
    <n v="3"/>
    <s v="25+ Years"/>
    <x v="1"/>
    <s v="25+ Years"/>
    <x v="10"/>
    <s v="25+ Years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n v="3448"/>
    <x v="1"/>
    <s v="Low Income"/>
    <s v="Low Income"/>
    <s v="Low Income"/>
    <n v="13436"/>
    <n v="6"/>
    <s v="Y"/>
    <x v="1"/>
    <n v="22"/>
    <n v="4"/>
    <n v="2"/>
    <n v="80"/>
    <n v="1"/>
    <n v="20"/>
    <x v="2"/>
    <n v="3"/>
    <s v="0-4 Years"/>
    <x v="1"/>
    <s v="0-4 Years"/>
    <x v="6"/>
    <s v="0-4 Years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n v="19406"/>
    <x v="2"/>
    <s v="High Income"/>
    <s v="High Income"/>
    <s v="High Income"/>
    <n v="8509"/>
    <n v="4"/>
    <s v="Y"/>
    <x v="1"/>
    <n v="11"/>
    <n v="3"/>
    <n v="3"/>
    <n v="80"/>
    <n v="1"/>
    <n v="24"/>
    <x v="2"/>
    <n v="4"/>
    <s v="0-4 Years"/>
    <x v="2"/>
    <s v="0-4 Years"/>
    <x v="9"/>
    <s v="0-4 Years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n v="6538"/>
    <x v="0"/>
    <s v="Medium Income"/>
    <s v="Medium Income"/>
    <s v="Medium Income"/>
    <n v="12740"/>
    <n v="9"/>
    <s v="Y"/>
    <x v="1"/>
    <n v="15"/>
    <n v="3"/>
    <n v="1"/>
    <n v="80"/>
    <n v="1"/>
    <n v="6"/>
    <x v="2"/>
    <n v="3"/>
    <s v="0-4 Years"/>
    <x v="1"/>
    <s v="0-4 Years"/>
    <x v="11"/>
    <s v="0-4 Years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n v="4306"/>
    <x v="1"/>
    <s v="Low Income"/>
    <s v="Low Income"/>
    <s v="Low Income"/>
    <n v="4156"/>
    <n v="1"/>
    <s v="Y"/>
    <x v="1"/>
    <n v="12"/>
    <n v="3"/>
    <n v="2"/>
    <n v="80"/>
    <n v="1"/>
    <n v="13"/>
    <x v="1"/>
    <n v="5"/>
    <s v="10-14 Years"/>
    <x v="0"/>
    <s v="10-14 Years"/>
    <x v="20"/>
    <s v="10-14 Years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n v="2258"/>
    <x v="1"/>
    <s v="Low Income"/>
    <s v="Low Income"/>
    <s v="Low Income"/>
    <n v="15238"/>
    <n v="7"/>
    <s v="Y"/>
    <x v="1"/>
    <n v="20"/>
    <n v="4"/>
    <n v="1"/>
    <n v="80"/>
    <n v="1"/>
    <n v="8"/>
    <x v="2"/>
    <n v="1"/>
    <s v="0-4 Years"/>
    <x v="1"/>
    <s v="0-4 Years"/>
    <x v="11"/>
    <s v="0-4 Years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n v="4522"/>
    <x v="1"/>
    <s v="Low Income"/>
    <s v="Low Income"/>
    <s v="Low Income"/>
    <n v="2227"/>
    <n v="4"/>
    <s v="Y"/>
    <x v="0"/>
    <n v="14"/>
    <n v="3"/>
    <n v="4"/>
    <n v="80"/>
    <n v="0"/>
    <n v="8"/>
    <x v="0"/>
    <n v="3"/>
    <s v="5-9 Years"/>
    <x v="1"/>
    <s v="5-9 Years"/>
    <x v="8"/>
    <s v="5-9 Years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n v="4487"/>
    <x v="1"/>
    <s v="Low Income"/>
    <s v="Low Income"/>
    <s v="Low Income"/>
    <n v="12090"/>
    <n v="1"/>
    <s v="Y"/>
    <x v="0"/>
    <n v="11"/>
    <n v="3"/>
    <n v="2"/>
    <n v="80"/>
    <n v="0"/>
    <n v="5"/>
    <x v="0"/>
    <n v="3"/>
    <s v="5-9 Years"/>
    <x v="1"/>
    <s v="5-9 Years"/>
    <x v="8"/>
    <s v="5-9 Years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n v="4449"/>
    <x v="1"/>
    <s v="Low Income"/>
    <s v="Low Income"/>
    <s v="Low Income"/>
    <n v="23866"/>
    <n v="3"/>
    <s v="Y"/>
    <x v="0"/>
    <n v="15"/>
    <n v="3"/>
    <n v="1"/>
    <n v="80"/>
    <n v="2"/>
    <n v="15"/>
    <x v="1"/>
    <n v="2"/>
    <s v="10-14 Years"/>
    <x v="1"/>
    <s v="10-14 Years"/>
    <x v="20"/>
    <s v="10-14 Years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n v="2218"/>
    <x v="1"/>
    <s v="Low Income"/>
    <s v="Low Income"/>
    <s v="Low Income"/>
    <n v="16193"/>
    <n v="1"/>
    <s v="Y"/>
    <x v="1"/>
    <n v="12"/>
    <n v="3"/>
    <n v="3"/>
    <n v="80"/>
    <n v="1"/>
    <n v="4"/>
    <x v="2"/>
    <n v="3"/>
    <s v="0-4 Years"/>
    <x v="1"/>
    <s v="0-4 Years"/>
    <x v="9"/>
    <s v="0-4 Years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n v="19197"/>
    <x v="2"/>
    <s v="High Income"/>
    <s v="High Income"/>
    <s v="High Income"/>
    <n v="8213"/>
    <n v="1"/>
    <s v="Y"/>
    <x v="0"/>
    <n v="14"/>
    <n v="3"/>
    <n v="3"/>
    <n v="80"/>
    <n v="1"/>
    <n v="21"/>
    <x v="4"/>
    <n v="3"/>
    <s v="15-24 Years"/>
    <x v="1"/>
    <s v="15-24 Years"/>
    <x v="17"/>
    <s v="15-24 Years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n v="13212"/>
    <x v="2"/>
    <s v="High Income"/>
    <s v="High Income"/>
    <s v="High Income"/>
    <n v="18256"/>
    <n v="9"/>
    <s v="Y"/>
    <x v="1"/>
    <n v="11"/>
    <n v="3"/>
    <n v="4"/>
    <n v="80"/>
    <n v="3"/>
    <n v="36"/>
    <x v="0"/>
    <n v="0"/>
    <s v="5-9 Years"/>
    <x v="2"/>
    <s v="5-9 Years"/>
    <x v="5"/>
    <s v="5-9 Years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n v="6577"/>
    <x v="0"/>
    <s v="Medium Income"/>
    <s v="Medium Income"/>
    <s v="Medium Income"/>
    <n v="19558"/>
    <n v="0"/>
    <s v="Y"/>
    <x v="1"/>
    <n v="11"/>
    <n v="3"/>
    <n v="2"/>
    <n v="80"/>
    <n v="0"/>
    <n v="6"/>
    <x v="0"/>
    <n v="6"/>
    <s v="5-9 Years"/>
    <x v="1"/>
    <s v="5-9 Years"/>
    <x v="8"/>
    <s v="5-9 Years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n v="8392"/>
    <x v="0"/>
    <s v="Medium Income"/>
    <s v="Medium Income"/>
    <s v="Medium Income"/>
    <n v="19566"/>
    <n v="1"/>
    <s v="Y"/>
    <x v="1"/>
    <n v="16"/>
    <n v="3"/>
    <n v="3"/>
    <n v="80"/>
    <n v="1"/>
    <n v="10"/>
    <x v="1"/>
    <n v="2"/>
    <s v="10-14 Years"/>
    <x v="1"/>
    <s v="10-14 Years"/>
    <x v="1"/>
    <s v="10-14 Years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n v="4558"/>
    <x v="1"/>
    <s v="Low Income"/>
    <s v="Low Income"/>
    <s v="Low Income"/>
    <n v="13535"/>
    <n v="1"/>
    <s v="Y"/>
    <x v="1"/>
    <n v="12"/>
    <n v="3"/>
    <n v="4"/>
    <n v="80"/>
    <n v="1"/>
    <n v="10"/>
    <x v="1"/>
    <n v="2"/>
    <s v="10-14 Years"/>
    <x v="1"/>
    <s v="10-14 Years"/>
    <x v="1"/>
    <s v="10-14 Years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n v="4031"/>
    <x v="1"/>
    <s v="Low Income"/>
    <s v="Low Income"/>
    <s v="Low Income"/>
    <n v="9396"/>
    <n v="5"/>
    <s v="Y"/>
    <x v="1"/>
    <n v="13"/>
    <n v="3"/>
    <n v="3"/>
    <n v="80"/>
    <n v="1"/>
    <n v="6"/>
    <x v="2"/>
    <n v="5"/>
    <s v="0-4 Years"/>
    <x v="1"/>
    <s v="0-4 Years"/>
    <x v="4"/>
    <s v="0-4 Years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n v="7969"/>
    <x v="0"/>
    <s v="Medium Income"/>
    <s v="Medium Income"/>
    <s v="Medium Income"/>
    <n v="19609"/>
    <n v="2"/>
    <s v="Y"/>
    <x v="0"/>
    <n v="14"/>
    <n v="3"/>
    <n v="3"/>
    <n v="80"/>
    <n v="0"/>
    <n v="28"/>
    <x v="0"/>
    <n v="4"/>
    <s v="5-9 Years"/>
    <x v="1"/>
    <s v="5-9 Years"/>
    <x v="8"/>
    <s v="5-9 Years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n v="2654"/>
    <x v="1"/>
    <s v="Low Income"/>
    <s v="Low Income"/>
    <s v="Low Income"/>
    <n v="9655"/>
    <n v="3"/>
    <s v="Y"/>
    <x v="1"/>
    <n v="21"/>
    <n v="4"/>
    <n v="4"/>
    <n v="80"/>
    <n v="2"/>
    <n v="8"/>
    <x v="2"/>
    <n v="3"/>
    <s v="0-4 Years"/>
    <x v="2"/>
    <s v="0-4 Years"/>
    <x v="4"/>
    <s v="0-4 Years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n v="16555"/>
    <x v="2"/>
    <s v="High Income"/>
    <s v="High Income"/>
    <s v="High Income"/>
    <n v="10310"/>
    <n v="2"/>
    <s v="Y"/>
    <x v="1"/>
    <n v="13"/>
    <n v="3"/>
    <n v="4"/>
    <n v="80"/>
    <n v="0"/>
    <n v="31"/>
    <x v="0"/>
    <n v="2"/>
    <s v="5-9 Years"/>
    <x v="0"/>
    <s v="5-9 Years"/>
    <x v="8"/>
    <s v="5-9 Years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n v="4556"/>
    <x v="1"/>
    <s v="Low Income"/>
    <s v="Low Income"/>
    <s v="Low Income"/>
    <n v="12932"/>
    <n v="2"/>
    <s v="Y"/>
    <x v="1"/>
    <n v="11"/>
    <n v="3"/>
    <n v="2"/>
    <n v="80"/>
    <n v="1"/>
    <n v="19"/>
    <x v="0"/>
    <n v="3"/>
    <s v="5-9 Years"/>
    <x v="1"/>
    <s v="5-9 Years"/>
    <x v="8"/>
    <s v="5-9 Years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n v="6091"/>
    <x v="0"/>
    <s v="Medium Income"/>
    <s v="Medium Income"/>
    <s v="Medium Income"/>
    <n v="24793"/>
    <n v="2"/>
    <s v="Y"/>
    <x v="1"/>
    <n v="20"/>
    <n v="4"/>
    <n v="3"/>
    <n v="80"/>
    <n v="0"/>
    <n v="11"/>
    <x v="0"/>
    <n v="2"/>
    <s v="5-9 Years"/>
    <x v="1"/>
    <s v="5-9 Years"/>
    <x v="8"/>
    <s v="5-9 Years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n v="19566"/>
    <x v="2"/>
    <s v="High Income"/>
    <s v="High Income"/>
    <s v="High Income"/>
    <n v="3854"/>
    <n v="5"/>
    <s v="Y"/>
    <x v="1"/>
    <n v="11"/>
    <n v="3"/>
    <n v="4"/>
    <n v="80"/>
    <n v="0"/>
    <n v="33"/>
    <x v="3"/>
    <n v="5"/>
    <s v="25+ Years"/>
    <x v="0"/>
    <s v="25+ Years"/>
    <x v="30"/>
    <s v="25+ Years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n v="4810"/>
    <x v="1"/>
    <s v="Low Income"/>
    <s v="Low Income"/>
    <s v="Low Income"/>
    <n v="26314"/>
    <n v="2"/>
    <s v="Y"/>
    <x v="1"/>
    <n v="14"/>
    <n v="3"/>
    <n v="3"/>
    <n v="80"/>
    <n v="1"/>
    <n v="19"/>
    <x v="1"/>
    <n v="5"/>
    <s v="10-14 Years"/>
    <x v="2"/>
    <s v="10-14 Years"/>
    <x v="1"/>
    <s v="10-14 Years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n v="4523"/>
    <x v="1"/>
    <s v="Low Income"/>
    <s v="Low Income"/>
    <s v="Low Income"/>
    <n v="4386"/>
    <n v="0"/>
    <s v="Y"/>
    <x v="1"/>
    <n v="11"/>
    <n v="3"/>
    <n v="4"/>
    <n v="80"/>
    <n v="3"/>
    <n v="7"/>
    <x v="0"/>
    <n v="4"/>
    <s v="5-9 Years"/>
    <x v="3"/>
    <s v="5-9 Years"/>
    <x v="0"/>
    <s v="5-9 Years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n v="3202"/>
    <x v="1"/>
    <s v="Low Income"/>
    <s v="Low Income"/>
    <s v="Low Income"/>
    <n v="21972"/>
    <n v="1"/>
    <s v="Y"/>
    <x v="0"/>
    <n v="16"/>
    <n v="3"/>
    <n v="2"/>
    <n v="80"/>
    <n v="0"/>
    <n v="6"/>
    <x v="0"/>
    <n v="4"/>
    <s v="5-9 Years"/>
    <x v="1"/>
    <s v="5-9 Years"/>
    <x v="8"/>
    <s v="5-9 Years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n v="2351"/>
    <x v="1"/>
    <s v="Low Income"/>
    <s v="Low Income"/>
    <s v="Low Income"/>
    <n v="12253"/>
    <n v="0"/>
    <s v="Y"/>
    <x v="1"/>
    <n v="16"/>
    <n v="3"/>
    <n v="4"/>
    <n v="80"/>
    <n v="1"/>
    <n v="3"/>
    <x v="2"/>
    <n v="3"/>
    <s v="0-4 Years"/>
    <x v="2"/>
    <s v="0-4 Years"/>
    <x v="4"/>
    <s v="0-4 Years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n v="1702"/>
    <x v="1"/>
    <s v="Low Income"/>
    <s v="Low Income"/>
    <s v="Low Income"/>
    <n v="12106"/>
    <n v="1"/>
    <s v="Y"/>
    <x v="0"/>
    <n v="23"/>
    <n v="4"/>
    <n v="3"/>
    <n v="80"/>
    <n v="1"/>
    <n v="1"/>
    <x v="2"/>
    <n v="3"/>
    <s v="0-4 Years"/>
    <x v="1"/>
    <s v="0-4 Years"/>
    <x v="6"/>
    <s v="0-4 Years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n v="18041"/>
    <x v="2"/>
    <s v="High Income"/>
    <s v="High Income"/>
    <s v="High Income"/>
    <n v="13022"/>
    <n v="0"/>
    <s v="Y"/>
    <x v="1"/>
    <n v="14"/>
    <n v="3"/>
    <n v="4"/>
    <n v="80"/>
    <n v="0"/>
    <n v="21"/>
    <x v="4"/>
    <n v="2"/>
    <s v="15-24 Years"/>
    <x v="1"/>
    <s v="15-24 Years"/>
    <x v="23"/>
    <s v="15-24 Years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n v="2886"/>
    <x v="1"/>
    <s v="Low Income"/>
    <s v="Low Income"/>
    <s v="Low Income"/>
    <n v="3032"/>
    <n v="1"/>
    <s v="Y"/>
    <x v="1"/>
    <n v="22"/>
    <n v="4"/>
    <n v="2"/>
    <n v="80"/>
    <n v="2"/>
    <n v="3"/>
    <x v="2"/>
    <n v="3"/>
    <s v="0-4 Years"/>
    <x v="0"/>
    <s v="0-4 Years"/>
    <x v="11"/>
    <s v="0-4 Years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n v="2097"/>
    <x v="1"/>
    <s v="Low Income"/>
    <s v="Low Income"/>
    <s v="Low Income"/>
    <n v="16734"/>
    <n v="4"/>
    <s v="Y"/>
    <x v="1"/>
    <n v="15"/>
    <n v="3"/>
    <n v="3"/>
    <n v="80"/>
    <n v="1"/>
    <n v="9"/>
    <x v="0"/>
    <n v="3"/>
    <s v="5-9 Years"/>
    <x v="0"/>
    <s v="5-9 Years"/>
    <x v="8"/>
    <s v="5-9 Years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n v="11935"/>
    <x v="2"/>
    <s v="High Income"/>
    <s v="High Income"/>
    <s v="High Income"/>
    <n v="21526"/>
    <n v="1"/>
    <s v="Y"/>
    <x v="1"/>
    <n v="18"/>
    <n v="3"/>
    <n v="3"/>
    <n v="80"/>
    <n v="0"/>
    <n v="10"/>
    <x v="1"/>
    <n v="2"/>
    <s v="10-14 Years"/>
    <x v="1"/>
    <s v="10-14 Years"/>
    <x v="1"/>
    <s v="10-14 Years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n v="2546"/>
    <x v="1"/>
    <s v="Low Income"/>
    <s v="Low Income"/>
    <s v="Low Income"/>
    <n v="18300"/>
    <n v="5"/>
    <s v="Y"/>
    <x v="1"/>
    <n v="16"/>
    <n v="3"/>
    <n v="2"/>
    <n v="80"/>
    <n v="0"/>
    <n v="6"/>
    <x v="2"/>
    <n v="2"/>
    <s v="0-4 Years"/>
    <x v="3"/>
    <s v="0-4 Years"/>
    <x v="4"/>
    <s v="0-4 Years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n v="2564"/>
    <x v="1"/>
    <s v="Low Income"/>
    <s v="Low Income"/>
    <s v="Low Income"/>
    <n v="18437"/>
    <n v="1"/>
    <s v="Y"/>
    <x v="1"/>
    <n v="12"/>
    <n v="3"/>
    <n v="3"/>
    <n v="80"/>
    <n v="0"/>
    <n v="1"/>
    <x v="2"/>
    <n v="3"/>
    <s v="0-4 Years"/>
    <x v="3"/>
    <s v="0-4 Years"/>
    <x v="6"/>
    <s v="0-4 Years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n v="8412"/>
    <x v="0"/>
    <s v="Medium Income"/>
    <s v="Medium Income"/>
    <s v="Medium Income"/>
    <n v="2890"/>
    <n v="0"/>
    <s v="Y"/>
    <x v="1"/>
    <n v="11"/>
    <n v="3"/>
    <n v="3"/>
    <n v="80"/>
    <n v="0"/>
    <n v="10"/>
    <x v="0"/>
    <n v="3"/>
    <s v="5-9 Years"/>
    <x v="1"/>
    <s v="5-9 Years"/>
    <x v="7"/>
    <s v="5-9 Years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n v="14118"/>
    <x v="2"/>
    <s v="High Income"/>
    <s v="High Income"/>
    <s v="High Income"/>
    <n v="22102"/>
    <n v="3"/>
    <s v="Y"/>
    <x v="1"/>
    <n v="12"/>
    <n v="3"/>
    <n v="3"/>
    <n v="80"/>
    <n v="1"/>
    <n v="32"/>
    <x v="2"/>
    <n v="3"/>
    <s v="0-4 Years"/>
    <x v="2"/>
    <s v="0-4 Years"/>
    <x v="6"/>
    <s v="0-4 Years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n v="17046"/>
    <x v="2"/>
    <s v="High Income"/>
    <s v="High Income"/>
    <s v="High Income"/>
    <n v="9314"/>
    <n v="0"/>
    <s v="Y"/>
    <x v="1"/>
    <n v="15"/>
    <n v="3"/>
    <n v="2"/>
    <n v="80"/>
    <n v="1"/>
    <n v="28"/>
    <x v="3"/>
    <n v="2"/>
    <s v="25+ Years"/>
    <x v="1"/>
    <s v="25+ Years"/>
    <x v="16"/>
    <s v="25+ Years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n v="2564"/>
    <x v="1"/>
    <s v="Low Income"/>
    <s v="Low Income"/>
    <s v="Low Income"/>
    <n v="7181"/>
    <n v="0"/>
    <s v="Y"/>
    <x v="1"/>
    <n v="14"/>
    <n v="3"/>
    <n v="3"/>
    <n v="80"/>
    <n v="0"/>
    <n v="12"/>
    <x v="1"/>
    <n v="2"/>
    <s v="10-14 Years"/>
    <x v="2"/>
    <s v="10-14 Years"/>
    <x v="19"/>
    <s v="10-14 Years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n v="10266"/>
    <x v="2"/>
    <s v="High Income"/>
    <s v="High Income"/>
    <s v="High Income"/>
    <n v="2845"/>
    <n v="4"/>
    <s v="Y"/>
    <x v="1"/>
    <n v="19"/>
    <n v="3"/>
    <n v="4"/>
    <n v="80"/>
    <n v="0"/>
    <n v="22"/>
    <x v="4"/>
    <n v="5"/>
    <s v="15-24 Years"/>
    <x v="3"/>
    <s v="15-24 Years"/>
    <x v="29"/>
    <s v="15-24 Years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n v="5070"/>
    <x v="0"/>
    <s v="Medium Income"/>
    <s v="Medium Income"/>
    <s v="Medium Income"/>
    <n v="7389"/>
    <n v="5"/>
    <s v="Y"/>
    <x v="1"/>
    <n v="13"/>
    <n v="3"/>
    <n v="3"/>
    <n v="80"/>
    <n v="3"/>
    <n v="20"/>
    <x v="0"/>
    <n v="2"/>
    <s v="5-9 Years"/>
    <x v="1"/>
    <s v="5-9 Years"/>
    <x v="8"/>
    <s v="5-9 Years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n v="17861"/>
    <x v="2"/>
    <s v="High Income"/>
    <s v="High Income"/>
    <s v="High Income"/>
    <n v="2288"/>
    <n v="6"/>
    <s v="Y"/>
    <x v="1"/>
    <n v="13"/>
    <n v="3"/>
    <n v="3"/>
    <n v="80"/>
    <n v="0"/>
    <n v="26"/>
    <x v="2"/>
    <n v="2"/>
    <s v="0-4 Years"/>
    <x v="0"/>
    <s v="0-4 Years"/>
    <x v="11"/>
    <s v="0-4 Years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n v="4230"/>
    <x v="1"/>
    <s v="Low Income"/>
    <s v="Low Income"/>
    <s v="Low Income"/>
    <n v="19225"/>
    <n v="0"/>
    <s v="Y"/>
    <x v="1"/>
    <n v="15"/>
    <n v="3"/>
    <n v="3"/>
    <n v="80"/>
    <n v="0"/>
    <n v="6"/>
    <x v="0"/>
    <n v="2"/>
    <s v="5-9 Years"/>
    <x v="1"/>
    <s v="5-9 Years"/>
    <x v="8"/>
    <s v="5-9 Years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n v="3780"/>
    <x v="1"/>
    <s v="Low Income"/>
    <s v="Low Income"/>
    <s v="Low Income"/>
    <n v="23428"/>
    <n v="7"/>
    <s v="Y"/>
    <x v="1"/>
    <n v="11"/>
    <n v="3"/>
    <n v="3"/>
    <n v="80"/>
    <n v="0"/>
    <n v="19"/>
    <x v="2"/>
    <n v="3"/>
    <s v="0-4 Years"/>
    <x v="1"/>
    <s v="0-4 Years"/>
    <x v="6"/>
    <s v="0-4 Years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n v="2768"/>
    <x v="1"/>
    <s v="Low Income"/>
    <s v="Low Income"/>
    <s v="Low Income"/>
    <n v="8416"/>
    <n v="3"/>
    <s v="Y"/>
    <x v="1"/>
    <n v="12"/>
    <n v="3"/>
    <n v="3"/>
    <n v="80"/>
    <n v="1"/>
    <n v="14"/>
    <x v="0"/>
    <n v="3"/>
    <s v="5-9 Years"/>
    <x v="1"/>
    <s v="5-9 Years"/>
    <x v="5"/>
    <s v="5-9 Years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n v="9071"/>
    <x v="0"/>
    <s v="Medium Income"/>
    <s v="Medium Income"/>
    <s v="Medium Income"/>
    <n v="11563"/>
    <n v="2"/>
    <s v="Y"/>
    <x v="0"/>
    <n v="19"/>
    <n v="3"/>
    <n v="3"/>
    <n v="80"/>
    <n v="1"/>
    <n v="15"/>
    <x v="2"/>
    <n v="3"/>
    <s v="0-4 Years"/>
    <x v="1"/>
    <s v="0-4 Years"/>
    <x v="11"/>
    <s v="0-4 Years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n v="10648"/>
    <x v="2"/>
    <s v="High Income"/>
    <s v="High Income"/>
    <s v="High Income"/>
    <n v="14394"/>
    <n v="1"/>
    <s v="Y"/>
    <x v="1"/>
    <n v="25"/>
    <n v="4"/>
    <n v="4"/>
    <n v="80"/>
    <n v="1"/>
    <n v="13"/>
    <x v="1"/>
    <n v="6"/>
    <s v="10-14 Years"/>
    <x v="3"/>
    <s v="10-14 Years"/>
    <x v="20"/>
    <s v="10-14 Years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n v="13610"/>
    <x v="2"/>
    <s v="High Income"/>
    <s v="High Income"/>
    <s v="High Income"/>
    <n v="24619"/>
    <n v="7"/>
    <s v="Y"/>
    <x v="0"/>
    <n v="12"/>
    <n v="3"/>
    <n v="4"/>
    <n v="80"/>
    <n v="0"/>
    <n v="15"/>
    <x v="0"/>
    <n v="2"/>
    <s v="5-9 Years"/>
    <x v="3"/>
    <s v="5-9 Years"/>
    <x v="5"/>
    <s v="5-9 Years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n v="3408"/>
    <x v="1"/>
    <s v="Low Income"/>
    <s v="Low Income"/>
    <s v="Low Income"/>
    <n v="6705"/>
    <n v="7"/>
    <s v="Y"/>
    <x v="1"/>
    <n v="13"/>
    <n v="3"/>
    <n v="1"/>
    <n v="80"/>
    <n v="3"/>
    <n v="8"/>
    <x v="2"/>
    <n v="2"/>
    <s v="0-4 Years"/>
    <x v="1"/>
    <s v="0-4 Years"/>
    <x v="9"/>
    <s v="0-4 Years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n v="2983"/>
    <x v="1"/>
    <s v="Low Income"/>
    <s v="Low Income"/>
    <s v="Low Income"/>
    <n v="18398"/>
    <n v="0"/>
    <s v="Y"/>
    <x v="1"/>
    <n v="14"/>
    <n v="3"/>
    <n v="1"/>
    <n v="80"/>
    <n v="0"/>
    <n v="4"/>
    <x v="2"/>
    <n v="3"/>
    <s v="0-4 Years"/>
    <x v="1"/>
    <s v="0-4 Years"/>
    <x v="11"/>
    <s v="0-4 Years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n v="7632"/>
    <x v="0"/>
    <s v="Medium Income"/>
    <s v="Medium Income"/>
    <s v="Medium Income"/>
    <n v="14295"/>
    <n v="4"/>
    <s v="Y"/>
    <x v="0"/>
    <n v="12"/>
    <n v="3"/>
    <n v="3"/>
    <n v="80"/>
    <n v="0"/>
    <n v="10"/>
    <x v="0"/>
    <n v="2"/>
    <s v="5-9 Years"/>
    <x v="1"/>
    <s v="5-9 Years"/>
    <x v="3"/>
    <s v="5-9 Years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n v="9824"/>
    <x v="0"/>
    <s v="Medium Income"/>
    <s v="Medium Income"/>
    <s v="Medium Income"/>
    <n v="22908"/>
    <n v="3"/>
    <s v="Y"/>
    <x v="1"/>
    <n v="12"/>
    <n v="3"/>
    <n v="1"/>
    <n v="80"/>
    <n v="0"/>
    <n v="12"/>
    <x v="2"/>
    <n v="2"/>
    <s v="0-4 Years"/>
    <x v="1"/>
    <s v="0-4 Years"/>
    <x v="6"/>
    <s v="0-4 Years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n v="9950"/>
    <x v="0"/>
    <s v="Medium Income"/>
    <s v="Medium Income"/>
    <s v="Medium Income"/>
    <n v="11533"/>
    <n v="9"/>
    <s v="Y"/>
    <x v="0"/>
    <n v="15"/>
    <n v="3"/>
    <n v="3"/>
    <n v="80"/>
    <n v="3"/>
    <n v="11"/>
    <x v="2"/>
    <n v="2"/>
    <s v="0-4 Years"/>
    <x v="1"/>
    <s v="0-4 Years"/>
    <x v="11"/>
    <s v="0-4 Years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n v="2093"/>
    <x v="1"/>
    <s v="Low Income"/>
    <s v="Low Income"/>
    <s v="Low Income"/>
    <n v="9260"/>
    <n v="4"/>
    <s v="Y"/>
    <x v="1"/>
    <n v="17"/>
    <n v="3"/>
    <n v="4"/>
    <n v="80"/>
    <n v="1"/>
    <n v="8"/>
    <x v="2"/>
    <n v="4"/>
    <s v="0-4 Years"/>
    <x v="1"/>
    <s v="0-4 Years"/>
    <x v="4"/>
    <s v="0-4 Years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x v="0"/>
    <s v="Single"/>
    <n v="9980"/>
    <x v="0"/>
    <s v="Medium Income"/>
    <s v="Medium Income"/>
    <s v="Medium Income"/>
    <n v="15318"/>
    <n v="1"/>
    <s v="Y"/>
    <x v="1"/>
    <n v="14"/>
    <n v="3"/>
    <n v="4"/>
    <n v="80"/>
    <n v="0"/>
    <n v="10"/>
    <x v="1"/>
    <n v="3"/>
    <s v="10-14 Years"/>
    <x v="2"/>
    <s v="10-14 Years"/>
    <x v="1"/>
    <s v="10-14 Years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n v="3894"/>
    <x v="1"/>
    <s v="Low Income"/>
    <s v="Low Income"/>
    <s v="Low Income"/>
    <n v="9129"/>
    <n v="5"/>
    <s v="Y"/>
    <x v="1"/>
    <n v="16"/>
    <n v="3"/>
    <n v="3"/>
    <n v="80"/>
    <n v="0"/>
    <n v="4"/>
    <x v="2"/>
    <n v="3"/>
    <s v="0-4 Years"/>
    <x v="1"/>
    <s v="0-4 Years"/>
    <x v="4"/>
    <s v="0-4 Years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n v="4051"/>
    <x v="1"/>
    <s v="Low Income"/>
    <s v="Low Income"/>
    <s v="Low Income"/>
    <n v="19658"/>
    <n v="2"/>
    <s v="Y"/>
    <x v="1"/>
    <n v="14"/>
    <n v="3"/>
    <n v="1"/>
    <n v="80"/>
    <n v="1"/>
    <n v="14"/>
    <x v="0"/>
    <n v="2"/>
    <s v="5-9 Years"/>
    <x v="1"/>
    <s v="5-9 Years"/>
    <x v="7"/>
    <s v="5-9 Years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n v="16835"/>
    <x v="2"/>
    <s v="High Income"/>
    <s v="High Income"/>
    <s v="High Income"/>
    <n v="9873"/>
    <n v="3"/>
    <s v="Y"/>
    <x v="1"/>
    <n v="23"/>
    <n v="4"/>
    <n v="4"/>
    <n v="80"/>
    <n v="0"/>
    <n v="37"/>
    <x v="1"/>
    <n v="2"/>
    <s v="10-14 Years"/>
    <x v="1"/>
    <s v="10-14 Years"/>
    <x v="1"/>
    <s v="10-14 Years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n v="6230"/>
    <x v="0"/>
    <s v="Medium Income"/>
    <s v="Medium Income"/>
    <s v="Medium Income"/>
    <n v="13430"/>
    <n v="7"/>
    <s v="Y"/>
    <x v="1"/>
    <n v="14"/>
    <n v="3"/>
    <n v="4"/>
    <n v="80"/>
    <n v="0"/>
    <n v="16"/>
    <x v="1"/>
    <n v="3"/>
    <s v="10-14 Years"/>
    <x v="1"/>
    <s v="10-14 Years"/>
    <x v="13"/>
    <s v="10-14 Years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n v="4717"/>
    <x v="1"/>
    <s v="Low Income"/>
    <s v="Low Income"/>
    <s v="Low Income"/>
    <n v="18659"/>
    <n v="9"/>
    <s v="Y"/>
    <x v="1"/>
    <n v="11"/>
    <n v="3"/>
    <n v="3"/>
    <n v="80"/>
    <n v="0"/>
    <n v="15"/>
    <x v="1"/>
    <n v="2"/>
    <s v="10-14 Years"/>
    <x v="1"/>
    <s v="10-14 Years"/>
    <x v="19"/>
    <s v="10-14 Years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n v="13237"/>
    <x v="2"/>
    <s v="High Income"/>
    <s v="High Income"/>
    <s v="High Income"/>
    <n v="20364"/>
    <n v="7"/>
    <s v="Y"/>
    <x v="1"/>
    <n v="15"/>
    <n v="3"/>
    <n v="3"/>
    <n v="80"/>
    <n v="0"/>
    <n v="22"/>
    <x v="4"/>
    <n v="3"/>
    <s v="15-24 Years"/>
    <x v="1"/>
    <s v="15-24 Years"/>
    <x v="23"/>
    <s v="15-24 Years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n v="3755"/>
    <x v="1"/>
    <s v="Low Income"/>
    <s v="Low Income"/>
    <s v="Low Income"/>
    <n v="17872"/>
    <n v="1"/>
    <s v="Y"/>
    <x v="1"/>
    <n v="11"/>
    <n v="3"/>
    <n v="1"/>
    <n v="80"/>
    <n v="1"/>
    <n v="8"/>
    <x v="0"/>
    <n v="3"/>
    <s v="5-9 Years"/>
    <x v="1"/>
    <s v="5-9 Years"/>
    <x v="3"/>
    <s v="5-9 Years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n v="6582"/>
    <x v="0"/>
    <s v="Medium Income"/>
    <s v="Medium Income"/>
    <s v="Medium Income"/>
    <n v="8346"/>
    <n v="4"/>
    <s v="Y"/>
    <x v="0"/>
    <n v="13"/>
    <n v="3"/>
    <n v="3"/>
    <n v="80"/>
    <n v="0"/>
    <n v="10"/>
    <x v="0"/>
    <n v="2"/>
    <s v="5-9 Years"/>
    <x v="3"/>
    <s v="5-9 Years"/>
    <x v="0"/>
    <s v="5-9 Years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n v="7406"/>
    <x v="0"/>
    <s v="Medium Income"/>
    <s v="Medium Income"/>
    <s v="Medium Income"/>
    <n v="6950"/>
    <n v="1"/>
    <s v="Y"/>
    <x v="0"/>
    <n v="21"/>
    <n v="4"/>
    <n v="4"/>
    <n v="80"/>
    <n v="1"/>
    <n v="10"/>
    <x v="1"/>
    <n v="5"/>
    <s v="10-14 Years"/>
    <x v="2"/>
    <s v="10-14 Years"/>
    <x v="1"/>
    <s v="10-14 Years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x v="1"/>
    <s v="Married"/>
    <n v="4805"/>
    <x v="1"/>
    <s v="Low Income"/>
    <s v="Low Income"/>
    <s v="Low Income"/>
    <n v="16177"/>
    <n v="0"/>
    <s v="Y"/>
    <x v="1"/>
    <n v="19"/>
    <n v="3"/>
    <n v="2"/>
    <n v="80"/>
    <n v="1"/>
    <n v="9"/>
    <x v="0"/>
    <n v="3"/>
    <s v="5-9 Years"/>
    <x v="3"/>
    <s v="5-9 Years"/>
    <x v="3"/>
    <s v="5-9 Years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n v="2741"/>
    <x v="1"/>
    <s v="Low Income"/>
    <s v="Low Income"/>
    <s v="Low Income"/>
    <n v="22808"/>
    <n v="0"/>
    <s v="Y"/>
    <x v="0"/>
    <n v="11"/>
    <n v="3"/>
    <n v="2"/>
    <n v="80"/>
    <n v="1"/>
    <n v="8"/>
    <x v="0"/>
    <n v="2"/>
    <s v="5-9 Years"/>
    <x v="2"/>
    <s v="5-9 Years"/>
    <x v="5"/>
    <s v="5-9 Years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n v="4262"/>
    <x v="1"/>
    <s v="Low Income"/>
    <s v="Low Income"/>
    <s v="Low Income"/>
    <n v="22645"/>
    <n v="4"/>
    <s v="Y"/>
    <x v="1"/>
    <n v="12"/>
    <n v="3"/>
    <n v="2"/>
    <n v="80"/>
    <n v="2"/>
    <n v="8"/>
    <x v="2"/>
    <n v="2"/>
    <s v="0-4 Years"/>
    <x v="3"/>
    <s v="0-4 Years"/>
    <x v="11"/>
    <s v="0-4 Years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n v="16184"/>
    <x v="2"/>
    <s v="High Income"/>
    <s v="High Income"/>
    <s v="High Income"/>
    <n v="22578"/>
    <n v="4"/>
    <s v="Y"/>
    <x v="1"/>
    <n v="19"/>
    <n v="3"/>
    <n v="3"/>
    <n v="80"/>
    <n v="1"/>
    <n v="10"/>
    <x v="0"/>
    <n v="2"/>
    <s v="5-9 Years"/>
    <x v="1"/>
    <s v="5-9 Years"/>
    <x v="0"/>
    <s v="5-9 Years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n v="11557"/>
    <x v="2"/>
    <s v="High Income"/>
    <s v="High Income"/>
    <s v="High Income"/>
    <n v="25291"/>
    <n v="9"/>
    <s v="Y"/>
    <x v="1"/>
    <n v="21"/>
    <n v="4"/>
    <n v="3"/>
    <n v="80"/>
    <n v="1"/>
    <n v="10"/>
    <x v="0"/>
    <n v="3"/>
    <s v="5-9 Years"/>
    <x v="2"/>
    <s v="5-9 Years"/>
    <x v="8"/>
    <s v="5-9 Years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n v="1878"/>
    <x v="1"/>
    <s v="Low Income"/>
    <s v="Low Income"/>
    <s v="Low Income"/>
    <n v="8059"/>
    <n v="1"/>
    <s v="Y"/>
    <x v="0"/>
    <n v="14"/>
    <n v="3"/>
    <n v="4"/>
    <n v="80"/>
    <n v="0"/>
    <n v="0"/>
    <x v="2"/>
    <n v="3"/>
    <s v="0-4 Years"/>
    <x v="1"/>
    <s v="0-4 Years"/>
    <x v="2"/>
    <s v="0-4 Years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x v="3"/>
    <s v="Divorced"/>
    <n v="10932"/>
    <x v="2"/>
    <s v="High Income"/>
    <s v="High Income"/>
    <s v="High Income"/>
    <n v="11373"/>
    <n v="3"/>
    <s v="Y"/>
    <x v="1"/>
    <n v="15"/>
    <n v="3"/>
    <n v="3"/>
    <n v="80"/>
    <n v="1"/>
    <n v="20"/>
    <x v="2"/>
    <n v="2"/>
    <s v="0-4 Years"/>
    <x v="1"/>
    <s v="0-4 Years"/>
    <x v="6"/>
    <s v="0-4 Years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x v="2"/>
    <s v="Single"/>
    <n v="6811"/>
    <x v="0"/>
    <s v="Medium Income"/>
    <s v="Medium Income"/>
    <s v="Medium Income"/>
    <n v="2112"/>
    <n v="2"/>
    <s v="Y"/>
    <x v="0"/>
    <n v="17"/>
    <n v="3"/>
    <n v="1"/>
    <n v="80"/>
    <n v="0"/>
    <n v="10"/>
    <x v="0"/>
    <n v="3"/>
    <s v="5-9 Years"/>
    <x v="1"/>
    <s v="5-9 Years"/>
    <x v="3"/>
    <s v="5-9 Years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n v="4306"/>
    <x v="1"/>
    <s v="Low Income"/>
    <s v="Low Income"/>
    <s v="Low Income"/>
    <n v="4267"/>
    <n v="5"/>
    <s v="Y"/>
    <x v="1"/>
    <n v="12"/>
    <n v="3"/>
    <n v="1"/>
    <n v="80"/>
    <n v="2"/>
    <n v="8"/>
    <x v="2"/>
    <n v="5"/>
    <s v="0-4 Years"/>
    <x v="1"/>
    <s v="0-4 Years"/>
    <x v="2"/>
    <s v="0-4 Years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n v="4859"/>
    <x v="1"/>
    <s v="Low Income"/>
    <s v="Low Income"/>
    <s v="Low Income"/>
    <n v="6698"/>
    <n v="1"/>
    <s v="Y"/>
    <x v="1"/>
    <n v="16"/>
    <n v="3"/>
    <n v="4"/>
    <n v="80"/>
    <n v="0"/>
    <n v="5"/>
    <x v="0"/>
    <n v="3"/>
    <s v="5-9 Years"/>
    <x v="1"/>
    <s v="5-9 Years"/>
    <x v="8"/>
    <s v="5-9 Years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n v="5337"/>
    <x v="0"/>
    <s v="Medium Income"/>
    <s v="Medium Income"/>
    <s v="Medium Income"/>
    <n v="19921"/>
    <n v="1"/>
    <s v="Y"/>
    <x v="1"/>
    <n v="12"/>
    <n v="3"/>
    <n v="4"/>
    <n v="80"/>
    <n v="0"/>
    <n v="10"/>
    <x v="1"/>
    <n v="3"/>
    <s v="10-14 Years"/>
    <x v="1"/>
    <s v="10-14 Years"/>
    <x v="1"/>
    <s v="10-14 Years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n v="2340"/>
    <x v="1"/>
    <s v="Low Income"/>
    <s v="Low Income"/>
    <s v="Low Income"/>
    <n v="23213"/>
    <n v="1"/>
    <s v="Y"/>
    <x v="0"/>
    <n v="18"/>
    <n v="3"/>
    <n v="2"/>
    <n v="80"/>
    <n v="0"/>
    <n v="1"/>
    <x v="2"/>
    <n v="3"/>
    <s v="0-4 Years"/>
    <x v="0"/>
    <s v="0-4 Years"/>
    <x v="6"/>
    <s v="0-4 Years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n v="7491"/>
    <x v="0"/>
    <s v="Medium Income"/>
    <s v="Medium Income"/>
    <s v="Medium Income"/>
    <n v="23848"/>
    <n v="4"/>
    <s v="Y"/>
    <x v="1"/>
    <n v="17"/>
    <n v="3"/>
    <n v="4"/>
    <n v="80"/>
    <n v="0"/>
    <n v="12"/>
    <x v="0"/>
    <n v="3"/>
    <s v="5-9 Years"/>
    <x v="3"/>
    <s v="5-9 Years"/>
    <x v="0"/>
    <s v="5-9 Years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n v="10527"/>
    <x v="2"/>
    <s v="High Income"/>
    <s v="High Income"/>
    <s v="High Income"/>
    <n v="8984"/>
    <n v="5"/>
    <s v="Y"/>
    <x v="1"/>
    <n v="11"/>
    <n v="3"/>
    <n v="4"/>
    <n v="80"/>
    <n v="0"/>
    <n v="28"/>
    <x v="2"/>
    <n v="3"/>
    <s v="0-4 Years"/>
    <x v="2"/>
    <s v="0-4 Years"/>
    <x v="4"/>
    <s v="0-4 Years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n v="16595"/>
    <x v="2"/>
    <s v="High Income"/>
    <s v="High Income"/>
    <s v="High Income"/>
    <n v="5626"/>
    <n v="7"/>
    <s v="Y"/>
    <x v="1"/>
    <n v="16"/>
    <n v="3"/>
    <n v="2"/>
    <n v="80"/>
    <n v="1"/>
    <n v="22"/>
    <x v="4"/>
    <n v="2"/>
    <s v="15-24 Years"/>
    <x v="1"/>
    <s v="15-24 Years"/>
    <x v="29"/>
    <s v="15-24 Years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x v="1"/>
    <s v="Divorced"/>
    <n v="8834"/>
    <x v="0"/>
    <s v="Medium Income"/>
    <s v="Medium Income"/>
    <s v="Medium Income"/>
    <n v="24666"/>
    <n v="1"/>
    <s v="Y"/>
    <x v="1"/>
    <n v="13"/>
    <n v="3"/>
    <n v="4"/>
    <n v="80"/>
    <n v="1"/>
    <n v="9"/>
    <x v="0"/>
    <n v="6"/>
    <s v="5-9 Years"/>
    <x v="1"/>
    <s v="5-9 Years"/>
    <x v="7"/>
    <s v="5-9 Years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n v="5577"/>
    <x v="0"/>
    <s v="Medium Income"/>
    <s v="Medium Income"/>
    <s v="Medium Income"/>
    <n v="22087"/>
    <n v="3"/>
    <s v="Y"/>
    <x v="0"/>
    <n v="12"/>
    <n v="3"/>
    <n v="2"/>
    <n v="80"/>
    <n v="2"/>
    <n v="18"/>
    <x v="1"/>
    <n v="3"/>
    <s v="10-14 Years"/>
    <x v="1"/>
    <s v="10-14 Years"/>
    <x v="1"/>
    <s v="10-14 Years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x v="2"/>
    <s v="Married"/>
    <n v="4707"/>
    <x v="1"/>
    <s v="Low Income"/>
    <s v="Low Income"/>
    <s v="Low Income"/>
    <n v="23914"/>
    <n v="8"/>
    <s v="Y"/>
    <x v="1"/>
    <n v="12"/>
    <n v="3"/>
    <n v="4"/>
    <n v="80"/>
    <n v="0"/>
    <n v="6"/>
    <x v="2"/>
    <n v="2"/>
    <s v="0-4 Years"/>
    <x v="1"/>
    <s v="0-4 Years"/>
    <x v="9"/>
    <s v="0-4 Years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n v="2400"/>
    <x v="1"/>
    <s v="Low Income"/>
    <s v="Low Income"/>
    <s v="Low Income"/>
    <n v="5530"/>
    <n v="0"/>
    <s v="Y"/>
    <x v="1"/>
    <n v="13"/>
    <n v="3"/>
    <n v="3"/>
    <n v="80"/>
    <n v="2"/>
    <n v="3"/>
    <x v="2"/>
    <n v="3"/>
    <s v="0-4 Years"/>
    <x v="1"/>
    <s v="0-4 Years"/>
    <x v="4"/>
    <s v="0-4 Years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n v="9824"/>
    <x v="0"/>
    <s v="Medium Income"/>
    <s v="Medium Income"/>
    <s v="Medium Income"/>
    <n v="22174"/>
    <n v="3"/>
    <s v="Y"/>
    <x v="1"/>
    <n v="19"/>
    <n v="3"/>
    <n v="3"/>
    <n v="80"/>
    <n v="1"/>
    <n v="18"/>
    <x v="2"/>
    <n v="4"/>
    <s v="0-4 Years"/>
    <x v="1"/>
    <s v="0-4 Years"/>
    <x v="6"/>
    <s v="0-4 Years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n v="6447"/>
    <x v="0"/>
    <s v="Medium Income"/>
    <s v="Medium Income"/>
    <s v="Medium Income"/>
    <n v="15701"/>
    <n v="6"/>
    <s v="Y"/>
    <x v="1"/>
    <n v="12"/>
    <n v="3"/>
    <n v="2"/>
    <n v="80"/>
    <n v="1"/>
    <n v="8"/>
    <x v="0"/>
    <n v="2"/>
    <s v="5-9 Years"/>
    <x v="2"/>
    <s v="5-9 Years"/>
    <x v="0"/>
    <s v="5-9 Years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n v="19502"/>
    <x v="2"/>
    <s v="High Income"/>
    <s v="High Income"/>
    <s v="High Income"/>
    <n v="2125"/>
    <n v="1"/>
    <s v="Y"/>
    <x v="0"/>
    <n v="17"/>
    <n v="3"/>
    <n v="3"/>
    <n v="80"/>
    <n v="1"/>
    <n v="31"/>
    <x v="3"/>
    <n v="5"/>
    <s v="25+ Years"/>
    <x v="1"/>
    <s v="25+ Years"/>
    <x v="31"/>
    <s v="25+ Years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n v="2725"/>
    <x v="1"/>
    <s v="Low Income"/>
    <s v="Low Income"/>
    <s v="Low Income"/>
    <n v="21630"/>
    <n v="1"/>
    <s v="Y"/>
    <x v="0"/>
    <n v="11"/>
    <n v="3"/>
    <n v="2"/>
    <n v="80"/>
    <n v="2"/>
    <n v="6"/>
    <x v="0"/>
    <n v="3"/>
    <s v="5-9 Years"/>
    <x v="1"/>
    <s v="5-9 Years"/>
    <x v="0"/>
    <s v="5-9 Years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n v="6272"/>
    <x v="0"/>
    <s v="Medium Income"/>
    <s v="Medium Income"/>
    <s v="Medium Income"/>
    <n v="7428"/>
    <n v="1"/>
    <s v="Y"/>
    <x v="1"/>
    <n v="20"/>
    <n v="4"/>
    <n v="4"/>
    <n v="80"/>
    <n v="2"/>
    <n v="6"/>
    <x v="0"/>
    <n v="5"/>
    <s v="5-9 Years"/>
    <x v="3"/>
    <s v="5-9 Years"/>
    <x v="8"/>
    <s v="5-9 Years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n v="2127"/>
    <x v="1"/>
    <s v="Low Income"/>
    <s v="Low Income"/>
    <s v="Low Income"/>
    <n v="9100"/>
    <n v="1"/>
    <s v="Y"/>
    <x v="1"/>
    <n v="21"/>
    <n v="4"/>
    <n v="4"/>
    <n v="80"/>
    <n v="1"/>
    <n v="1"/>
    <x v="2"/>
    <n v="2"/>
    <s v="0-4 Years"/>
    <x v="1"/>
    <s v="0-4 Years"/>
    <x v="6"/>
    <s v="0-4 Years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n v="18200"/>
    <x v="2"/>
    <s v="High Income"/>
    <s v="High Income"/>
    <s v="High Income"/>
    <n v="7999"/>
    <n v="1"/>
    <s v="Y"/>
    <x v="1"/>
    <n v="11"/>
    <n v="3"/>
    <n v="3"/>
    <n v="80"/>
    <n v="1"/>
    <n v="32"/>
    <x v="3"/>
    <n v="2"/>
    <s v="25+ Years"/>
    <x v="1"/>
    <s v="25+ Years"/>
    <x v="32"/>
    <s v="25+ Years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n v="2096"/>
    <x v="1"/>
    <s v="Low Income"/>
    <s v="Low Income"/>
    <s v="Low Income"/>
    <n v="26376"/>
    <n v="1"/>
    <s v="Y"/>
    <x v="1"/>
    <n v="11"/>
    <n v="3"/>
    <n v="3"/>
    <n v="80"/>
    <n v="0"/>
    <n v="7"/>
    <x v="0"/>
    <n v="1"/>
    <s v="5-9 Years"/>
    <x v="1"/>
    <s v="5-9 Years"/>
    <x v="5"/>
    <s v="5-9 Years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n v="2886"/>
    <x v="1"/>
    <s v="Low Income"/>
    <s v="Low Income"/>
    <s v="Low Income"/>
    <n v="14168"/>
    <n v="1"/>
    <s v="Y"/>
    <x v="0"/>
    <n v="16"/>
    <n v="3"/>
    <n v="4"/>
    <n v="80"/>
    <n v="1"/>
    <n v="6"/>
    <x v="0"/>
    <n v="4"/>
    <s v="5-9 Years"/>
    <x v="1"/>
    <s v="5-9 Years"/>
    <x v="0"/>
    <s v="5-9 Years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n v="2033"/>
    <x v="1"/>
    <s v="Low Income"/>
    <s v="Low Income"/>
    <s v="Low Income"/>
    <n v="14470"/>
    <n v="1"/>
    <s v="Y"/>
    <x v="1"/>
    <n v="18"/>
    <n v="3"/>
    <n v="3"/>
    <n v="80"/>
    <n v="1"/>
    <n v="1"/>
    <x v="2"/>
    <n v="2"/>
    <s v="0-4 Years"/>
    <x v="3"/>
    <s v="0-4 Years"/>
    <x v="6"/>
    <s v="0-4 Years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n v="3622"/>
    <x v="1"/>
    <s v="Low Income"/>
    <s v="Low Income"/>
    <s v="Low Income"/>
    <n v="22794"/>
    <n v="1"/>
    <s v="Y"/>
    <x v="0"/>
    <n v="13"/>
    <n v="3"/>
    <n v="4"/>
    <n v="80"/>
    <n v="1"/>
    <n v="6"/>
    <x v="0"/>
    <n v="3"/>
    <s v="5-9 Years"/>
    <x v="1"/>
    <s v="5-9 Years"/>
    <x v="0"/>
    <s v="5-9 Years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n v="4233"/>
    <x v="1"/>
    <s v="Low Income"/>
    <s v="Low Income"/>
    <s v="Low Income"/>
    <n v="11512"/>
    <n v="2"/>
    <s v="Y"/>
    <x v="1"/>
    <n v="17"/>
    <n v="3"/>
    <n v="3"/>
    <n v="80"/>
    <n v="0"/>
    <n v="9"/>
    <x v="2"/>
    <n v="2"/>
    <s v="0-4 Years"/>
    <x v="0"/>
    <s v="0-4 Years"/>
    <x v="11"/>
    <s v="0-4 Years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x v="0"/>
    <s v="Single"/>
    <n v="3681"/>
    <x v="1"/>
    <s v="Low Income"/>
    <s v="Low Income"/>
    <s v="Low Income"/>
    <n v="14004"/>
    <n v="4"/>
    <s v="Y"/>
    <x v="1"/>
    <n v="14"/>
    <n v="3"/>
    <n v="4"/>
    <n v="80"/>
    <n v="0"/>
    <n v="9"/>
    <x v="2"/>
    <n v="3"/>
    <s v="0-4 Years"/>
    <x v="1"/>
    <s v="0-4 Years"/>
    <x v="11"/>
    <s v="0-4 Years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n v="5460"/>
    <x v="0"/>
    <s v="Medium Income"/>
    <s v="Medium Income"/>
    <s v="Medium Income"/>
    <n v="6219"/>
    <n v="4"/>
    <s v="Y"/>
    <x v="1"/>
    <n v="22"/>
    <n v="4"/>
    <n v="4"/>
    <n v="80"/>
    <n v="2"/>
    <n v="13"/>
    <x v="0"/>
    <n v="4"/>
    <s v="5-9 Years"/>
    <x v="3"/>
    <s v="5-9 Years"/>
    <x v="5"/>
    <s v="5-9 Years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n v="2187"/>
    <x v="1"/>
    <s v="Low Income"/>
    <s v="Low Income"/>
    <s v="Low Income"/>
    <n v="5013"/>
    <n v="0"/>
    <s v="Y"/>
    <x v="1"/>
    <n v="12"/>
    <n v="3"/>
    <n v="3"/>
    <n v="80"/>
    <n v="2"/>
    <n v="6"/>
    <x v="0"/>
    <n v="5"/>
    <s v="5-9 Years"/>
    <x v="2"/>
    <s v="5-9 Years"/>
    <x v="8"/>
    <s v="5-9 Years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n v="9602"/>
    <x v="0"/>
    <s v="Medium Income"/>
    <s v="Medium Income"/>
    <s v="Medium Income"/>
    <n v="3010"/>
    <n v="4"/>
    <s v="Y"/>
    <x v="0"/>
    <n v="11"/>
    <n v="3"/>
    <n v="3"/>
    <n v="80"/>
    <n v="1"/>
    <n v="17"/>
    <x v="2"/>
    <n v="3"/>
    <s v="0-4 Years"/>
    <x v="2"/>
    <s v="0-4 Years"/>
    <x v="11"/>
    <s v="0-4 Years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n v="2836"/>
    <x v="1"/>
    <s v="Low Income"/>
    <s v="Low Income"/>
    <s v="Low Income"/>
    <n v="11757"/>
    <n v="1"/>
    <s v="Y"/>
    <x v="1"/>
    <n v="13"/>
    <n v="3"/>
    <n v="4"/>
    <n v="80"/>
    <n v="0"/>
    <n v="1"/>
    <x v="2"/>
    <n v="0"/>
    <s v="0-4 Years"/>
    <x v="3"/>
    <s v="0-4 Years"/>
    <x v="6"/>
    <s v="0-4 Years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n v="4089"/>
    <x v="1"/>
    <s v="Low Income"/>
    <s v="Low Income"/>
    <s v="Low Income"/>
    <n v="5718"/>
    <n v="1"/>
    <s v="Y"/>
    <x v="1"/>
    <n v="13"/>
    <n v="3"/>
    <n v="2"/>
    <n v="80"/>
    <n v="2"/>
    <n v="10"/>
    <x v="1"/>
    <n v="4"/>
    <s v="10-14 Years"/>
    <x v="1"/>
    <s v="10-14 Years"/>
    <x v="1"/>
    <s v="10-14 Years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n v="16627"/>
    <x v="2"/>
    <s v="High Income"/>
    <s v="High Income"/>
    <s v="High Income"/>
    <n v="2671"/>
    <n v="4"/>
    <s v="Y"/>
    <x v="0"/>
    <n v="14"/>
    <n v="3"/>
    <n v="3"/>
    <n v="80"/>
    <n v="1"/>
    <n v="21"/>
    <x v="2"/>
    <n v="3"/>
    <s v="0-4 Years"/>
    <x v="2"/>
    <s v="0-4 Years"/>
    <x v="6"/>
    <s v="0-4 Years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n v="2619"/>
    <x v="1"/>
    <s v="Low Income"/>
    <s v="Low Income"/>
    <s v="Low Income"/>
    <n v="14561"/>
    <n v="3"/>
    <s v="Y"/>
    <x v="1"/>
    <n v="17"/>
    <n v="3"/>
    <n v="4"/>
    <n v="80"/>
    <n v="0"/>
    <n v="8"/>
    <x v="2"/>
    <n v="3"/>
    <s v="0-4 Years"/>
    <x v="2"/>
    <s v="0-4 Years"/>
    <x v="2"/>
    <s v="0-4 Years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n v="5679"/>
    <x v="0"/>
    <s v="Medium Income"/>
    <s v="Medium Income"/>
    <s v="Medium Income"/>
    <n v="19627"/>
    <n v="3"/>
    <s v="Y"/>
    <x v="0"/>
    <n v="13"/>
    <n v="3"/>
    <n v="2"/>
    <n v="80"/>
    <n v="1"/>
    <n v="10"/>
    <x v="0"/>
    <n v="3"/>
    <s v="5-9 Years"/>
    <x v="1"/>
    <s v="5-9 Years"/>
    <x v="3"/>
    <s v="5-9 Years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n v="15402"/>
    <x v="2"/>
    <s v="High Income"/>
    <s v="High Income"/>
    <s v="High Income"/>
    <n v="17997"/>
    <n v="7"/>
    <s v="Y"/>
    <x v="1"/>
    <n v="11"/>
    <n v="3"/>
    <n v="1"/>
    <n v="80"/>
    <n v="1"/>
    <n v="21"/>
    <x v="2"/>
    <n v="3"/>
    <s v="0-4 Years"/>
    <x v="0"/>
    <s v="0-4 Years"/>
    <x v="11"/>
    <s v="0-4 Years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n v="5985"/>
    <x v="0"/>
    <s v="Medium Income"/>
    <s v="Medium Income"/>
    <s v="Medium Income"/>
    <n v="26894"/>
    <n v="4"/>
    <s v="Y"/>
    <x v="1"/>
    <n v="11"/>
    <n v="3"/>
    <n v="2"/>
    <n v="80"/>
    <n v="0"/>
    <n v="10"/>
    <x v="2"/>
    <n v="1"/>
    <s v="0-4 Years"/>
    <x v="3"/>
    <s v="0-4 Years"/>
    <x v="4"/>
    <s v="0-4 Years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n v="2579"/>
    <x v="1"/>
    <s v="Low Income"/>
    <s v="Low Income"/>
    <s v="Low Income"/>
    <n v="2912"/>
    <n v="1"/>
    <s v="Y"/>
    <x v="0"/>
    <n v="18"/>
    <n v="3"/>
    <n v="4"/>
    <n v="80"/>
    <n v="2"/>
    <n v="8"/>
    <x v="0"/>
    <n v="3"/>
    <s v="5-9 Years"/>
    <x v="1"/>
    <s v="5-9 Years"/>
    <x v="3"/>
    <s v="5-9 Years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n v="3041"/>
    <x v="1"/>
    <s v="Low Income"/>
    <s v="Low Income"/>
    <s v="Low Income"/>
    <n v="16346"/>
    <n v="0"/>
    <s v="Y"/>
    <x v="1"/>
    <n v="11"/>
    <n v="3"/>
    <n v="2"/>
    <n v="80"/>
    <n v="1"/>
    <n v="5"/>
    <x v="2"/>
    <n v="3"/>
    <s v="0-4 Years"/>
    <x v="1"/>
    <s v="0-4 Years"/>
    <x v="9"/>
    <s v="0-4 Years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n v="3447"/>
    <x v="1"/>
    <s v="Low Income"/>
    <s v="Low Income"/>
    <s v="Low Income"/>
    <n v="24444"/>
    <n v="1"/>
    <s v="Y"/>
    <x v="1"/>
    <n v="11"/>
    <n v="3"/>
    <n v="3"/>
    <n v="80"/>
    <n v="0"/>
    <n v="3"/>
    <x v="2"/>
    <n v="2"/>
    <s v="0-4 Years"/>
    <x v="1"/>
    <s v="0-4 Years"/>
    <x v="11"/>
    <s v="0-4 Years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n v="19513"/>
    <x v="2"/>
    <s v="High Income"/>
    <s v="High Income"/>
    <s v="High Income"/>
    <n v="9358"/>
    <n v="4"/>
    <s v="Y"/>
    <x v="0"/>
    <n v="12"/>
    <n v="3"/>
    <n v="1"/>
    <n v="80"/>
    <n v="1"/>
    <n v="26"/>
    <x v="2"/>
    <n v="2"/>
    <s v="0-4 Years"/>
    <x v="3"/>
    <s v="0-4 Years"/>
    <x v="4"/>
    <s v="0-4 Years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n v="2773"/>
    <x v="1"/>
    <s v="Low Income"/>
    <s v="Low Income"/>
    <s v="Low Income"/>
    <n v="12145"/>
    <n v="0"/>
    <s v="Y"/>
    <x v="1"/>
    <n v="20"/>
    <n v="4"/>
    <n v="4"/>
    <n v="80"/>
    <n v="0"/>
    <n v="3"/>
    <x v="2"/>
    <n v="3"/>
    <s v="0-4 Years"/>
    <x v="1"/>
    <s v="0-4 Years"/>
    <x v="4"/>
    <s v="0-4 Years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n v="7104"/>
    <x v="0"/>
    <s v="Medium Income"/>
    <s v="Medium Income"/>
    <s v="Medium Income"/>
    <n v="20431"/>
    <n v="0"/>
    <s v="Y"/>
    <x v="1"/>
    <n v="12"/>
    <n v="3"/>
    <n v="4"/>
    <n v="80"/>
    <n v="0"/>
    <n v="6"/>
    <x v="0"/>
    <n v="3"/>
    <s v="5-9 Years"/>
    <x v="1"/>
    <s v="5-9 Years"/>
    <x v="8"/>
    <s v="5-9 Years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n v="6322"/>
    <x v="0"/>
    <s v="Medium Income"/>
    <s v="Medium Income"/>
    <s v="Medium Income"/>
    <n v="18089"/>
    <n v="1"/>
    <s v="Y"/>
    <x v="0"/>
    <n v="12"/>
    <n v="3"/>
    <n v="4"/>
    <n v="80"/>
    <n v="1"/>
    <n v="6"/>
    <x v="0"/>
    <n v="2"/>
    <s v="5-9 Years"/>
    <x v="2"/>
    <s v="5-9 Years"/>
    <x v="0"/>
    <s v="5-9 Years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n v="2083"/>
    <x v="1"/>
    <s v="Low Income"/>
    <s v="Low Income"/>
    <s v="Low Income"/>
    <n v="22653"/>
    <n v="1"/>
    <s v="Y"/>
    <x v="1"/>
    <n v="20"/>
    <n v="4"/>
    <n v="3"/>
    <n v="80"/>
    <n v="1"/>
    <n v="1"/>
    <x v="2"/>
    <n v="2"/>
    <s v="0-4 Years"/>
    <x v="1"/>
    <s v="0-4 Years"/>
    <x v="6"/>
    <s v="0-4 Years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n v="8381"/>
    <x v="0"/>
    <s v="Medium Income"/>
    <s v="Medium Income"/>
    <s v="Medium Income"/>
    <n v="7507"/>
    <n v="7"/>
    <s v="Y"/>
    <x v="1"/>
    <n v="20"/>
    <n v="4"/>
    <n v="4"/>
    <n v="80"/>
    <n v="0"/>
    <n v="18"/>
    <x v="1"/>
    <n v="2"/>
    <s v="10-14 Years"/>
    <x v="3"/>
    <s v="10-14 Years"/>
    <x v="13"/>
    <s v="10-14 Years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n v="2691"/>
    <x v="1"/>
    <s v="Low Income"/>
    <s v="Low Income"/>
    <s v="Low Income"/>
    <n v="7660"/>
    <n v="1"/>
    <s v="Y"/>
    <x v="1"/>
    <n v="12"/>
    <n v="3"/>
    <n v="4"/>
    <n v="80"/>
    <n v="1"/>
    <n v="10"/>
    <x v="1"/>
    <n v="4"/>
    <s v="10-14 Years"/>
    <x v="2"/>
    <s v="10-14 Years"/>
    <x v="1"/>
    <s v="10-14 Years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n v="4286"/>
    <x v="1"/>
    <s v="Low Income"/>
    <s v="Low Income"/>
    <s v="Low Income"/>
    <n v="5630"/>
    <n v="2"/>
    <s v="Y"/>
    <x v="1"/>
    <n v="14"/>
    <n v="3"/>
    <n v="4"/>
    <n v="80"/>
    <n v="2"/>
    <n v="5"/>
    <x v="2"/>
    <n v="4"/>
    <s v="0-4 Years"/>
    <x v="1"/>
    <s v="0-4 Years"/>
    <x v="6"/>
    <s v="0-4 Years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n v="2659"/>
    <x v="1"/>
    <s v="Low Income"/>
    <s v="Low Income"/>
    <s v="Low Income"/>
    <n v="17759"/>
    <n v="1"/>
    <s v="Y"/>
    <x v="0"/>
    <n v="13"/>
    <n v="3"/>
    <n v="3"/>
    <n v="80"/>
    <n v="1"/>
    <n v="3"/>
    <x v="2"/>
    <n v="2"/>
    <s v="0-4 Years"/>
    <x v="1"/>
    <s v="0-4 Years"/>
    <x v="11"/>
    <s v="0-4 Years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x v="2"/>
    <s v="Married"/>
    <n v="9434"/>
    <x v="0"/>
    <s v="Medium Income"/>
    <s v="Medium Income"/>
    <s v="Medium Income"/>
    <n v="9606"/>
    <n v="1"/>
    <s v="Y"/>
    <x v="1"/>
    <n v="15"/>
    <n v="3"/>
    <n v="3"/>
    <n v="80"/>
    <n v="1"/>
    <n v="10"/>
    <x v="1"/>
    <n v="2"/>
    <s v="10-14 Years"/>
    <x v="1"/>
    <s v="10-14 Years"/>
    <x v="1"/>
    <s v="10-14 Years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n v="5561"/>
    <x v="0"/>
    <s v="Medium Income"/>
    <s v="Medium Income"/>
    <s v="Medium Income"/>
    <n v="3487"/>
    <n v="1"/>
    <s v="Y"/>
    <x v="1"/>
    <n v="14"/>
    <n v="3"/>
    <n v="1"/>
    <n v="80"/>
    <n v="1"/>
    <n v="6"/>
    <x v="0"/>
    <n v="5"/>
    <s v="5-9 Years"/>
    <x v="2"/>
    <s v="5-9 Years"/>
    <x v="0"/>
    <s v="5-9 Years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n v="6646"/>
    <x v="0"/>
    <s v="Medium Income"/>
    <s v="Medium Income"/>
    <s v="Medium Income"/>
    <n v="19368"/>
    <n v="1"/>
    <s v="Y"/>
    <x v="1"/>
    <n v="13"/>
    <n v="3"/>
    <n v="2"/>
    <n v="80"/>
    <n v="0"/>
    <n v="17"/>
    <x v="4"/>
    <n v="3"/>
    <s v="15-24 Years"/>
    <x v="1"/>
    <s v="15-24 Years"/>
    <x v="18"/>
    <s v="15-24 Years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n v="7725"/>
    <x v="0"/>
    <s v="Medium Income"/>
    <s v="Medium Income"/>
    <s v="Medium Income"/>
    <n v="5335"/>
    <n v="3"/>
    <s v="Y"/>
    <x v="1"/>
    <n v="23"/>
    <n v="4"/>
    <n v="3"/>
    <n v="80"/>
    <n v="1"/>
    <n v="15"/>
    <x v="1"/>
    <n v="2"/>
    <s v="10-14 Years"/>
    <x v="0"/>
    <s v="10-14 Years"/>
    <x v="20"/>
    <s v="10-14 Years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n v="10725"/>
    <x v="2"/>
    <s v="High Income"/>
    <s v="High Income"/>
    <s v="High Income"/>
    <n v="6729"/>
    <n v="2"/>
    <s v="Y"/>
    <x v="1"/>
    <n v="15"/>
    <n v="3"/>
    <n v="3"/>
    <n v="80"/>
    <n v="1"/>
    <n v="16"/>
    <x v="0"/>
    <n v="1"/>
    <s v="5-9 Years"/>
    <x v="3"/>
    <s v="5-9 Years"/>
    <x v="7"/>
    <s v="5-9 Years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n v="8847"/>
    <x v="0"/>
    <s v="Medium Income"/>
    <s v="Medium Income"/>
    <s v="Medium Income"/>
    <n v="13934"/>
    <n v="2"/>
    <s v="Y"/>
    <x v="0"/>
    <n v="11"/>
    <n v="3"/>
    <n v="3"/>
    <n v="80"/>
    <n v="1"/>
    <n v="13"/>
    <x v="2"/>
    <n v="2"/>
    <s v="0-4 Years"/>
    <x v="1"/>
    <s v="0-4 Years"/>
    <x v="11"/>
    <s v="0-4 Years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n v="2045"/>
    <x v="1"/>
    <s v="Low Income"/>
    <s v="Low Income"/>
    <s v="Low Income"/>
    <n v="15174"/>
    <n v="0"/>
    <s v="Y"/>
    <x v="1"/>
    <n v="13"/>
    <n v="3"/>
    <n v="4"/>
    <n v="80"/>
    <n v="0"/>
    <n v="5"/>
    <x v="2"/>
    <n v="0"/>
    <s v="0-4 Years"/>
    <x v="1"/>
    <s v="0-4 Years"/>
    <x v="9"/>
    <s v="0-4 Years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n v="1009"/>
    <x v="1"/>
    <s v="Low Income"/>
    <s v="Low Income"/>
    <s v="Low Income"/>
    <n v="26999"/>
    <n v="1"/>
    <s v="Y"/>
    <x v="0"/>
    <n v="11"/>
    <n v="3"/>
    <n v="4"/>
    <n v="80"/>
    <n v="0"/>
    <n v="1"/>
    <x v="2"/>
    <n v="5"/>
    <s v="0-4 Years"/>
    <x v="1"/>
    <s v="0-4 Years"/>
    <x v="6"/>
    <s v="0-4 Years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n v="3348"/>
    <x v="1"/>
    <s v="Low Income"/>
    <s v="Low Income"/>
    <s v="Low Income"/>
    <n v="3164"/>
    <n v="1"/>
    <s v="Y"/>
    <x v="0"/>
    <n v="11"/>
    <n v="3"/>
    <n v="1"/>
    <n v="80"/>
    <n v="0"/>
    <n v="10"/>
    <x v="1"/>
    <n v="3"/>
    <s v="10-14 Years"/>
    <x v="1"/>
    <s v="10-14 Years"/>
    <x v="1"/>
    <s v="10-14 Years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n v="1281"/>
    <x v="1"/>
    <s v="Low Income"/>
    <s v="Low Income"/>
    <s v="Low Income"/>
    <n v="16900"/>
    <n v="1"/>
    <s v="Y"/>
    <x v="1"/>
    <n v="18"/>
    <n v="3"/>
    <n v="3"/>
    <n v="80"/>
    <n v="2"/>
    <n v="1"/>
    <x v="2"/>
    <n v="3"/>
    <s v="0-4 Years"/>
    <x v="1"/>
    <s v="0-4 Years"/>
    <x v="6"/>
    <s v="0-4 Years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n v="2819"/>
    <x v="1"/>
    <s v="Low Income"/>
    <s v="Low Income"/>
    <s v="Low Income"/>
    <n v="8544"/>
    <n v="2"/>
    <s v="Y"/>
    <x v="1"/>
    <n v="16"/>
    <n v="3"/>
    <n v="1"/>
    <n v="80"/>
    <n v="1"/>
    <n v="5"/>
    <x v="2"/>
    <n v="3"/>
    <s v="0-4 Years"/>
    <x v="3"/>
    <s v="0-4 Years"/>
    <x v="11"/>
    <s v="0-4 Years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n v="4851"/>
    <x v="1"/>
    <s v="Low Income"/>
    <s v="Low Income"/>
    <s v="Low Income"/>
    <n v="15678"/>
    <n v="0"/>
    <s v="Y"/>
    <x v="1"/>
    <n v="22"/>
    <n v="4"/>
    <n v="3"/>
    <n v="80"/>
    <n v="1"/>
    <n v="4"/>
    <x v="2"/>
    <n v="4"/>
    <s v="0-4 Years"/>
    <x v="1"/>
    <s v="0-4 Years"/>
    <x v="11"/>
    <s v="0-4 Years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n v="4028"/>
    <x v="1"/>
    <s v="Low Income"/>
    <s v="Low Income"/>
    <s v="Low Income"/>
    <n v="7791"/>
    <n v="0"/>
    <s v="Y"/>
    <x v="1"/>
    <n v="20"/>
    <n v="4"/>
    <n v="1"/>
    <n v="80"/>
    <n v="0"/>
    <n v="8"/>
    <x v="0"/>
    <n v="2"/>
    <s v="5-9 Years"/>
    <x v="1"/>
    <s v="5-9 Years"/>
    <x v="5"/>
    <s v="5-9 Years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n v="2720"/>
    <x v="1"/>
    <s v="Low Income"/>
    <s v="Low Income"/>
    <s v="Low Income"/>
    <n v="18959"/>
    <n v="1"/>
    <s v="Y"/>
    <x v="1"/>
    <n v="18"/>
    <n v="3"/>
    <n v="4"/>
    <n v="80"/>
    <n v="1"/>
    <n v="10"/>
    <x v="1"/>
    <n v="5"/>
    <s v="10-14 Years"/>
    <x v="1"/>
    <s v="10-14 Years"/>
    <x v="1"/>
    <s v="10-14 Years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n v="8120"/>
    <x v="0"/>
    <s v="Medium Income"/>
    <s v="Medium Income"/>
    <s v="Medium Income"/>
    <n v="18597"/>
    <n v="3"/>
    <s v="Y"/>
    <x v="1"/>
    <n v="12"/>
    <n v="3"/>
    <n v="4"/>
    <n v="80"/>
    <n v="0"/>
    <n v="12"/>
    <x v="2"/>
    <n v="3"/>
    <s v="0-4 Years"/>
    <x v="1"/>
    <s v="0-4 Years"/>
    <x v="4"/>
    <s v="0-4 Years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n v="4647"/>
    <x v="1"/>
    <s v="Low Income"/>
    <s v="Low Income"/>
    <s v="Low Income"/>
    <n v="16673"/>
    <n v="1"/>
    <s v="Y"/>
    <x v="0"/>
    <n v="20"/>
    <n v="4"/>
    <n v="2"/>
    <n v="80"/>
    <n v="2"/>
    <n v="6"/>
    <x v="0"/>
    <n v="3"/>
    <s v="5-9 Years"/>
    <x v="1"/>
    <s v="5-9 Years"/>
    <x v="0"/>
    <s v="5-9 Years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n v="4680"/>
    <x v="1"/>
    <s v="Low Income"/>
    <s v="Low Income"/>
    <s v="Low Income"/>
    <n v="15232"/>
    <n v="3"/>
    <s v="Y"/>
    <x v="1"/>
    <n v="17"/>
    <n v="3"/>
    <n v="1"/>
    <n v="80"/>
    <n v="0"/>
    <n v="4"/>
    <x v="2"/>
    <n v="2"/>
    <s v="0-4 Years"/>
    <x v="1"/>
    <s v="0-4 Years"/>
    <x v="6"/>
    <s v="0-4 Years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n v="3221"/>
    <x v="1"/>
    <s v="Low Income"/>
    <s v="Low Income"/>
    <s v="Low Income"/>
    <n v="3297"/>
    <n v="1"/>
    <s v="Y"/>
    <x v="0"/>
    <n v="11"/>
    <n v="3"/>
    <n v="3"/>
    <n v="80"/>
    <n v="3"/>
    <n v="20"/>
    <x v="4"/>
    <n v="3"/>
    <s v="15-24 Years"/>
    <x v="1"/>
    <s v="15-24 Years"/>
    <x v="23"/>
    <s v="15-24 Years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n v="8621"/>
    <x v="0"/>
    <s v="Medium Income"/>
    <s v="Medium Income"/>
    <s v="Medium Income"/>
    <n v="17654"/>
    <n v="1"/>
    <s v="Y"/>
    <x v="1"/>
    <n v="14"/>
    <n v="3"/>
    <n v="2"/>
    <n v="80"/>
    <n v="0"/>
    <n v="9"/>
    <x v="0"/>
    <n v="3"/>
    <s v="5-9 Years"/>
    <x v="3"/>
    <s v="5-9 Years"/>
    <x v="3"/>
    <s v="5-9 Years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n v="4577"/>
    <x v="1"/>
    <s v="Low Income"/>
    <s v="Low Income"/>
    <s v="Low Income"/>
    <n v="24785"/>
    <n v="9"/>
    <s v="Y"/>
    <x v="1"/>
    <n v="14"/>
    <n v="3"/>
    <n v="1"/>
    <n v="80"/>
    <n v="0"/>
    <n v="4"/>
    <x v="2"/>
    <n v="3"/>
    <s v="0-4 Years"/>
    <x v="1"/>
    <s v="0-4 Years"/>
    <x v="4"/>
    <s v="0-4 Years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n v="4553"/>
    <x v="1"/>
    <s v="Low Income"/>
    <s v="Low Income"/>
    <s v="Low Income"/>
    <n v="20978"/>
    <n v="1"/>
    <s v="Y"/>
    <x v="1"/>
    <n v="11"/>
    <n v="3"/>
    <n v="1"/>
    <n v="80"/>
    <n v="0"/>
    <n v="20"/>
    <x v="4"/>
    <n v="4"/>
    <s v="15-24 Years"/>
    <x v="1"/>
    <s v="15-24 Years"/>
    <x v="23"/>
    <s v="15-24 Years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n v="5396"/>
    <x v="0"/>
    <s v="Medium Income"/>
    <s v="Medium Income"/>
    <s v="Medium Income"/>
    <n v="21703"/>
    <n v="1"/>
    <s v="Y"/>
    <x v="1"/>
    <n v="12"/>
    <n v="3"/>
    <n v="4"/>
    <n v="80"/>
    <n v="0"/>
    <n v="10"/>
    <x v="1"/>
    <n v="2"/>
    <s v="10-14 Years"/>
    <x v="2"/>
    <s v="10-14 Years"/>
    <x v="1"/>
    <s v="10-14 Years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n v="6796"/>
    <x v="0"/>
    <s v="Medium Income"/>
    <s v="Medium Income"/>
    <s v="Medium Income"/>
    <n v="23452"/>
    <n v="3"/>
    <s v="Y"/>
    <x v="0"/>
    <n v="14"/>
    <n v="3"/>
    <n v="1"/>
    <n v="80"/>
    <n v="1"/>
    <n v="18"/>
    <x v="2"/>
    <n v="4"/>
    <s v="0-4 Years"/>
    <x v="1"/>
    <s v="0-4 Years"/>
    <x v="9"/>
    <s v="0-4 Years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n v="7625"/>
    <x v="0"/>
    <s v="Medium Income"/>
    <s v="Medium Income"/>
    <s v="Medium Income"/>
    <n v="19383"/>
    <n v="0"/>
    <s v="Y"/>
    <x v="1"/>
    <n v="13"/>
    <n v="3"/>
    <n v="3"/>
    <n v="80"/>
    <n v="0"/>
    <n v="10"/>
    <x v="0"/>
    <n v="4"/>
    <s v="5-9 Years"/>
    <x v="2"/>
    <s v="5-9 Years"/>
    <x v="7"/>
    <s v="5-9 Years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n v="7412"/>
    <x v="0"/>
    <s v="Medium Income"/>
    <s v="Medium Income"/>
    <s v="Medium Income"/>
    <n v="6009"/>
    <n v="1"/>
    <s v="Y"/>
    <x v="1"/>
    <n v="11"/>
    <n v="3"/>
    <n v="4"/>
    <n v="80"/>
    <n v="0"/>
    <n v="9"/>
    <x v="0"/>
    <n v="3"/>
    <s v="5-9 Years"/>
    <x v="1"/>
    <s v="5-9 Years"/>
    <x v="7"/>
    <s v="5-9 Years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n v="11159"/>
    <x v="2"/>
    <s v="High Income"/>
    <s v="High Income"/>
    <s v="High Income"/>
    <n v="19373"/>
    <n v="3"/>
    <s v="Y"/>
    <x v="1"/>
    <n v="15"/>
    <n v="3"/>
    <n v="4"/>
    <n v="80"/>
    <n v="0"/>
    <n v="10"/>
    <x v="0"/>
    <n v="6"/>
    <s v="5-9 Years"/>
    <x v="1"/>
    <s v="5-9 Years"/>
    <x v="5"/>
    <s v="5-9 Years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n v="4960"/>
    <x v="1"/>
    <s v="Low Income"/>
    <s v="Low Income"/>
    <s v="Low Income"/>
    <n v="11825"/>
    <n v="2"/>
    <s v="Y"/>
    <x v="1"/>
    <n v="12"/>
    <n v="3"/>
    <n v="4"/>
    <n v="80"/>
    <n v="0"/>
    <n v="20"/>
    <x v="0"/>
    <n v="2"/>
    <s v="5-9 Years"/>
    <x v="1"/>
    <s v="5-9 Years"/>
    <x v="5"/>
    <s v="5-9 Years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n v="10475"/>
    <x v="2"/>
    <s v="High Income"/>
    <s v="High Income"/>
    <s v="High Income"/>
    <n v="23772"/>
    <n v="5"/>
    <s v="Y"/>
    <x v="0"/>
    <n v="21"/>
    <n v="4"/>
    <n v="3"/>
    <n v="80"/>
    <n v="1"/>
    <n v="20"/>
    <x v="4"/>
    <n v="2"/>
    <s v="15-24 Years"/>
    <x v="1"/>
    <s v="15-24 Years"/>
    <x v="29"/>
    <s v="15-24 Years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n v="14814"/>
    <x v="2"/>
    <s v="High Income"/>
    <s v="High Income"/>
    <s v="High Income"/>
    <n v="13514"/>
    <n v="3"/>
    <s v="Y"/>
    <x v="1"/>
    <n v="19"/>
    <n v="3"/>
    <n v="3"/>
    <n v="80"/>
    <n v="0"/>
    <n v="32"/>
    <x v="0"/>
    <n v="3"/>
    <s v="5-9 Years"/>
    <x v="1"/>
    <s v="5-9 Years"/>
    <x v="8"/>
    <s v="5-9 Years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n v="19141"/>
    <x v="2"/>
    <s v="High Income"/>
    <s v="High Income"/>
    <s v="High Income"/>
    <n v="8861"/>
    <n v="3"/>
    <s v="Y"/>
    <x v="1"/>
    <n v="15"/>
    <n v="3"/>
    <n v="2"/>
    <n v="80"/>
    <n v="3"/>
    <n v="23"/>
    <x v="4"/>
    <n v="2"/>
    <s v="15-24 Years"/>
    <x v="2"/>
    <s v="15-24 Years"/>
    <x v="17"/>
    <s v="15-24 Years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n v="5405"/>
    <x v="0"/>
    <s v="Medium Income"/>
    <s v="Medium Income"/>
    <s v="Medium Income"/>
    <n v="11924"/>
    <n v="8"/>
    <s v="Y"/>
    <x v="1"/>
    <n v="14"/>
    <n v="3"/>
    <n v="4"/>
    <n v="80"/>
    <n v="0"/>
    <n v="10"/>
    <x v="2"/>
    <n v="1"/>
    <s v="0-4 Years"/>
    <x v="1"/>
    <s v="0-4 Years"/>
    <x v="4"/>
    <s v="0-4 Years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n v="8793"/>
    <x v="0"/>
    <s v="Medium Income"/>
    <s v="Medium Income"/>
    <s v="Medium Income"/>
    <n v="4809"/>
    <n v="1"/>
    <s v="Y"/>
    <x v="1"/>
    <n v="21"/>
    <n v="4"/>
    <n v="3"/>
    <n v="80"/>
    <n v="2"/>
    <n v="9"/>
    <x v="0"/>
    <n v="4"/>
    <s v="5-9 Years"/>
    <x v="2"/>
    <s v="5-9 Years"/>
    <x v="7"/>
    <s v="5-9 Years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n v="19189"/>
    <x v="2"/>
    <s v="High Income"/>
    <s v="High Income"/>
    <s v="High Income"/>
    <n v="19562"/>
    <n v="1"/>
    <s v="Y"/>
    <x v="1"/>
    <n v="12"/>
    <n v="3"/>
    <n v="2"/>
    <n v="80"/>
    <n v="1"/>
    <n v="22"/>
    <x v="4"/>
    <n v="3"/>
    <s v="15-24 Years"/>
    <x v="1"/>
    <s v="15-24 Years"/>
    <x v="14"/>
    <s v="15-24 Years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n v="3875"/>
    <x v="1"/>
    <s v="Low Income"/>
    <s v="Low Income"/>
    <s v="Low Income"/>
    <n v="9983"/>
    <n v="7"/>
    <s v="Y"/>
    <x v="1"/>
    <n v="15"/>
    <n v="3"/>
    <n v="4"/>
    <n v="80"/>
    <n v="1"/>
    <n v="4"/>
    <x v="2"/>
    <n v="2"/>
    <s v="0-4 Years"/>
    <x v="1"/>
    <s v="0-4 Years"/>
    <x v="4"/>
    <s v="0-4 Years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n v="2216"/>
    <x v="1"/>
    <s v="Low Income"/>
    <s v="Low Income"/>
    <s v="Low Income"/>
    <n v="3872"/>
    <n v="7"/>
    <s v="Y"/>
    <x v="0"/>
    <n v="13"/>
    <n v="3"/>
    <n v="4"/>
    <n v="80"/>
    <n v="0"/>
    <n v="10"/>
    <x v="0"/>
    <n v="4"/>
    <s v="5-9 Years"/>
    <x v="1"/>
    <s v="5-9 Years"/>
    <x v="5"/>
    <s v="5-9 Years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n v="11713"/>
    <x v="2"/>
    <s v="High Income"/>
    <s v="High Income"/>
    <s v="High Income"/>
    <n v="20335"/>
    <n v="9"/>
    <s v="Y"/>
    <x v="1"/>
    <n v="14"/>
    <n v="3"/>
    <n v="1"/>
    <n v="80"/>
    <n v="1"/>
    <n v="10"/>
    <x v="0"/>
    <n v="2"/>
    <s v="5-9 Years"/>
    <x v="1"/>
    <s v="5-9 Years"/>
    <x v="3"/>
    <s v="5-9 Years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n v="7861"/>
    <x v="0"/>
    <s v="Medium Income"/>
    <s v="Medium Income"/>
    <s v="Medium Income"/>
    <n v="15397"/>
    <n v="4"/>
    <s v="Y"/>
    <x v="0"/>
    <n v="14"/>
    <n v="3"/>
    <n v="4"/>
    <n v="80"/>
    <n v="0"/>
    <n v="10"/>
    <x v="2"/>
    <n v="4"/>
    <s v="0-4 Years"/>
    <x v="3"/>
    <s v="0-4 Years"/>
    <x v="6"/>
    <s v="0-4 Years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x v="2"/>
    <s v="Single"/>
    <n v="3708"/>
    <x v="1"/>
    <s v="Low Income"/>
    <s v="Low Income"/>
    <s v="Low Income"/>
    <n v="2104"/>
    <n v="2"/>
    <s v="Y"/>
    <x v="1"/>
    <n v="14"/>
    <n v="3"/>
    <n v="3"/>
    <n v="80"/>
    <n v="0"/>
    <n v="9"/>
    <x v="0"/>
    <n v="5"/>
    <s v="5-9 Years"/>
    <x v="1"/>
    <s v="5-9 Years"/>
    <x v="8"/>
    <s v="5-9 Years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n v="13770"/>
    <x v="2"/>
    <s v="High Income"/>
    <s v="High Income"/>
    <s v="High Income"/>
    <n v="10225"/>
    <n v="9"/>
    <s v="Y"/>
    <x v="0"/>
    <n v="12"/>
    <n v="3"/>
    <n v="4"/>
    <n v="80"/>
    <n v="2"/>
    <n v="28"/>
    <x v="4"/>
    <n v="2"/>
    <s v="15-24 Years"/>
    <x v="2"/>
    <s v="15-24 Years"/>
    <x v="14"/>
    <s v="15-24 Years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n v="5304"/>
    <x v="0"/>
    <s v="Medium Income"/>
    <s v="Medium Income"/>
    <s v="Medium Income"/>
    <n v="25275"/>
    <n v="7"/>
    <s v="Y"/>
    <x v="1"/>
    <n v="23"/>
    <n v="4"/>
    <n v="4"/>
    <n v="80"/>
    <n v="1"/>
    <n v="10"/>
    <x v="0"/>
    <n v="2"/>
    <s v="5-9 Years"/>
    <x v="2"/>
    <s v="5-9 Years"/>
    <x v="3"/>
    <s v="5-9 Years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n v="2642"/>
    <x v="1"/>
    <s v="Low Income"/>
    <s v="Low Income"/>
    <s v="Low Income"/>
    <n v="2755"/>
    <n v="1"/>
    <s v="Y"/>
    <x v="1"/>
    <n v="11"/>
    <n v="3"/>
    <n v="3"/>
    <n v="80"/>
    <n v="0"/>
    <n v="1"/>
    <x v="2"/>
    <n v="6"/>
    <s v="0-4 Years"/>
    <x v="1"/>
    <s v="0-4 Years"/>
    <x v="6"/>
    <s v="0-4 Years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n v="2759"/>
    <x v="1"/>
    <s v="Low Income"/>
    <s v="Low Income"/>
    <s v="Low Income"/>
    <n v="20366"/>
    <n v="6"/>
    <s v="Y"/>
    <x v="0"/>
    <n v="12"/>
    <n v="3"/>
    <n v="4"/>
    <n v="80"/>
    <n v="0"/>
    <n v="7"/>
    <x v="2"/>
    <n v="2"/>
    <s v="0-4 Years"/>
    <x v="1"/>
    <s v="0-4 Years"/>
    <x v="4"/>
    <s v="0-4 Years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n v="6804"/>
    <x v="0"/>
    <s v="Medium Income"/>
    <s v="Medium Income"/>
    <s v="Medium Income"/>
    <n v="23683"/>
    <n v="3"/>
    <s v="Y"/>
    <x v="1"/>
    <n v="18"/>
    <n v="3"/>
    <n v="3"/>
    <n v="80"/>
    <n v="1"/>
    <n v="7"/>
    <x v="2"/>
    <n v="5"/>
    <s v="0-4 Years"/>
    <x v="1"/>
    <s v="0-4 Years"/>
    <x v="4"/>
    <s v="0-4 Years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n v="6142"/>
    <x v="0"/>
    <s v="Medium Income"/>
    <s v="Medium Income"/>
    <s v="Medium Income"/>
    <n v="7360"/>
    <n v="3"/>
    <s v="Y"/>
    <x v="1"/>
    <n v="11"/>
    <n v="3"/>
    <n v="4"/>
    <n v="80"/>
    <n v="0"/>
    <n v="10"/>
    <x v="0"/>
    <n v="2"/>
    <s v="5-9 Years"/>
    <x v="1"/>
    <s v="5-9 Years"/>
    <x v="8"/>
    <s v="5-9 Years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n v="2500"/>
    <x v="1"/>
    <s v="Low Income"/>
    <s v="Low Income"/>
    <s v="Low Income"/>
    <n v="4344"/>
    <n v="1"/>
    <s v="Y"/>
    <x v="1"/>
    <n v="14"/>
    <n v="3"/>
    <n v="4"/>
    <n v="80"/>
    <n v="1"/>
    <n v="5"/>
    <x v="2"/>
    <n v="2"/>
    <s v="0-4 Years"/>
    <x v="3"/>
    <s v="0-4 Years"/>
    <x v="9"/>
    <s v="0-4 Years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n v="6389"/>
    <x v="0"/>
    <s v="Medium Income"/>
    <s v="Medium Income"/>
    <s v="Medium Income"/>
    <n v="18767"/>
    <n v="9"/>
    <s v="Y"/>
    <x v="1"/>
    <n v="15"/>
    <n v="3"/>
    <n v="3"/>
    <n v="80"/>
    <n v="1"/>
    <n v="12"/>
    <x v="0"/>
    <n v="3"/>
    <s v="5-9 Years"/>
    <x v="0"/>
    <s v="5-9 Years"/>
    <x v="3"/>
    <s v="5-9 Years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n v="11103"/>
    <x v="2"/>
    <s v="High Income"/>
    <s v="High Income"/>
    <s v="High Income"/>
    <n v="20420"/>
    <n v="7"/>
    <s v="Y"/>
    <x v="1"/>
    <n v="11"/>
    <n v="3"/>
    <n v="3"/>
    <n v="80"/>
    <n v="0"/>
    <n v="30"/>
    <x v="1"/>
    <n v="1"/>
    <s v="10-14 Years"/>
    <x v="2"/>
    <s v="10-14 Years"/>
    <x v="1"/>
    <s v="10-14 Years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n v="2342"/>
    <x v="1"/>
    <s v="Low Income"/>
    <s v="Low Income"/>
    <s v="Low Income"/>
    <n v="22929"/>
    <n v="0"/>
    <s v="Y"/>
    <x v="0"/>
    <n v="20"/>
    <n v="4"/>
    <n v="4"/>
    <n v="80"/>
    <n v="0"/>
    <n v="5"/>
    <x v="2"/>
    <n v="2"/>
    <s v="0-4 Years"/>
    <x v="2"/>
    <s v="0-4 Years"/>
    <x v="9"/>
    <s v="0-4 Years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n v="6811"/>
    <x v="0"/>
    <s v="Medium Income"/>
    <s v="Medium Income"/>
    <s v="Medium Income"/>
    <n v="23398"/>
    <n v="8"/>
    <s v="Y"/>
    <x v="1"/>
    <n v="19"/>
    <n v="3"/>
    <n v="1"/>
    <n v="80"/>
    <n v="0"/>
    <n v="9"/>
    <x v="0"/>
    <n v="2"/>
    <s v="5-9 Years"/>
    <x v="0"/>
    <s v="5-9 Years"/>
    <x v="5"/>
    <s v="5-9 Years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n v="2297"/>
    <x v="1"/>
    <s v="Low Income"/>
    <s v="Low Income"/>
    <s v="Low Income"/>
    <n v="17967"/>
    <n v="1"/>
    <s v="Y"/>
    <x v="1"/>
    <n v="14"/>
    <n v="3"/>
    <n v="4"/>
    <n v="80"/>
    <n v="2"/>
    <n v="2"/>
    <x v="2"/>
    <n v="2"/>
    <s v="0-4 Years"/>
    <x v="1"/>
    <s v="0-4 Years"/>
    <x v="4"/>
    <s v="0-4 Years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n v="2450"/>
    <x v="1"/>
    <s v="Low Income"/>
    <s v="Low Income"/>
    <s v="Low Income"/>
    <n v="10919"/>
    <n v="2"/>
    <s v="Y"/>
    <x v="1"/>
    <n v="17"/>
    <n v="3"/>
    <n v="4"/>
    <n v="80"/>
    <n v="0"/>
    <n v="19"/>
    <x v="2"/>
    <n v="4"/>
    <s v="0-4 Years"/>
    <x v="1"/>
    <s v="0-4 Years"/>
    <x v="4"/>
    <s v="0-4 Years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n v="5093"/>
    <x v="0"/>
    <s v="Medium Income"/>
    <s v="Medium Income"/>
    <s v="Medium Income"/>
    <n v="4761"/>
    <n v="2"/>
    <s v="Y"/>
    <x v="1"/>
    <n v="11"/>
    <n v="3"/>
    <n v="1"/>
    <n v="80"/>
    <n v="1"/>
    <n v="16"/>
    <x v="2"/>
    <n v="2"/>
    <s v="0-4 Years"/>
    <x v="3"/>
    <s v="0-4 Years"/>
    <x v="6"/>
    <s v="0-4 Years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n v="5309"/>
    <x v="0"/>
    <s v="Medium Income"/>
    <s v="Medium Income"/>
    <s v="Medium Income"/>
    <n v="21146"/>
    <n v="1"/>
    <s v="Y"/>
    <x v="1"/>
    <n v="15"/>
    <n v="3"/>
    <n v="4"/>
    <n v="80"/>
    <n v="2"/>
    <n v="10"/>
    <x v="1"/>
    <n v="2"/>
    <s v="10-14 Years"/>
    <x v="1"/>
    <s v="10-14 Years"/>
    <x v="1"/>
    <s v="10-14 Years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n v="3057"/>
    <x v="1"/>
    <s v="Low Income"/>
    <s v="Low Income"/>
    <s v="Low Income"/>
    <n v="20471"/>
    <n v="6"/>
    <s v="Y"/>
    <x v="0"/>
    <n v="13"/>
    <n v="3"/>
    <n v="2"/>
    <n v="80"/>
    <n v="1"/>
    <n v="6"/>
    <x v="2"/>
    <n v="0"/>
    <s v="0-4 Years"/>
    <x v="0"/>
    <s v="0-4 Years"/>
    <x v="6"/>
    <s v="0-4 Years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n v="5121"/>
    <x v="0"/>
    <s v="Medium Income"/>
    <s v="Medium Income"/>
    <s v="Medium Income"/>
    <n v="4187"/>
    <n v="3"/>
    <s v="Y"/>
    <x v="1"/>
    <n v="14"/>
    <n v="3"/>
    <n v="3"/>
    <n v="80"/>
    <n v="1"/>
    <n v="7"/>
    <x v="2"/>
    <n v="3"/>
    <s v="0-4 Years"/>
    <x v="1"/>
    <s v="0-4 Years"/>
    <x v="2"/>
    <s v="0-4 Years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n v="16856"/>
    <x v="2"/>
    <s v="High Income"/>
    <s v="High Income"/>
    <s v="High Income"/>
    <n v="10084"/>
    <n v="1"/>
    <s v="Y"/>
    <x v="1"/>
    <n v="11"/>
    <n v="3"/>
    <n v="1"/>
    <n v="80"/>
    <n v="0"/>
    <n v="34"/>
    <x v="3"/>
    <n v="3"/>
    <s v="25+ Years"/>
    <x v="3"/>
    <s v="25+ Years"/>
    <x v="33"/>
    <s v="25+ Years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x v="0"/>
    <s v="Single"/>
    <n v="2686"/>
    <x v="1"/>
    <s v="Low Income"/>
    <s v="Low Income"/>
    <s v="Low Income"/>
    <n v="5207"/>
    <n v="1"/>
    <s v="Y"/>
    <x v="0"/>
    <n v="13"/>
    <n v="3"/>
    <n v="3"/>
    <n v="80"/>
    <n v="0"/>
    <n v="10"/>
    <x v="1"/>
    <n v="2"/>
    <s v="10-14 Years"/>
    <x v="2"/>
    <s v="10-14 Years"/>
    <x v="1"/>
    <s v="10-14 Years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n v="6180"/>
    <x v="0"/>
    <s v="Medium Income"/>
    <s v="Medium Income"/>
    <s v="Medium Income"/>
    <n v="22807"/>
    <n v="1"/>
    <s v="Y"/>
    <x v="1"/>
    <n v="23"/>
    <n v="4"/>
    <n v="2"/>
    <n v="80"/>
    <n v="0"/>
    <n v="6"/>
    <x v="0"/>
    <n v="5"/>
    <s v="5-9 Years"/>
    <x v="2"/>
    <s v="5-9 Years"/>
    <x v="0"/>
    <s v="5-9 Years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n v="6632"/>
    <x v="0"/>
    <s v="Medium Income"/>
    <s v="Medium Income"/>
    <s v="Medium Income"/>
    <n v="12388"/>
    <n v="0"/>
    <s v="Y"/>
    <x v="1"/>
    <n v="13"/>
    <n v="3"/>
    <n v="1"/>
    <n v="80"/>
    <n v="0"/>
    <n v="9"/>
    <x v="0"/>
    <n v="3"/>
    <s v="5-9 Years"/>
    <x v="1"/>
    <s v="5-9 Years"/>
    <x v="3"/>
    <s v="5-9 Years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n v="3505"/>
    <x v="1"/>
    <s v="Low Income"/>
    <s v="Low Income"/>
    <s v="Low Income"/>
    <n v="19630"/>
    <n v="1"/>
    <s v="Y"/>
    <x v="1"/>
    <n v="18"/>
    <n v="3"/>
    <n v="4"/>
    <n v="80"/>
    <n v="0"/>
    <n v="2"/>
    <x v="2"/>
    <n v="3"/>
    <s v="0-4 Years"/>
    <x v="1"/>
    <s v="0-4 Years"/>
    <x v="4"/>
    <s v="0-4 Years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n v="6397"/>
    <x v="0"/>
    <s v="Medium Income"/>
    <s v="Medium Income"/>
    <s v="Medium Income"/>
    <n v="10339"/>
    <n v="4"/>
    <s v="Y"/>
    <x v="0"/>
    <n v="12"/>
    <n v="3"/>
    <n v="4"/>
    <n v="80"/>
    <n v="0"/>
    <n v="8"/>
    <x v="0"/>
    <n v="2"/>
    <s v="5-9 Years"/>
    <x v="1"/>
    <s v="5-9 Years"/>
    <x v="8"/>
    <s v="5-9 Years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x v="0"/>
    <s v="Single"/>
    <n v="6274"/>
    <x v="0"/>
    <s v="Medium Income"/>
    <s v="Medium Income"/>
    <s v="Medium Income"/>
    <n v="18686"/>
    <n v="1"/>
    <s v="Y"/>
    <x v="1"/>
    <n v="22"/>
    <n v="4"/>
    <n v="3"/>
    <n v="80"/>
    <n v="0"/>
    <n v="6"/>
    <x v="0"/>
    <n v="5"/>
    <s v="5-9 Years"/>
    <x v="1"/>
    <s v="5-9 Years"/>
    <x v="0"/>
    <s v="5-9 Years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n v="19859"/>
    <x v="2"/>
    <s v="High Income"/>
    <s v="High Income"/>
    <s v="High Income"/>
    <n v="21199"/>
    <n v="5"/>
    <s v="Y"/>
    <x v="0"/>
    <n v="13"/>
    <n v="3"/>
    <n v="4"/>
    <n v="80"/>
    <n v="1"/>
    <n v="24"/>
    <x v="0"/>
    <n v="2"/>
    <s v="5-9 Years"/>
    <x v="1"/>
    <s v="5-9 Years"/>
    <x v="8"/>
    <s v="5-9 Years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n v="7587"/>
    <x v="0"/>
    <s v="Medium Income"/>
    <s v="Medium Income"/>
    <s v="Medium Income"/>
    <n v="14229"/>
    <n v="1"/>
    <s v="Y"/>
    <x v="1"/>
    <n v="15"/>
    <n v="3"/>
    <n v="2"/>
    <n v="80"/>
    <n v="0"/>
    <n v="10"/>
    <x v="1"/>
    <n v="1"/>
    <s v="10-14 Years"/>
    <x v="1"/>
    <s v="10-14 Years"/>
    <x v="1"/>
    <s v="10-14 Years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x v="0"/>
    <s v="Married"/>
    <n v="4258"/>
    <x v="1"/>
    <s v="Low Income"/>
    <s v="Low Income"/>
    <s v="Low Income"/>
    <n v="26589"/>
    <n v="0"/>
    <s v="Y"/>
    <x v="1"/>
    <n v="18"/>
    <n v="3"/>
    <n v="1"/>
    <n v="80"/>
    <n v="1"/>
    <n v="5"/>
    <x v="2"/>
    <n v="3"/>
    <s v="0-4 Years"/>
    <x v="1"/>
    <s v="0-4 Years"/>
    <x v="9"/>
    <s v="0-4 Years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n v="4364"/>
    <x v="1"/>
    <s v="Low Income"/>
    <s v="Low Income"/>
    <s v="Low Income"/>
    <n v="5288"/>
    <n v="3"/>
    <s v="Y"/>
    <x v="1"/>
    <n v="14"/>
    <n v="3"/>
    <n v="1"/>
    <n v="80"/>
    <n v="1"/>
    <n v="5"/>
    <x v="2"/>
    <n v="2"/>
    <s v="0-4 Years"/>
    <x v="1"/>
    <s v="0-4 Years"/>
    <x v="4"/>
    <s v="0-4 Years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n v="4335"/>
    <x v="1"/>
    <s v="Low Income"/>
    <s v="Low Income"/>
    <s v="Low Income"/>
    <n v="25549"/>
    <n v="4"/>
    <s v="Y"/>
    <x v="1"/>
    <n v="12"/>
    <n v="3"/>
    <n v="1"/>
    <n v="80"/>
    <n v="1"/>
    <n v="11"/>
    <x v="0"/>
    <n v="3"/>
    <s v="5-9 Years"/>
    <x v="2"/>
    <s v="5-9 Years"/>
    <x v="3"/>
    <s v="5-9 Years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n v="5326"/>
    <x v="0"/>
    <s v="Medium Income"/>
    <s v="Medium Income"/>
    <s v="Medium Income"/>
    <n v="3064"/>
    <n v="6"/>
    <s v="Y"/>
    <x v="1"/>
    <n v="17"/>
    <n v="3"/>
    <n v="3"/>
    <n v="80"/>
    <n v="0"/>
    <n v="6"/>
    <x v="2"/>
    <n v="2"/>
    <s v="0-4 Years"/>
    <x v="2"/>
    <s v="0-4 Years"/>
    <x v="9"/>
    <s v="0-4 Years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n v="3280"/>
    <x v="1"/>
    <s v="Low Income"/>
    <s v="Low Income"/>
    <s v="Low Income"/>
    <n v="13551"/>
    <n v="2"/>
    <s v="Y"/>
    <x v="1"/>
    <n v="16"/>
    <n v="3"/>
    <n v="3"/>
    <n v="80"/>
    <n v="0"/>
    <n v="10"/>
    <x v="2"/>
    <n v="2"/>
    <s v="0-4 Years"/>
    <x v="1"/>
    <s v="0-4 Years"/>
    <x v="9"/>
    <s v="0-4 Years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n v="5485"/>
    <x v="0"/>
    <s v="Medium Income"/>
    <s v="Medium Income"/>
    <s v="Medium Income"/>
    <n v="22670"/>
    <n v="9"/>
    <s v="Y"/>
    <x v="0"/>
    <n v="11"/>
    <n v="3"/>
    <n v="2"/>
    <n v="80"/>
    <n v="2"/>
    <n v="9"/>
    <x v="0"/>
    <n v="4"/>
    <s v="5-9 Years"/>
    <x v="1"/>
    <s v="5-9 Years"/>
    <x v="8"/>
    <s v="5-9 Years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n v="4342"/>
    <x v="1"/>
    <s v="Low Income"/>
    <s v="Low Income"/>
    <s v="Low Income"/>
    <n v="24008"/>
    <n v="0"/>
    <s v="Y"/>
    <x v="1"/>
    <n v="19"/>
    <n v="3"/>
    <n v="2"/>
    <n v="80"/>
    <n v="1"/>
    <n v="5"/>
    <x v="2"/>
    <n v="3"/>
    <s v="0-4 Years"/>
    <x v="1"/>
    <s v="0-4 Years"/>
    <x v="9"/>
    <s v="0-4 Years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n v="2782"/>
    <x v="1"/>
    <s v="Low Income"/>
    <s v="Low Income"/>
    <s v="Low Income"/>
    <n v="19905"/>
    <n v="0"/>
    <s v="Y"/>
    <x v="0"/>
    <n v="13"/>
    <n v="3"/>
    <n v="2"/>
    <n v="80"/>
    <n v="2"/>
    <n v="6"/>
    <x v="0"/>
    <n v="3"/>
    <s v="5-9 Years"/>
    <x v="2"/>
    <s v="5-9 Years"/>
    <x v="8"/>
    <s v="5-9 Years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n v="5980"/>
    <x v="0"/>
    <s v="Medium Income"/>
    <s v="Medium Income"/>
    <s v="Medium Income"/>
    <n v="26085"/>
    <n v="6"/>
    <s v="Y"/>
    <x v="0"/>
    <n v="12"/>
    <n v="3"/>
    <n v="4"/>
    <n v="80"/>
    <n v="0"/>
    <n v="17"/>
    <x v="4"/>
    <n v="2"/>
    <s v="15-24 Years"/>
    <x v="1"/>
    <s v="15-24 Years"/>
    <x v="15"/>
    <s v="15-24 Years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n v="4381"/>
    <x v="1"/>
    <s v="Low Income"/>
    <s v="Low Income"/>
    <s v="Low Income"/>
    <n v="7530"/>
    <n v="1"/>
    <s v="Y"/>
    <x v="1"/>
    <n v="11"/>
    <n v="3"/>
    <n v="3"/>
    <n v="80"/>
    <n v="0"/>
    <n v="6"/>
    <x v="0"/>
    <n v="3"/>
    <s v="5-9 Years"/>
    <x v="1"/>
    <s v="5-9 Years"/>
    <x v="0"/>
    <s v="5-9 Years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n v="2572"/>
    <x v="1"/>
    <s v="Low Income"/>
    <s v="Low Income"/>
    <s v="Low Income"/>
    <n v="20317"/>
    <n v="1"/>
    <s v="Y"/>
    <x v="1"/>
    <n v="16"/>
    <n v="3"/>
    <n v="2"/>
    <n v="80"/>
    <n v="1"/>
    <n v="3"/>
    <x v="2"/>
    <n v="1"/>
    <s v="0-4 Years"/>
    <x v="2"/>
    <s v="0-4 Years"/>
    <x v="11"/>
    <s v="0-4 Years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n v="3833"/>
    <x v="1"/>
    <s v="Low Income"/>
    <s v="Low Income"/>
    <s v="Low Income"/>
    <n v="24375"/>
    <n v="3"/>
    <s v="Y"/>
    <x v="1"/>
    <n v="21"/>
    <n v="4"/>
    <n v="3"/>
    <n v="80"/>
    <n v="2"/>
    <n v="7"/>
    <x v="2"/>
    <n v="2"/>
    <s v="0-4 Years"/>
    <x v="1"/>
    <s v="0-4 Years"/>
    <x v="4"/>
    <s v="0-4 Years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n v="4244"/>
    <x v="1"/>
    <s v="Low Income"/>
    <s v="Low Income"/>
    <s v="Low Income"/>
    <n v="9931"/>
    <n v="1"/>
    <s v="Y"/>
    <x v="1"/>
    <n v="24"/>
    <n v="4"/>
    <n v="4"/>
    <n v="80"/>
    <n v="1"/>
    <n v="8"/>
    <x v="0"/>
    <n v="2"/>
    <s v="5-9 Years"/>
    <x v="1"/>
    <s v="5-9 Years"/>
    <x v="3"/>
    <s v="5-9 Years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n v="6500"/>
    <x v="0"/>
    <s v="Medium Income"/>
    <s v="Medium Income"/>
    <s v="Medium Income"/>
    <n v="13305"/>
    <n v="5"/>
    <s v="Y"/>
    <x v="1"/>
    <n v="17"/>
    <n v="3"/>
    <n v="2"/>
    <n v="80"/>
    <n v="1"/>
    <n v="6"/>
    <x v="2"/>
    <n v="1"/>
    <s v="0-4 Years"/>
    <x v="1"/>
    <s v="0-4 Years"/>
    <x v="11"/>
    <s v="0-4 Years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n v="18430"/>
    <x v="2"/>
    <s v="High Income"/>
    <s v="High Income"/>
    <s v="High Income"/>
    <n v="16225"/>
    <n v="1"/>
    <s v="Y"/>
    <x v="1"/>
    <n v="13"/>
    <n v="3"/>
    <n v="2"/>
    <n v="80"/>
    <n v="1"/>
    <n v="24"/>
    <x v="4"/>
    <n v="4"/>
    <s v="15-24 Years"/>
    <x v="2"/>
    <s v="15-24 Years"/>
    <x v="25"/>
    <s v="15-24 Years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n v="1601"/>
    <x v="1"/>
    <s v="Low Income"/>
    <s v="Low Income"/>
    <s v="Low Income"/>
    <n v="3445"/>
    <n v="1"/>
    <s v="Y"/>
    <x v="0"/>
    <n v="21"/>
    <n v="4"/>
    <n v="3"/>
    <n v="80"/>
    <n v="2"/>
    <n v="1"/>
    <x v="2"/>
    <n v="2"/>
    <s v="0-4 Years"/>
    <x v="1"/>
    <s v="0-4 Years"/>
    <x v="2"/>
    <s v="0-4 Years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n v="2694"/>
    <x v="1"/>
    <s v="Low Income"/>
    <s v="Low Income"/>
    <s v="Low Income"/>
    <n v="26551"/>
    <n v="1"/>
    <s v="Y"/>
    <x v="1"/>
    <n v="11"/>
    <n v="3"/>
    <n v="3"/>
    <n v="80"/>
    <n v="3"/>
    <n v="1"/>
    <x v="2"/>
    <n v="4"/>
    <s v="0-4 Years"/>
    <x v="1"/>
    <s v="0-4 Years"/>
    <x v="6"/>
    <s v="0-4 Years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n v="3149"/>
    <x v="1"/>
    <s v="Low Income"/>
    <s v="Low Income"/>
    <s v="Low Income"/>
    <n v="21821"/>
    <n v="8"/>
    <s v="Y"/>
    <x v="1"/>
    <n v="20"/>
    <n v="4"/>
    <n v="2"/>
    <n v="80"/>
    <n v="1"/>
    <n v="9"/>
    <x v="0"/>
    <n v="3"/>
    <s v="5-9 Years"/>
    <x v="1"/>
    <s v="5-9 Years"/>
    <x v="8"/>
    <s v="5-9 Years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n v="17639"/>
    <x v="2"/>
    <s v="High Income"/>
    <s v="High Income"/>
    <s v="High Income"/>
    <n v="6881"/>
    <n v="5"/>
    <s v="Y"/>
    <x v="1"/>
    <n v="16"/>
    <n v="3"/>
    <n v="4"/>
    <n v="80"/>
    <n v="0"/>
    <n v="30"/>
    <x v="2"/>
    <n v="3"/>
    <s v="0-4 Years"/>
    <x v="1"/>
    <s v="0-4 Years"/>
    <x v="9"/>
    <s v="0-4 Years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n v="2319"/>
    <x v="1"/>
    <s v="Low Income"/>
    <s v="Low Income"/>
    <s v="Low Income"/>
    <n v="6689"/>
    <n v="1"/>
    <s v="Y"/>
    <x v="0"/>
    <n v="11"/>
    <n v="3"/>
    <n v="4"/>
    <n v="80"/>
    <n v="1"/>
    <n v="1"/>
    <x v="2"/>
    <n v="1"/>
    <s v="0-4 Years"/>
    <x v="1"/>
    <s v="0-4 Years"/>
    <x v="6"/>
    <s v="0-4 Years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n v="11691"/>
    <x v="2"/>
    <s v="High Income"/>
    <s v="High Income"/>
    <s v="High Income"/>
    <n v="25995"/>
    <n v="0"/>
    <s v="Y"/>
    <x v="1"/>
    <n v="11"/>
    <n v="3"/>
    <n v="4"/>
    <n v="80"/>
    <n v="0"/>
    <n v="14"/>
    <x v="1"/>
    <n v="3"/>
    <s v="10-14 Years"/>
    <x v="3"/>
    <s v="10-14 Years"/>
    <x v="20"/>
    <s v="10-14 Years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n v="5324"/>
    <x v="0"/>
    <s v="Medium Income"/>
    <s v="Medium Income"/>
    <s v="Medium Income"/>
    <n v="26507"/>
    <n v="5"/>
    <s v="Y"/>
    <x v="1"/>
    <n v="15"/>
    <n v="3"/>
    <n v="3"/>
    <n v="80"/>
    <n v="0"/>
    <n v="6"/>
    <x v="2"/>
    <n v="3"/>
    <s v="0-4 Years"/>
    <x v="1"/>
    <s v="0-4 Years"/>
    <x v="11"/>
    <s v="0-4 Years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n v="16752"/>
    <x v="2"/>
    <s v="High Income"/>
    <s v="High Income"/>
    <s v="High Income"/>
    <n v="12982"/>
    <n v="1"/>
    <s v="Y"/>
    <x v="0"/>
    <n v="11"/>
    <n v="3"/>
    <n v="3"/>
    <n v="80"/>
    <n v="1"/>
    <n v="26"/>
    <x v="3"/>
    <n v="3"/>
    <s v="25+ Years"/>
    <x v="2"/>
    <s v="25+ Years"/>
    <x v="34"/>
    <s v="25+ Years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n v="5228"/>
    <x v="0"/>
    <s v="Medium Income"/>
    <s v="Medium Income"/>
    <s v="Medium Income"/>
    <n v="23361"/>
    <n v="0"/>
    <s v="Y"/>
    <x v="1"/>
    <n v="15"/>
    <n v="3"/>
    <n v="1"/>
    <n v="80"/>
    <n v="1"/>
    <n v="10"/>
    <x v="0"/>
    <n v="2"/>
    <s v="5-9 Years"/>
    <x v="1"/>
    <s v="5-9 Years"/>
    <x v="7"/>
    <s v="5-9 Years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n v="2700"/>
    <x v="1"/>
    <s v="Low Income"/>
    <s v="Low Income"/>
    <s v="Low Income"/>
    <n v="23779"/>
    <n v="1"/>
    <s v="Y"/>
    <x v="1"/>
    <n v="24"/>
    <n v="4"/>
    <n v="3"/>
    <n v="80"/>
    <n v="1"/>
    <n v="10"/>
    <x v="1"/>
    <n v="3"/>
    <s v="10-14 Years"/>
    <x v="1"/>
    <s v="10-14 Years"/>
    <x v="1"/>
    <s v="10-14 Years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n v="19246"/>
    <x v="2"/>
    <s v="High Income"/>
    <s v="High Income"/>
    <s v="High Income"/>
    <n v="25761"/>
    <n v="7"/>
    <s v="Y"/>
    <x v="0"/>
    <n v="12"/>
    <n v="3"/>
    <n v="4"/>
    <n v="80"/>
    <n v="0"/>
    <n v="40"/>
    <x v="3"/>
    <n v="2"/>
    <s v="25+ Years"/>
    <x v="1"/>
    <s v="25+ Years"/>
    <x v="31"/>
    <s v="25+ Years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n v="2506"/>
    <x v="1"/>
    <s v="Low Income"/>
    <s v="Low Income"/>
    <s v="Low Income"/>
    <n v="13301"/>
    <n v="3"/>
    <s v="Y"/>
    <x v="1"/>
    <n v="13"/>
    <n v="3"/>
    <n v="3"/>
    <n v="80"/>
    <n v="0"/>
    <n v="7"/>
    <x v="2"/>
    <n v="0"/>
    <s v="0-4 Years"/>
    <x v="1"/>
    <s v="0-4 Years"/>
    <x v="4"/>
    <s v="0-4 Years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n v="6062"/>
    <x v="0"/>
    <s v="Medium Income"/>
    <s v="Medium Income"/>
    <s v="Medium Income"/>
    <n v="4051"/>
    <n v="9"/>
    <s v="Y"/>
    <x v="0"/>
    <n v="13"/>
    <n v="3"/>
    <n v="4"/>
    <n v="80"/>
    <n v="1"/>
    <n v="8"/>
    <x v="2"/>
    <n v="4"/>
    <s v="0-4 Years"/>
    <x v="1"/>
    <s v="0-4 Years"/>
    <x v="9"/>
    <s v="0-4 Years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n v="4382"/>
    <x v="1"/>
    <s v="Low Income"/>
    <s v="Low Income"/>
    <s v="Low Income"/>
    <n v="16374"/>
    <n v="6"/>
    <s v="Y"/>
    <x v="1"/>
    <n v="17"/>
    <n v="3"/>
    <n v="4"/>
    <n v="80"/>
    <n v="0"/>
    <n v="5"/>
    <x v="2"/>
    <n v="3"/>
    <s v="0-4 Years"/>
    <x v="2"/>
    <s v="0-4 Years"/>
    <x v="4"/>
    <s v="0-4 Years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n v="2143"/>
    <x v="1"/>
    <s v="Low Income"/>
    <s v="Low Income"/>
    <s v="Low Income"/>
    <n v="25527"/>
    <n v="4"/>
    <s v="Y"/>
    <x v="1"/>
    <n v="13"/>
    <n v="3"/>
    <n v="2"/>
    <n v="80"/>
    <n v="1"/>
    <n v="8"/>
    <x v="0"/>
    <n v="2"/>
    <s v="5-9 Years"/>
    <x v="1"/>
    <s v="5-9 Years"/>
    <x v="8"/>
    <s v="5-9 Years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n v="6162"/>
    <x v="0"/>
    <s v="Medium Income"/>
    <s v="Medium Income"/>
    <s v="Medium Income"/>
    <n v="19124"/>
    <n v="1"/>
    <s v="Y"/>
    <x v="1"/>
    <n v="12"/>
    <n v="3"/>
    <n v="3"/>
    <n v="80"/>
    <n v="1"/>
    <n v="14"/>
    <x v="1"/>
    <n v="3"/>
    <s v="10-14 Years"/>
    <x v="1"/>
    <s v="10-14 Years"/>
    <x v="13"/>
    <s v="10-14 Years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n v="5094"/>
    <x v="0"/>
    <s v="Medium Income"/>
    <s v="Medium Income"/>
    <s v="Medium Income"/>
    <n v="11983"/>
    <n v="6"/>
    <s v="Y"/>
    <x v="1"/>
    <n v="14"/>
    <n v="3"/>
    <n v="4"/>
    <n v="80"/>
    <n v="0"/>
    <n v="10"/>
    <x v="2"/>
    <n v="6"/>
    <s v="0-4 Years"/>
    <x v="1"/>
    <s v="0-4 Years"/>
    <x v="6"/>
    <s v="0-4 Years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n v="6877"/>
    <x v="0"/>
    <s v="Medium Income"/>
    <s v="Medium Income"/>
    <s v="Medium Income"/>
    <n v="20234"/>
    <n v="5"/>
    <s v="Y"/>
    <x v="0"/>
    <n v="24"/>
    <n v="4"/>
    <n v="2"/>
    <n v="80"/>
    <n v="0"/>
    <n v="12"/>
    <x v="2"/>
    <n v="4"/>
    <s v="0-4 Years"/>
    <x v="2"/>
    <s v="0-4 Years"/>
    <x v="2"/>
    <s v="0-4 Years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n v="2274"/>
    <x v="1"/>
    <s v="Low Income"/>
    <s v="Low Income"/>
    <s v="Low Income"/>
    <n v="6153"/>
    <n v="1"/>
    <s v="Y"/>
    <x v="1"/>
    <n v="14"/>
    <n v="3"/>
    <n v="4"/>
    <n v="80"/>
    <n v="0"/>
    <n v="1"/>
    <x v="2"/>
    <n v="3"/>
    <s v="0-4 Years"/>
    <x v="1"/>
    <s v="0-4 Years"/>
    <x v="6"/>
    <s v="0-4 Years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n v="4434"/>
    <x v="1"/>
    <s v="Low Income"/>
    <s v="Low Income"/>
    <s v="Low Income"/>
    <n v="11806"/>
    <n v="1"/>
    <s v="Y"/>
    <x v="1"/>
    <n v="13"/>
    <n v="3"/>
    <n v="4"/>
    <n v="80"/>
    <n v="1"/>
    <n v="10"/>
    <x v="0"/>
    <n v="3"/>
    <s v="5-9 Years"/>
    <x v="2"/>
    <s v="5-9 Years"/>
    <x v="7"/>
    <s v="5-9 Years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n v="6288"/>
    <x v="0"/>
    <s v="Medium Income"/>
    <s v="Medium Income"/>
    <s v="Medium Income"/>
    <n v="4284"/>
    <n v="2"/>
    <s v="Y"/>
    <x v="1"/>
    <n v="15"/>
    <n v="3"/>
    <n v="3"/>
    <n v="80"/>
    <n v="1"/>
    <n v="13"/>
    <x v="2"/>
    <n v="3"/>
    <s v="0-4 Years"/>
    <x v="2"/>
    <s v="0-4 Years"/>
    <x v="9"/>
    <s v="0-4 Years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n v="2553"/>
    <x v="1"/>
    <s v="Low Income"/>
    <s v="Low Income"/>
    <s v="Low Income"/>
    <n v="8306"/>
    <n v="1"/>
    <s v="Y"/>
    <x v="1"/>
    <n v="16"/>
    <n v="3"/>
    <n v="3"/>
    <n v="80"/>
    <n v="0"/>
    <n v="6"/>
    <x v="0"/>
    <n v="3"/>
    <s v="5-9 Years"/>
    <x v="1"/>
    <s v="5-9 Years"/>
    <x v="8"/>
    <s v="5-9 Years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n v="7654"/>
    <x v="0"/>
    <s v="Medium Income"/>
    <s v="Medium Income"/>
    <s v="Medium Income"/>
    <n v="5860"/>
    <n v="1"/>
    <s v="Y"/>
    <x v="1"/>
    <n v="18"/>
    <n v="3"/>
    <n v="1"/>
    <n v="80"/>
    <n v="2"/>
    <n v="9"/>
    <x v="0"/>
    <n v="3"/>
    <s v="5-9 Years"/>
    <x v="3"/>
    <s v="5-9 Years"/>
    <x v="7"/>
    <s v="5-9 Years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n v="5160"/>
    <x v="0"/>
    <s v="Medium Income"/>
    <s v="Medium Income"/>
    <s v="Medium Income"/>
    <n v="21519"/>
    <n v="4"/>
    <s v="Y"/>
    <x v="1"/>
    <n v="16"/>
    <n v="3"/>
    <n v="3"/>
    <n v="80"/>
    <n v="0"/>
    <n v="12"/>
    <x v="0"/>
    <n v="3"/>
    <s v="5-9 Years"/>
    <x v="2"/>
    <s v="5-9 Years"/>
    <x v="7"/>
    <s v="5-9 Years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n v="17159"/>
    <x v="2"/>
    <s v="High Income"/>
    <s v="High Income"/>
    <s v="High Income"/>
    <n v="5200"/>
    <n v="6"/>
    <s v="Y"/>
    <x v="1"/>
    <n v="24"/>
    <n v="4"/>
    <n v="3"/>
    <n v="80"/>
    <n v="1"/>
    <n v="22"/>
    <x v="2"/>
    <n v="3"/>
    <s v="0-4 Years"/>
    <x v="1"/>
    <s v="0-4 Years"/>
    <x v="9"/>
    <s v="0-4 Years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n v="12808"/>
    <x v="2"/>
    <s v="High Income"/>
    <s v="High Income"/>
    <s v="High Income"/>
    <n v="8842"/>
    <n v="1"/>
    <s v="Y"/>
    <x v="0"/>
    <n v="16"/>
    <n v="3"/>
    <n v="2"/>
    <n v="80"/>
    <n v="1"/>
    <n v="9"/>
    <x v="0"/>
    <n v="3"/>
    <s v="5-9 Years"/>
    <x v="1"/>
    <s v="5-9 Years"/>
    <x v="7"/>
    <s v="5-9 Years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x v="2"/>
    <s v="Single"/>
    <n v="10221"/>
    <x v="2"/>
    <s v="High Income"/>
    <s v="High Income"/>
    <s v="High Income"/>
    <n v="18869"/>
    <n v="3"/>
    <s v="Y"/>
    <x v="1"/>
    <n v="21"/>
    <n v="4"/>
    <n v="2"/>
    <n v="80"/>
    <n v="0"/>
    <n v="17"/>
    <x v="0"/>
    <n v="3"/>
    <s v="5-9 Years"/>
    <x v="3"/>
    <s v="5-9 Years"/>
    <x v="3"/>
    <s v="5-9 Years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n v="4779"/>
    <x v="1"/>
    <s v="Low Income"/>
    <s v="Low Income"/>
    <s v="Low Income"/>
    <n v="3698"/>
    <n v="1"/>
    <s v="Y"/>
    <x v="0"/>
    <n v="20"/>
    <n v="4"/>
    <n v="1"/>
    <n v="80"/>
    <n v="0"/>
    <n v="8"/>
    <x v="0"/>
    <n v="2"/>
    <s v="5-9 Years"/>
    <x v="1"/>
    <s v="5-9 Years"/>
    <x v="3"/>
    <s v="5-9 Years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n v="3737"/>
    <x v="1"/>
    <s v="Low Income"/>
    <s v="Low Income"/>
    <s v="Low Income"/>
    <n v="2243"/>
    <n v="0"/>
    <s v="Y"/>
    <x v="1"/>
    <n v="19"/>
    <n v="3"/>
    <n v="3"/>
    <n v="80"/>
    <n v="1"/>
    <n v="4"/>
    <x v="2"/>
    <n v="1"/>
    <s v="0-4 Years"/>
    <x v="0"/>
    <s v="0-4 Years"/>
    <x v="11"/>
    <s v="0-4 Years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n v="2366"/>
    <x v="1"/>
    <s v="Low Income"/>
    <s v="Low Income"/>
    <s v="Low Income"/>
    <n v="20898"/>
    <n v="1"/>
    <s v="Y"/>
    <x v="0"/>
    <n v="14"/>
    <n v="3"/>
    <n v="1"/>
    <n v="80"/>
    <n v="1"/>
    <n v="8"/>
    <x v="0"/>
    <n v="2"/>
    <s v="5-9 Years"/>
    <x v="1"/>
    <s v="5-9 Years"/>
    <x v="3"/>
    <s v="5-9 Years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x v="0"/>
    <s v="Married"/>
    <n v="1706"/>
    <x v="1"/>
    <s v="Low Income"/>
    <s v="Low Income"/>
    <s v="Low Income"/>
    <n v="16571"/>
    <n v="1"/>
    <s v="Y"/>
    <x v="1"/>
    <n v="11"/>
    <n v="3"/>
    <n v="3"/>
    <n v="80"/>
    <n v="3"/>
    <n v="0"/>
    <x v="2"/>
    <n v="6"/>
    <s v="0-4 Years"/>
    <x v="2"/>
    <s v="0-4 Years"/>
    <x v="2"/>
    <s v="0-4 Years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n v="16307"/>
    <x v="2"/>
    <s v="High Income"/>
    <s v="High Income"/>
    <s v="High Income"/>
    <n v="5594"/>
    <n v="2"/>
    <s v="Y"/>
    <x v="1"/>
    <n v="14"/>
    <n v="3"/>
    <n v="3"/>
    <n v="80"/>
    <n v="1"/>
    <n v="29"/>
    <x v="4"/>
    <n v="2"/>
    <s v="15-24 Years"/>
    <x v="2"/>
    <s v="15-24 Years"/>
    <x v="23"/>
    <s v="15-24 Years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n v="5933"/>
    <x v="0"/>
    <s v="Medium Income"/>
    <s v="Medium Income"/>
    <s v="Medium Income"/>
    <n v="5197"/>
    <n v="9"/>
    <s v="Y"/>
    <x v="1"/>
    <n v="12"/>
    <n v="3"/>
    <n v="4"/>
    <n v="80"/>
    <n v="0"/>
    <n v="10"/>
    <x v="0"/>
    <n v="2"/>
    <s v="5-9 Years"/>
    <x v="2"/>
    <s v="5-9 Years"/>
    <x v="8"/>
    <s v="5-9 Years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n v="3424"/>
    <x v="1"/>
    <s v="Low Income"/>
    <s v="Low Income"/>
    <s v="Low Income"/>
    <n v="21632"/>
    <n v="7"/>
    <s v="Y"/>
    <x v="1"/>
    <n v="13"/>
    <n v="3"/>
    <n v="3"/>
    <n v="80"/>
    <n v="0"/>
    <n v="6"/>
    <x v="2"/>
    <n v="3"/>
    <s v="0-4 Years"/>
    <x v="2"/>
    <s v="0-4 Years"/>
    <x v="9"/>
    <s v="0-4 Years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n v="4037"/>
    <x v="1"/>
    <s v="Low Income"/>
    <s v="Low Income"/>
    <s v="Low Income"/>
    <n v="21816"/>
    <n v="1"/>
    <s v="Y"/>
    <x v="1"/>
    <n v="22"/>
    <n v="4"/>
    <n v="1"/>
    <n v="80"/>
    <n v="1"/>
    <n v="9"/>
    <x v="0"/>
    <n v="5"/>
    <s v="5-9 Years"/>
    <x v="1"/>
    <s v="5-9 Years"/>
    <x v="7"/>
    <s v="5-9 Years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n v="2559"/>
    <x v="1"/>
    <s v="Low Income"/>
    <s v="Low Income"/>
    <s v="Low Income"/>
    <n v="17852"/>
    <n v="1"/>
    <s v="Y"/>
    <x v="1"/>
    <n v="11"/>
    <n v="3"/>
    <n v="4"/>
    <n v="80"/>
    <n v="0"/>
    <n v="6"/>
    <x v="0"/>
    <n v="3"/>
    <s v="5-9 Years"/>
    <x v="2"/>
    <s v="5-9 Years"/>
    <x v="0"/>
    <s v="5-9 Years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n v="6201"/>
    <x v="0"/>
    <s v="Medium Income"/>
    <s v="Medium Income"/>
    <s v="Medium Income"/>
    <n v="2823"/>
    <n v="1"/>
    <s v="Y"/>
    <x v="0"/>
    <n v="14"/>
    <n v="3"/>
    <n v="4"/>
    <n v="80"/>
    <n v="1"/>
    <n v="18"/>
    <x v="4"/>
    <n v="1"/>
    <s v="15-24 Years"/>
    <x v="2"/>
    <s v="15-24 Years"/>
    <x v="29"/>
    <s v="15-24 Years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n v="4403"/>
    <x v="1"/>
    <s v="Low Income"/>
    <s v="Low Income"/>
    <s v="Low Income"/>
    <n v="9250"/>
    <n v="2"/>
    <s v="Y"/>
    <x v="1"/>
    <n v="11"/>
    <n v="3"/>
    <n v="3"/>
    <n v="80"/>
    <n v="1"/>
    <n v="8"/>
    <x v="0"/>
    <n v="3"/>
    <s v="5-9 Years"/>
    <x v="2"/>
    <s v="5-9 Years"/>
    <x v="8"/>
    <s v="5-9 Years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n v="3761"/>
    <x v="1"/>
    <s v="Low Income"/>
    <s v="Low Income"/>
    <s v="Low Income"/>
    <n v="2373"/>
    <n v="9"/>
    <s v="Y"/>
    <x v="1"/>
    <n v="12"/>
    <n v="3"/>
    <n v="2"/>
    <n v="80"/>
    <n v="1"/>
    <n v="10"/>
    <x v="0"/>
    <n v="3"/>
    <s v="5-9 Years"/>
    <x v="2"/>
    <s v="5-9 Years"/>
    <x v="8"/>
    <s v="5-9 Years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n v="10934"/>
    <x v="2"/>
    <s v="High Income"/>
    <s v="High Income"/>
    <s v="High Income"/>
    <n v="20715"/>
    <n v="7"/>
    <s v="Y"/>
    <x v="0"/>
    <n v="18"/>
    <n v="3"/>
    <n v="4"/>
    <n v="80"/>
    <n v="1"/>
    <n v="35"/>
    <x v="0"/>
    <n v="3"/>
    <s v="5-9 Years"/>
    <x v="1"/>
    <s v="5-9 Years"/>
    <x v="8"/>
    <s v="5-9 Years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n v="10761"/>
    <x v="2"/>
    <s v="High Income"/>
    <s v="High Income"/>
    <s v="High Income"/>
    <n v="19239"/>
    <n v="4"/>
    <s v="Y"/>
    <x v="0"/>
    <n v="12"/>
    <n v="3"/>
    <n v="3"/>
    <n v="80"/>
    <n v="1"/>
    <n v="18"/>
    <x v="0"/>
    <n v="2"/>
    <s v="5-9 Years"/>
    <x v="1"/>
    <s v="5-9 Years"/>
    <x v="8"/>
    <s v="5-9 Years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n v="5175"/>
    <x v="0"/>
    <s v="Medium Income"/>
    <s v="Medium Income"/>
    <s v="Medium Income"/>
    <n v="22162"/>
    <n v="5"/>
    <s v="Y"/>
    <x v="1"/>
    <n v="12"/>
    <n v="3"/>
    <n v="3"/>
    <n v="80"/>
    <n v="1"/>
    <n v="9"/>
    <x v="0"/>
    <n v="3"/>
    <s v="5-9 Years"/>
    <x v="2"/>
    <s v="5-9 Years"/>
    <x v="8"/>
    <s v="5-9 Years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n v="13826"/>
    <x v="2"/>
    <s v="High Income"/>
    <s v="High Income"/>
    <s v="High Income"/>
    <n v="19028"/>
    <n v="3"/>
    <s v="Y"/>
    <x v="1"/>
    <n v="22"/>
    <n v="4"/>
    <n v="3"/>
    <n v="80"/>
    <n v="0"/>
    <n v="31"/>
    <x v="0"/>
    <n v="3"/>
    <s v="5-9 Years"/>
    <x v="1"/>
    <s v="5-9 Years"/>
    <x v="7"/>
    <s v="5-9 Years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n v="6334"/>
    <x v="0"/>
    <s v="Medium Income"/>
    <s v="Medium Income"/>
    <s v="Medium Income"/>
    <n v="24558"/>
    <n v="4"/>
    <s v="Y"/>
    <x v="1"/>
    <n v="19"/>
    <n v="3"/>
    <n v="4"/>
    <n v="80"/>
    <n v="2"/>
    <n v="9"/>
    <x v="2"/>
    <n v="2"/>
    <s v="0-4 Years"/>
    <x v="1"/>
    <s v="0-4 Years"/>
    <x v="6"/>
    <s v="0-4 Years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n v="4936"/>
    <x v="1"/>
    <s v="Low Income"/>
    <s v="Low Income"/>
    <s v="Low Income"/>
    <n v="23965"/>
    <n v="1"/>
    <s v="Y"/>
    <x v="1"/>
    <n v="13"/>
    <n v="3"/>
    <n v="4"/>
    <n v="80"/>
    <n v="1"/>
    <n v="6"/>
    <x v="0"/>
    <n v="6"/>
    <s v="5-9 Years"/>
    <x v="1"/>
    <s v="5-9 Years"/>
    <x v="8"/>
    <s v="5-9 Years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n v="4775"/>
    <x v="1"/>
    <s v="Low Income"/>
    <s v="Low Income"/>
    <s v="Low Income"/>
    <n v="19146"/>
    <n v="6"/>
    <s v="Y"/>
    <x v="1"/>
    <n v="22"/>
    <n v="4"/>
    <n v="1"/>
    <n v="80"/>
    <n v="2"/>
    <n v="4"/>
    <x v="2"/>
    <n v="2"/>
    <s v="0-4 Years"/>
    <x v="0"/>
    <s v="0-4 Years"/>
    <x v="4"/>
    <s v="0-4 Years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n v="2818"/>
    <x v="1"/>
    <s v="Low Income"/>
    <s v="Low Income"/>
    <s v="Low Income"/>
    <n v="5044"/>
    <n v="2"/>
    <s v="Y"/>
    <x v="0"/>
    <n v="24"/>
    <n v="4"/>
    <n v="3"/>
    <n v="80"/>
    <n v="1"/>
    <n v="10"/>
    <x v="2"/>
    <n v="2"/>
    <s v="0-4 Years"/>
    <x v="2"/>
    <s v="0-4 Years"/>
    <x v="11"/>
    <s v="0-4 Years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n v="2515"/>
    <x v="1"/>
    <s v="Low Income"/>
    <s v="Low Income"/>
    <s v="Low Income"/>
    <n v="9068"/>
    <n v="5"/>
    <s v="Y"/>
    <x v="0"/>
    <n v="14"/>
    <n v="3"/>
    <n v="4"/>
    <n v="80"/>
    <n v="0"/>
    <n v="8"/>
    <x v="2"/>
    <n v="2"/>
    <s v="0-4 Years"/>
    <x v="1"/>
    <s v="0-4 Years"/>
    <x v="4"/>
    <s v="0-4 Years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n v="2342"/>
    <x v="1"/>
    <s v="Low Income"/>
    <s v="Low Income"/>
    <s v="Low Income"/>
    <n v="8635"/>
    <n v="0"/>
    <s v="Y"/>
    <x v="1"/>
    <n v="21"/>
    <n v="4"/>
    <n v="3"/>
    <n v="80"/>
    <n v="0"/>
    <n v="6"/>
    <x v="0"/>
    <n v="3"/>
    <s v="5-9 Years"/>
    <x v="1"/>
    <s v="5-9 Years"/>
    <x v="8"/>
    <s v="5-9 Years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x v="3"/>
    <s v="Married"/>
    <n v="4194"/>
    <x v="1"/>
    <s v="Low Income"/>
    <s v="Low Income"/>
    <s v="Low Income"/>
    <n v="14363"/>
    <n v="1"/>
    <s v="Y"/>
    <x v="0"/>
    <n v="18"/>
    <n v="3"/>
    <n v="4"/>
    <n v="80"/>
    <n v="0"/>
    <n v="5"/>
    <x v="0"/>
    <n v="3"/>
    <s v="5-9 Years"/>
    <x v="1"/>
    <s v="5-9 Years"/>
    <x v="8"/>
    <s v="5-9 Years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n v="10685"/>
    <x v="2"/>
    <s v="High Income"/>
    <s v="High Income"/>
    <s v="High Income"/>
    <n v="23457"/>
    <n v="1"/>
    <s v="Y"/>
    <x v="0"/>
    <n v="20"/>
    <n v="4"/>
    <n v="2"/>
    <n v="80"/>
    <n v="1"/>
    <n v="17"/>
    <x v="4"/>
    <n v="2"/>
    <s v="15-24 Years"/>
    <x v="1"/>
    <s v="15-24 Years"/>
    <x v="18"/>
    <s v="15-24 Years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n v="2022"/>
    <x v="1"/>
    <s v="Low Income"/>
    <s v="Low Income"/>
    <s v="Low Income"/>
    <n v="16612"/>
    <n v="1"/>
    <s v="Y"/>
    <x v="0"/>
    <n v="19"/>
    <n v="3"/>
    <n v="1"/>
    <n v="80"/>
    <n v="1"/>
    <n v="10"/>
    <x v="1"/>
    <n v="3"/>
    <s v="10-14 Years"/>
    <x v="2"/>
    <s v="10-14 Years"/>
    <x v="1"/>
    <s v="10-14 Years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n v="2314"/>
    <x v="1"/>
    <s v="Low Income"/>
    <s v="Low Income"/>
    <s v="Low Income"/>
    <n v="9148"/>
    <n v="0"/>
    <s v="Y"/>
    <x v="1"/>
    <n v="12"/>
    <n v="3"/>
    <n v="2"/>
    <n v="80"/>
    <n v="1"/>
    <n v="4"/>
    <x v="2"/>
    <n v="2"/>
    <s v="0-4 Years"/>
    <x v="1"/>
    <s v="0-4 Years"/>
    <x v="11"/>
    <s v="0-4 Years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n v="4256"/>
    <x v="1"/>
    <s v="Low Income"/>
    <s v="Low Income"/>
    <s v="Low Income"/>
    <n v="18154"/>
    <n v="1"/>
    <s v="Y"/>
    <x v="1"/>
    <n v="12"/>
    <n v="3"/>
    <n v="1"/>
    <n v="80"/>
    <n v="0"/>
    <n v="5"/>
    <x v="0"/>
    <n v="1"/>
    <s v="5-9 Years"/>
    <x v="3"/>
    <s v="5-9 Years"/>
    <x v="8"/>
    <s v="5-9 Years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n v="3580"/>
    <x v="1"/>
    <s v="Low Income"/>
    <s v="Low Income"/>
    <s v="Low Income"/>
    <n v="10554"/>
    <n v="2"/>
    <s v="Y"/>
    <x v="1"/>
    <n v="16"/>
    <n v="3"/>
    <n v="2"/>
    <n v="80"/>
    <n v="1"/>
    <n v="7"/>
    <x v="2"/>
    <n v="2"/>
    <s v="0-4 Years"/>
    <x v="1"/>
    <s v="0-4 Years"/>
    <x v="9"/>
    <s v="0-4 Years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n v="3162"/>
    <x v="1"/>
    <s v="Low Income"/>
    <s v="Low Income"/>
    <s v="Low Income"/>
    <n v="10778"/>
    <n v="0"/>
    <s v="Y"/>
    <x v="1"/>
    <n v="17"/>
    <n v="3"/>
    <n v="4"/>
    <n v="80"/>
    <n v="0"/>
    <n v="6"/>
    <x v="0"/>
    <n v="2"/>
    <s v="5-9 Years"/>
    <x v="2"/>
    <s v="5-9 Years"/>
    <x v="8"/>
    <s v="5-9 Years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n v="6524"/>
    <x v="0"/>
    <s v="Medium Income"/>
    <s v="Medium Income"/>
    <s v="Medium Income"/>
    <n v="8891"/>
    <n v="1"/>
    <s v="Y"/>
    <x v="1"/>
    <n v="14"/>
    <n v="3"/>
    <n v="4"/>
    <n v="80"/>
    <n v="1"/>
    <n v="10"/>
    <x v="1"/>
    <n v="3"/>
    <s v="10-14 Years"/>
    <x v="1"/>
    <s v="10-14 Years"/>
    <x v="1"/>
    <s v="10-14 Years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n v="2899"/>
    <x v="1"/>
    <s v="Low Income"/>
    <s v="Low Income"/>
    <s v="Low Income"/>
    <n v="12102"/>
    <n v="0"/>
    <s v="Y"/>
    <x v="1"/>
    <n v="19"/>
    <n v="3"/>
    <n v="4"/>
    <n v="80"/>
    <n v="1"/>
    <n v="3"/>
    <x v="2"/>
    <n v="3"/>
    <s v="0-4 Years"/>
    <x v="1"/>
    <s v="0-4 Years"/>
    <x v="4"/>
    <s v="0-4 Years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n v="5231"/>
    <x v="0"/>
    <s v="Medium Income"/>
    <s v="Medium Income"/>
    <s v="Medium Income"/>
    <n v="23726"/>
    <n v="2"/>
    <s v="Y"/>
    <x v="0"/>
    <n v="13"/>
    <n v="3"/>
    <n v="2"/>
    <n v="80"/>
    <n v="1"/>
    <n v="17"/>
    <x v="0"/>
    <n v="1"/>
    <s v="5-9 Years"/>
    <x v="2"/>
    <s v="5-9 Years"/>
    <x v="8"/>
    <s v="5-9 Years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n v="2356"/>
    <x v="1"/>
    <s v="Low Income"/>
    <s v="Low Income"/>
    <s v="Low Income"/>
    <n v="14871"/>
    <n v="3"/>
    <s v="Y"/>
    <x v="0"/>
    <n v="19"/>
    <n v="3"/>
    <n v="2"/>
    <n v="80"/>
    <n v="1"/>
    <n v="8"/>
    <x v="0"/>
    <n v="2"/>
    <s v="5-9 Years"/>
    <x v="1"/>
    <s v="5-9 Years"/>
    <x v="0"/>
    <s v="5-9 Years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n v="2800"/>
    <x v="1"/>
    <s v="Low Income"/>
    <s v="Low Income"/>
    <s v="Low Income"/>
    <n v="23522"/>
    <n v="6"/>
    <s v="Y"/>
    <x v="0"/>
    <n v="19"/>
    <n v="3"/>
    <n v="3"/>
    <n v="80"/>
    <n v="3"/>
    <n v="5"/>
    <x v="2"/>
    <n v="3"/>
    <s v="0-4 Years"/>
    <x v="1"/>
    <s v="0-4 Years"/>
    <x v="11"/>
    <s v="0-4 Years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n v="11836"/>
    <x v="2"/>
    <s v="High Income"/>
    <s v="High Income"/>
    <s v="High Income"/>
    <n v="22789"/>
    <n v="5"/>
    <s v="Y"/>
    <x v="1"/>
    <n v="14"/>
    <n v="3"/>
    <n v="3"/>
    <n v="80"/>
    <n v="1"/>
    <n v="28"/>
    <x v="2"/>
    <n v="3"/>
    <s v="0-4 Years"/>
    <x v="1"/>
    <s v="0-4 Years"/>
    <x v="4"/>
    <s v="0-4 Years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n v="10903"/>
    <x v="2"/>
    <s v="High Income"/>
    <s v="High Income"/>
    <s v="High Income"/>
    <n v="9129"/>
    <n v="3"/>
    <s v="Y"/>
    <x v="1"/>
    <n v="16"/>
    <n v="3"/>
    <n v="1"/>
    <n v="80"/>
    <n v="0"/>
    <n v="16"/>
    <x v="1"/>
    <n v="2"/>
    <s v="10-14 Years"/>
    <x v="1"/>
    <s v="10-14 Years"/>
    <x v="20"/>
    <s v="10-14 Years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n v="2973"/>
    <x v="1"/>
    <s v="Low Income"/>
    <s v="Low Income"/>
    <s v="Low Income"/>
    <n v="21222"/>
    <n v="5"/>
    <s v="Y"/>
    <x v="1"/>
    <n v="15"/>
    <n v="3"/>
    <n v="2"/>
    <n v="80"/>
    <n v="1"/>
    <n v="10"/>
    <x v="0"/>
    <n v="3"/>
    <s v="5-9 Years"/>
    <x v="1"/>
    <s v="5-9 Years"/>
    <x v="8"/>
    <s v="5-9 Years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n v="14275"/>
    <x v="2"/>
    <s v="High Income"/>
    <s v="High Income"/>
    <s v="High Income"/>
    <n v="20206"/>
    <n v="6"/>
    <s v="Y"/>
    <x v="1"/>
    <n v="18"/>
    <n v="3"/>
    <n v="3"/>
    <n v="80"/>
    <n v="0"/>
    <n v="33"/>
    <x v="1"/>
    <n v="0"/>
    <s v="10-14 Years"/>
    <x v="1"/>
    <s v="10-14 Years"/>
    <x v="12"/>
    <s v="10-14 Years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n v="5562"/>
    <x v="0"/>
    <s v="Medium Income"/>
    <s v="Medium Income"/>
    <s v="Medium Income"/>
    <n v="21782"/>
    <n v="4"/>
    <s v="Y"/>
    <x v="1"/>
    <n v="13"/>
    <n v="3"/>
    <n v="2"/>
    <n v="80"/>
    <n v="1"/>
    <n v="12"/>
    <x v="0"/>
    <n v="2"/>
    <s v="5-9 Years"/>
    <x v="2"/>
    <s v="5-9 Years"/>
    <x v="8"/>
    <s v="5-9 Years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n v="4537"/>
    <x v="1"/>
    <s v="Low Income"/>
    <s v="Low Income"/>
    <s v="Low Income"/>
    <n v="17783"/>
    <n v="0"/>
    <s v="Y"/>
    <x v="0"/>
    <n v="22"/>
    <n v="4"/>
    <n v="1"/>
    <n v="80"/>
    <n v="1"/>
    <n v="8"/>
    <x v="0"/>
    <n v="2"/>
    <s v="5-9 Years"/>
    <x v="1"/>
    <s v="5-9 Years"/>
    <x v="5"/>
    <s v="5-9 Years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x v="1"/>
    <s v="Single"/>
    <n v="7642"/>
    <x v="0"/>
    <s v="Medium Income"/>
    <s v="Medium Income"/>
    <s v="Medium Income"/>
    <n v="4814"/>
    <n v="1"/>
    <s v="Y"/>
    <x v="0"/>
    <n v="13"/>
    <n v="3"/>
    <n v="4"/>
    <n v="80"/>
    <n v="0"/>
    <n v="10"/>
    <x v="1"/>
    <n v="2"/>
    <s v="10-14 Years"/>
    <x v="1"/>
    <s v="10-14 Years"/>
    <x v="1"/>
    <s v="10-14 Years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n v="17924"/>
    <x v="2"/>
    <s v="High Income"/>
    <s v="High Income"/>
    <s v="High Income"/>
    <n v="4544"/>
    <n v="1"/>
    <s v="Y"/>
    <x v="1"/>
    <n v="11"/>
    <n v="3"/>
    <n v="4"/>
    <n v="80"/>
    <n v="1"/>
    <n v="31"/>
    <x v="3"/>
    <n v="3"/>
    <s v="25+ Years"/>
    <x v="1"/>
    <s v="25+ Years"/>
    <x v="31"/>
    <s v="25+ Years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n v="5204"/>
    <x v="0"/>
    <s v="Medium Income"/>
    <s v="Medium Income"/>
    <s v="Medium Income"/>
    <n v="7790"/>
    <n v="8"/>
    <s v="Y"/>
    <x v="1"/>
    <n v="11"/>
    <n v="3"/>
    <n v="3"/>
    <n v="80"/>
    <n v="2"/>
    <n v="13"/>
    <x v="0"/>
    <n v="2"/>
    <s v="5-9 Years"/>
    <x v="1"/>
    <s v="5-9 Years"/>
    <x v="8"/>
    <s v="5-9 Years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n v="2277"/>
    <x v="1"/>
    <s v="Low Income"/>
    <s v="Low Income"/>
    <s v="Low Income"/>
    <n v="22650"/>
    <n v="3"/>
    <s v="Y"/>
    <x v="0"/>
    <n v="11"/>
    <n v="3"/>
    <n v="3"/>
    <n v="80"/>
    <n v="1"/>
    <n v="7"/>
    <x v="2"/>
    <n v="4"/>
    <s v="0-4 Years"/>
    <x v="3"/>
    <s v="0-4 Years"/>
    <x v="9"/>
    <s v="0-4 Years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n v="2795"/>
    <x v="1"/>
    <s v="Low Income"/>
    <s v="Low Income"/>
    <s v="Low Income"/>
    <n v="18016"/>
    <n v="1"/>
    <s v="Y"/>
    <x v="0"/>
    <n v="24"/>
    <n v="4"/>
    <n v="3"/>
    <n v="80"/>
    <n v="0"/>
    <n v="1"/>
    <x v="2"/>
    <n v="2"/>
    <s v="0-4 Years"/>
    <x v="0"/>
    <s v="0-4 Years"/>
    <x v="6"/>
    <s v="0-4 Years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n v="2532"/>
    <x v="1"/>
    <s v="Low Income"/>
    <s v="Low Income"/>
    <s v="Low Income"/>
    <n v="6054"/>
    <n v="6"/>
    <s v="Y"/>
    <x v="1"/>
    <n v="14"/>
    <n v="3"/>
    <n v="3"/>
    <n v="80"/>
    <n v="3"/>
    <n v="8"/>
    <x v="2"/>
    <n v="5"/>
    <s v="0-4 Years"/>
    <x v="1"/>
    <s v="0-4 Years"/>
    <x v="9"/>
    <s v="0-4 Years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n v="2559"/>
    <x v="1"/>
    <s v="Low Income"/>
    <s v="Low Income"/>
    <s v="Low Income"/>
    <n v="7508"/>
    <n v="1"/>
    <s v="Y"/>
    <x v="0"/>
    <n v="13"/>
    <n v="3"/>
    <n v="4"/>
    <n v="80"/>
    <n v="0"/>
    <n v="8"/>
    <x v="0"/>
    <n v="0"/>
    <s v="5-9 Years"/>
    <x v="1"/>
    <s v="5-9 Years"/>
    <x v="3"/>
    <s v="5-9 Years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n v="4908"/>
    <x v="1"/>
    <s v="Low Income"/>
    <s v="Low Income"/>
    <s v="Low Income"/>
    <n v="24252"/>
    <n v="1"/>
    <s v="Y"/>
    <x v="1"/>
    <n v="14"/>
    <n v="3"/>
    <n v="2"/>
    <n v="80"/>
    <n v="0"/>
    <n v="4"/>
    <x v="2"/>
    <n v="3"/>
    <s v="0-4 Years"/>
    <x v="1"/>
    <s v="0-4 Years"/>
    <x v="9"/>
    <s v="0-4 Years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n v="2380"/>
    <x v="1"/>
    <s v="Low Income"/>
    <s v="Low Income"/>
    <s v="Low Income"/>
    <n v="13384"/>
    <n v="9"/>
    <s v="Y"/>
    <x v="0"/>
    <n v="14"/>
    <n v="3"/>
    <n v="4"/>
    <n v="80"/>
    <n v="1"/>
    <n v="3"/>
    <x v="2"/>
    <n v="3"/>
    <s v="0-4 Years"/>
    <x v="2"/>
    <s v="0-4 Years"/>
    <x v="6"/>
    <s v="0-4 Years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n v="4765"/>
    <x v="1"/>
    <s v="Low Income"/>
    <s v="Low Income"/>
    <s v="Low Income"/>
    <n v="23814"/>
    <n v="4"/>
    <s v="Y"/>
    <x v="1"/>
    <n v="21"/>
    <n v="4"/>
    <n v="3"/>
    <n v="80"/>
    <n v="1"/>
    <n v="4"/>
    <x v="2"/>
    <n v="2"/>
    <s v="0-4 Years"/>
    <x v="3"/>
    <s v="0-4 Years"/>
    <x v="6"/>
    <s v="0-4 Years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n v="2044"/>
    <x v="1"/>
    <s v="Low Income"/>
    <s v="Low Income"/>
    <s v="Low Income"/>
    <n v="22052"/>
    <n v="1"/>
    <s v="Y"/>
    <x v="1"/>
    <n v="13"/>
    <n v="3"/>
    <n v="4"/>
    <n v="80"/>
    <n v="0"/>
    <n v="2"/>
    <x v="2"/>
    <n v="3"/>
    <s v="0-4 Years"/>
    <x v="2"/>
    <s v="0-4 Years"/>
    <x v="4"/>
    <s v="0-4 Years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n v="2693"/>
    <x v="1"/>
    <s v="Low Income"/>
    <s v="Low Income"/>
    <s v="Low Income"/>
    <n v="8870"/>
    <n v="1"/>
    <s v="Y"/>
    <x v="1"/>
    <n v="19"/>
    <n v="3"/>
    <n v="1"/>
    <n v="80"/>
    <n v="0"/>
    <n v="1"/>
    <x v="2"/>
    <n v="3"/>
    <s v="0-4 Years"/>
    <x v="2"/>
    <s v="0-4 Years"/>
    <x v="6"/>
    <s v="0-4 Years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n v="6586"/>
    <x v="0"/>
    <s v="Medium Income"/>
    <s v="Medium Income"/>
    <s v="Medium Income"/>
    <n v="4821"/>
    <n v="0"/>
    <s v="Y"/>
    <x v="0"/>
    <n v="17"/>
    <n v="3"/>
    <n v="1"/>
    <n v="80"/>
    <n v="1"/>
    <n v="17"/>
    <x v="4"/>
    <n v="2"/>
    <s v="15-24 Years"/>
    <x v="2"/>
    <s v="15-24 Years"/>
    <x v="22"/>
    <s v="15-24 Years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n v="3294"/>
    <x v="1"/>
    <s v="Low Income"/>
    <s v="Low Income"/>
    <s v="Low Income"/>
    <n v="13137"/>
    <n v="1"/>
    <s v="Y"/>
    <x v="0"/>
    <n v="18"/>
    <n v="3"/>
    <n v="1"/>
    <n v="80"/>
    <n v="0"/>
    <n v="3"/>
    <x v="2"/>
    <n v="3"/>
    <s v="0-4 Years"/>
    <x v="2"/>
    <s v="0-4 Years"/>
    <x v="11"/>
    <s v="0-4 Years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n v="4171"/>
    <x v="1"/>
    <s v="Low Income"/>
    <s v="Low Income"/>
    <s v="Low Income"/>
    <n v="10022"/>
    <n v="0"/>
    <s v="Y"/>
    <x v="0"/>
    <n v="19"/>
    <n v="3"/>
    <n v="1"/>
    <n v="80"/>
    <n v="1"/>
    <n v="4"/>
    <x v="2"/>
    <n v="3"/>
    <s v="0-4 Years"/>
    <x v="3"/>
    <s v="0-4 Years"/>
    <x v="11"/>
    <s v="0-4 Years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n v="2778"/>
    <x v="1"/>
    <s v="Low Income"/>
    <s v="Low Income"/>
    <s v="Low Income"/>
    <n v="17725"/>
    <n v="4"/>
    <s v="Y"/>
    <x v="0"/>
    <n v="13"/>
    <n v="3"/>
    <n v="3"/>
    <n v="80"/>
    <n v="1"/>
    <n v="10"/>
    <x v="0"/>
    <n v="1"/>
    <s v="5-9 Years"/>
    <x v="2"/>
    <s v="5-9 Years"/>
    <x v="5"/>
    <s v="5-9 Years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n v="2377"/>
    <x v="1"/>
    <s v="Low Income"/>
    <s v="Low Income"/>
    <s v="Low Income"/>
    <n v="9834"/>
    <n v="5"/>
    <s v="Y"/>
    <x v="1"/>
    <n v="18"/>
    <n v="3"/>
    <n v="2"/>
    <n v="80"/>
    <n v="1"/>
    <n v="6"/>
    <x v="2"/>
    <n v="2"/>
    <s v="0-4 Years"/>
    <x v="1"/>
    <s v="0-4 Years"/>
    <x v="4"/>
    <s v="0-4 Years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n v="2404"/>
    <x v="1"/>
    <s v="Low Income"/>
    <s v="Low Income"/>
    <s v="Low Income"/>
    <n v="4303"/>
    <n v="7"/>
    <s v="Y"/>
    <x v="0"/>
    <n v="21"/>
    <n v="4"/>
    <n v="4"/>
    <n v="80"/>
    <n v="0"/>
    <n v="8"/>
    <x v="2"/>
    <n v="2"/>
    <s v="0-4 Years"/>
    <x v="0"/>
    <s v="0-4 Years"/>
    <x v="4"/>
    <s v="0-4 Years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n v="2318"/>
    <x v="1"/>
    <s v="Low Income"/>
    <s v="Low Income"/>
    <s v="Low Income"/>
    <n v="17808"/>
    <n v="1"/>
    <s v="Y"/>
    <x v="1"/>
    <n v="19"/>
    <n v="3"/>
    <n v="3"/>
    <n v="80"/>
    <n v="0"/>
    <n v="1"/>
    <x v="2"/>
    <n v="2"/>
    <s v="0-4 Years"/>
    <x v="1"/>
    <s v="0-4 Years"/>
    <x v="6"/>
    <s v="0-4 Years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n v="2008"/>
    <x v="1"/>
    <s v="Low Income"/>
    <s v="Low Income"/>
    <s v="Low Income"/>
    <n v="6896"/>
    <n v="1"/>
    <s v="Y"/>
    <x v="1"/>
    <n v="14"/>
    <n v="3"/>
    <n v="2"/>
    <n v="80"/>
    <n v="2"/>
    <n v="1"/>
    <x v="2"/>
    <n v="3"/>
    <s v="0-4 Years"/>
    <x v="1"/>
    <s v="0-4 Years"/>
    <x v="6"/>
    <s v="0-4 Years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n v="6244"/>
    <x v="0"/>
    <s v="Medium Income"/>
    <s v="Medium Income"/>
    <s v="Medium Income"/>
    <n v="7824"/>
    <n v="7"/>
    <s v="Y"/>
    <x v="1"/>
    <n v="17"/>
    <n v="3"/>
    <n v="1"/>
    <n v="80"/>
    <n v="0"/>
    <n v="10"/>
    <x v="0"/>
    <n v="6"/>
    <s v="5-9 Years"/>
    <x v="1"/>
    <s v="5-9 Years"/>
    <x v="8"/>
    <s v="5-9 Years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n v="2799"/>
    <x v="1"/>
    <s v="Low Income"/>
    <s v="Low Income"/>
    <s v="Low Income"/>
    <n v="3339"/>
    <n v="3"/>
    <s v="Y"/>
    <x v="0"/>
    <n v="11"/>
    <n v="3"/>
    <n v="2"/>
    <n v="80"/>
    <n v="0"/>
    <n v="6"/>
    <x v="2"/>
    <n v="1"/>
    <s v="0-4 Years"/>
    <x v="1"/>
    <s v="0-4 Years"/>
    <x v="11"/>
    <s v="0-4 Years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n v="10552"/>
    <x v="2"/>
    <s v="High Income"/>
    <s v="High Income"/>
    <s v="High Income"/>
    <n v="9255"/>
    <n v="2"/>
    <s v="Y"/>
    <x v="0"/>
    <n v="13"/>
    <n v="3"/>
    <n v="4"/>
    <n v="80"/>
    <n v="1"/>
    <n v="24"/>
    <x v="0"/>
    <n v="3"/>
    <s v="5-9 Years"/>
    <x v="1"/>
    <s v="5-9 Years"/>
    <x v="0"/>
    <s v="5-9 Years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n v="2329"/>
    <x v="1"/>
    <s v="Low Income"/>
    <s v="Low Income"/>
    <s v="Low Income"/>
    <n v="11737"/>
    <n v="3"/>
    <s v="Y"/>
    <x v="1"/>
    <n v="15"/>
    <n v="3"/>
    <n v="2"/>
    <n v="80"/>
    <n v="0"/>
    <n v="13"/>
    <x v="0"/>
    <n v="2"/>
    <s v="5-9 Years"/>
    <x v="3"/>
    <s v="5-9 Years"/>
    <x v="5"/>
    <s v="5-9 Years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n v="4014"/>
    <x v="1"/>
    <s v="Low Income"/>
    <s v="Low Income"/>
    <s v="Low Income"/>
    <n v="19170"/>
    <n v="1"/>
    <s v="Y"/>
    <x v="0"/>
    <n v="25"/>
    <n v="4"/>
    <n v="4"/>
    <n v="80"/>
    <n v="1"/>
    <n v="10"/>
    <x v="1"/>
    <n v="2"/>
    <s v="10-14 Years"/>
    <x v="0"/>
    <s v="10-14 Years"/>
    <x v="1"/>
    <s v="10-14 Years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n v="7403"/>
    <x v="0"/>
    <s v="Medium Income"/>
    <s v="Medium Income"/>
    <s v="Medium Income"/>
    <n v="22477"/>
    <n v="4"/>
    <s v="Y"/>
    <x v="1"/>
    <n v="11"/>
    <n v="3"/>
    <n v="3"/>
    <n v="80"/>
    <n v="1"/>
    <n v="29"/>
    <x v="3"/>
    <n v="3"/>
    <s v="25+ Years"/>
    <x v="2"/>
    <s v="25+ Years"/>
    <x v="34"/>
    <s v="25+ Years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n v="2259"/>
    <x v="1"/>
    <s v="Low Income"/>
    <s v="Low Income"/>
    <s v="Low Income"/>
    <n v="5543"/>
    <n v="4"/>
    <s v="Y"/>
    <x v="1"/>
    <n v="17"/>
    <n v="3"/>
    <n v="1"/>
    <n v="80"/>
    <n v="2"/>
    <n v="13"/>
    <x v="2"/>
    <n v="2"/>
    <s v="0-4 Years"/>
    <x v="2"/>
    <s v="0-4 Years"/>
    <x v="2"/>
    <s v="0-4 Years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n v="6932"/>
    <x v="0"/>
    <s v="Medium Income"/>
    <s v="Medium Income"/>
    <s v="Medium Income"/>
    <n v="24406"/>
    <n v="1"/>
    <s v="Y"/>
    <x v="1"/>
    <n v="13"/>
    <n v="3"/>
    <n v="4"/>
    <n v="80"/>
    <n v="1"/>
    <n v="9"/>
    <x v="0"/>
    <n v="2"/>
    <s v="5-9 Years"/>
    <x v="2"/>
    <s v="5-9 Years"/>
    <x v="7"/>
    <s v="5-9 Years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x v="0"/>
    <s v="Single"/>
    <n v="4678"/>
    <x v="1"/>
    <s v="Low Income"/>
    <s v="Low Income"/>
    <s v="Low Income"/>
    <n v="23293"/>
    <n v="2"/>
    <s v="Y"/>
    <x v="1"/>
    <n v="18"/>
    <n v="3"/>
    <n v="3"/>
    <n v="80"/>
    <n v="0"/>
    <n v="8"/>
    <x v="0"/>
    <n v="6"/>
    <s v="5-9 Years"/>
    <x v="1"/>
    <s v="5-9 Years"/>
    <x v="0"/>
    <s v="5-9 Years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n v="13582"/>
    <x v="2"/>
    <s v="High Income"/>
    <s v="High Income"/>
    <s v="High Income"/>
    <n v="16292"/>
    <n v="1"/>
    <s v="Y"/>
    <x v="1"/>
    <n v="13"/>
    <n v="3"/>
    <n v="2"/>
    <n v="80"/>
    <n v="1"/>
    <n v="15"/>
    <x v="4"/>
    <n v="3"/>
    <s v="15-24 Years"/>
    <x v="1"/>
    <s v="15-24 Years"/>
    <x v="15"/>
    <s v="15-24 Years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n v="2332"/>
    <x v="1"/>
    <s v="Low Income"/>
    <s v="Low Income"/>
    <s v="Low Income"/>
    <n v="3974"/>
    <n v="6"/>
    <s v="Y"/>
    <x v="1"/>
    <n v="20"/>
    <n v="4"/>
    <n v="3"/>
    <n v="80"/>
    <n v="0"/>
    <n v="5"/>
    <x v="2"/>
    <n v="3"/>
    <s v="0-4 Years"/>
    <x v="1"/>
    <s v="0-4 Years"/>
    <x v="11"/>
    <s v="0-4 Years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n v="2413"/>
    <x v="1"/>
    <s v="Low Income"/>
    <s v="Low Income"/>
    <s v="Low Income"/>
    <n v="18798"/>
    <n v="1"/>
    <s v="Y"/>
    <x v="0"/>
    <n v="18"/>
    <n v="3"/>
    <n v="3"/>
    <n v="80"/>
    <n v="3"/>
    <n v="1"/>
    <x v="2"/>
    <n v="2"/>
    <s v="0-4 Years"/>
    <x v="1"/>
    <s v="0-4 Years"/>
    <x v="6"/>
    <s v="0-4 Years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n v="9705"/>
    <x v="0"/>
    <s v="Medium Income"/>
    <s v="Medium Income"/>
    <s v="Medium Income"/>
    <n v="20652"/>
    <n v="2"/>
    <s v="Y"/>
    <x v="1"/>
    <n v="12"/>
    <n v="3"/>
    <n v="2"/>
    <n v="80"/>
    <n v="1"/>
    <n v="11"/>
    <x v="2"/>
    <n v="2"/>
    <s v="0-4 Years"/>
    <x v="2"/>
    <s v="0-4 Years"/>
    <x v="6"/>
    <s v="0-4 Years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n v="4294"/>
    <x v="1"/>
    <s v="Low Income"/>
    <s v="Low Income"/>
    <s v="Low Income"/>
    <n v="11148"/>
    <n v="1"/>
    <s v="Y"/>
    <x v="1"/>
    <n v="12"/>
    <n v="3"/>
    <n v="2"/>
    <n v="80"/>
    <n v="0"/>
    <n v="7"/>
    <x v="0"/>
    <n v="2"/>
    <s v="5-9 Years"/>
    <x v="1"/>
    <s v="5-9 Years"/>
    <x v="5"/>
    <s v="5-9 Years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n v="4721"/>
    <x v="1"/>
    <s v="Low Income"/>
    <s v="Low Income"/>
    <s v="Low Income"/>
    <n v="3119"/>
    <n v="2"/>
    <s v="Y"/>
    <x v="0"/>
    <n v="13"/>
    <n v="3"/>
    <n v="3"/>
    <n v="80"/>
    <n v="0"/>
    <n v="20"/>
    <x v="4"/>
    <n v="3"/>
    <s v="15-24 Years"/>
    <x v="1"/>
    <s v="15-24 Years"/>
    <x v="29"/>
    <s v="15-24 Years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n v="2519"/>
    <x v="1"/>
    <s v="Low Income"/>
    <s v="Low Income"/>
    <s v="Low Income"/>
    <n v="12287"/>
    <n v="4"/>
    <s v="Y"/>
    <x v="1"/>
    <n v="21"/>
    <n v="4"/>
    <n v="3"/>
    <n v="80"/>
    <n v="0"/>
    <n v="16"/>
    <x v="1"/>
    <n v="6"/>
    <s v="10-14 Years"/>
    <x v="1"/>
    <s v="10-14 Years"/>
    <x v="19"/>
    <s v="10-14 Years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x v="1"/>
    <s v="Single"/>
    <n v="2121"/>
    <x v="1"/>
    <s v="Low Income"/>
    <s v="Low Income"/>
    <s v="Low Income"/>
    <n v="9947"/>
    <n v="1"/>
    <s v="Y"/>
    <x v="0"/>
    <n v="13"/>
    <n v="3"/>
    <n v="2"/>
    <n v="80"/>
    <n v="0"/>
    <n v="1"/>
    <x v="2"/>
    <n v="3"/>
    <s v="0-4 Years"/>
    <x v="3"/>
    <s v="0-4 Years"/>
    <x v="6"/>
    <s v="0-4 Years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n v="2973"/>
    <x v="1"/>
    <s v="Low Income"/>
    <s v="Low Income"/>
    <s v="Low Income"/>
    <n v="13008"/>
    <n v="1"/>
    <s v="Y"/>
    <x v="1"/>
    <n v="19"/>
    <n v="3"/>
    <n v="2"/>
    <n v="80"/>
    <n v="0"/>
    <n v="1"/>
    <x v="2"/>
    <n v="2"/>
    <s v="0-4 Years"/>
    <x v="1"/>
    <s v="0-4 Years"/>
    <x v="6"/>
    <s v="0-4 Years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n v="5855"/>
    <x v="0"/>
    <s v="Medium Income"/>
    <s v="Medium Income"/>
    <s v="Medium Income"/>
    <n v="17369"/>
    <n v="0"/>
    <s v="Y"/>
    <x v="0"/>
    <n v="11"/>
    <n v="3"/>
    <n v="3"/>
    <n v="80"/>
    <n v="2"/>
    <n v="10"/>
    <x v="0"/>
    <n v="2"/>
    <s v="5-9 Years"/>
    <x v="0"/>
    <s v="5-9 Years"/>
    <x v="7"/>
    <s v="5-9 Years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n v="3617"/>
    <x v="1"/>
    <s v="Low Income"/>
    <s v="Low Income"/>
    <s v="Low Income"/>
    <n v="25063"/>
    <n v="8"/>
    <s v="Y"/>
    <x v="0"/>
    <n v="14"/>
    <n v="3"/>
    <n v="4"/>
    <n v="80"/>
    <n v="1"/>
    <n v="3"/>
    <x v="2"/>
    <n v="2"/>
    <s v="0-4 Years"/>
    <x v="1"/>
    <s v="0-4 Years"/>
    <x v="6"/>
    <s v="0-4 Years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n v="6725"/>
    <x v="0"/>
    <s v="Medium Income"/>
    <s v="Medium Income"/>
    <s v="Medium Income"/>
    <n v="13554"/>
    <n v="1"/>
    <s v="Y"/>
    <x v="1"/>
    <n v="12"/>
    <n v="3"/>
    <n v="3"/>
    <n v="80"/>
    <n v="1"/>
    <n v="8"/>
    <x v="0"/>
    <n v="2"/>
    <s v="5-9 Years"/>
    <x v="3"/>
    <s v="5-9 Years"/>
    <x v="3"/>
    <s v="5-9 Years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n v="10325"/>
    <x v="2"/>
    <s v="High Income"/>
    <s v="High Income"/>
    <s v="High Income"/>
    <n v="5518"/>
    <n v="1"/>
    <s v="Y"/>
    <x v="0"/>
    <n v="11"/>
    <n v="3"/>
    <n v="1"/>
    <n v="80"/>
    <n v="1"/>
    <n v="16"/>
    <x v="4"/>
    <n v="6"/>
    <s v="15-24 Years"/>
    <x v="1"/>
    <s v="15-24 Years"/>
    <x v="22"/>
    <s v="15-24 Years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n v="6949"/>
    <x v="0"/>
    <s v="Medium Income"/>
    <s v="Medium Income"/>
    <s v="Medium Income"/>
    <n v="12291"/>
    <n v="0"/>
    <s v="Y"/>
    <x v="1"/>
    <n v="14"/>
    <n v="3"/>
    <n v="1"/>
    <n v="80"/>
    <n v="0"/>
    <n v="6"/>
    <x v="0"/>
    <n v="3"/>
    <s v="5-9 Years"/>
    <x v="1"/>
    <s v="5-9 Years"/>
    <x v="8"/>
    <s v="5-9 Years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n v="10609"/>
    <x v="2"/>
    <s v="High Income"/>
    <s v="High Income"/>
    <s v="High Income"/>
    <n v="14922"/>
    <n v="5"/>
    <s v="Y"/>
    <x v="1"/>
    <n v="11"/>
    <n v="3"/>
    <n v="3"/>
    <n v="80"/>
    <n v="0"/>
    <n v="17"/>
    <x v="1"/>
    <n v="2"/>
    <s v="10-14 Years"/>
    <x v="0"/>
    <s v="10-14 Years"/>
    <x v="13"/>
    <s v="10-14 Years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n v="4447"/>
    <x v="1"/>
    <s v="Low Income"/>
    <s v="Low Income"/>
    <s v="Low Income"/>
    <n v="23163"/>
    <n v="1"/>
    <s v="Y"/>
    <x v="1"/>
    <n v="12"/>
    <n v="3"/>
    <n v="2"/>
    <n v="80"/>
    <n v="0"/>
    <n v="9"/>
    <x v="0"/>
    <n v="5"/>
    <s v="5-9 Years"/>
    <x v="2"/>
    <s v="5-9 Years"/>
    <x v="7"/>
    <s v="5-9 Years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n v="2157"/>
    <x v="1"/>
    <s v="Low Income"/>
    <s v="Low Income"/>
    <s v="Low Income"/>
    <n v="18203"/>
    <n v="1"/>
    <s v="Y"/>
    <x v="1"/>
    <n v="15"/>
    <n v="3"/>
    <n v="2"/>
    <n v="80"/>
    <n v="1"/>
    <n v="3"/>
    <x v="2"/>
    <n v="5"/>
    <s v="0-4 Years"/>
    <x v="1"/>
    <s v="0-4 Years"/>
    <x v="11"/>
    <s v="0-4 Years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n v="4601"/>
    <x v="1"/>
    <s v="Low Income"/>
    <s v="Low Income"/>
    <s v="Low Income"/>
    <n v="6179"/>
    <n v="1"/>
    <s v="Y"/>
    <x v="1"/>
    <n v="16"/>
    <n v="3"/>
    <n v="2"/>
    <n v="80"/>
    <n v="0"/>
    <n v="5"/>
    <x v="0"/>
    <n v="3"/>
    <s v="5-9 Years"/>
    <x v="1"/>
    <s v="5-9 Years"/>
    <x v="8"/>
    <s v="5-9 Years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n v="17099"/>
    <x v="2"/>
    <s v="High Income"/>
    <s v="High Income"/>
    <s v="High Income"/>
    <n v="13829"/>
    <n v="2"/>
    <s v="Y"/>
    <x v="1"/>
    <n v="15"/>
    <n v="3"/>
    <n v="2"/>
    <n v="80"/>
    <n v="1"/>
    <n v="26"/>
    <x v="0"/>
    <n v="2"/>
    <s v="5-9 Years"/>
    <x v="2"/>
    <s v="5-9 Years"/>
    <x v="7"/>
    <s v="5-9 Years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n v="2479"/>
    <x v="1"/>
    <s v="Low Income"/>
    <s v="Low Income"/>
    <s v="Low Income"/>
    <n v="26227"/>
    <n v="4"/>
    <s v="Y"/>
    <x v="1"/>
    <n v="24"/>
    <n v="4"/>
    <n v="1"/>
    <n v="80"/>
    <n v="0"/>
    <n v="7"/>
    <x v="2"/>
    <n v="4"/>
    <s v="0-4 Years"/>
    <x v="1"/>
    <s v="0-4 Years"/>
    <x v="6"/>
    <s v="0-4 Years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n v="14852"/>
    <x v="2"/>
    <s v="High Income"/>
    <s v="High Income"/>
    <s v="High Income"/>
    <n v="13938"/>
    <n v="6"/>
    <s v="Y"/>
    <x v="1"/>
    <n v="13"/>
    <n v="3"/>
    <n v="3"/>
    <n v="80"/>
    <n v="1"/>
    <n v="22"/>
    <x v="4"/>
    <n v="3"/>
    <s v="15-24 Years"/>
    <x v="3"/>
    <s v="15-24 Years"/>
    <x v="18"/>
    <s v="15-24 Years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n v="7264"/>
    <x v="0"/>
    <s v="Medium Income"/>
    <s v="Medium Income"/>
    <s v="Medium Income"/>
    <n v="9977"/>
    <n v="5"/>
    <s v="Y"/>
    <x v="1"/>
    <n v="11"/>
    <n v="3"/>
    <n v="1"/>
    <n v="80"/>
    <n v="1"/>
    <n v="10"/>
    <x v="0"/>
    <n v="2"/>
    <s v="5-9 Years"/>
    <x v="3"/>
    <s v="5-9 Years"/>
    <x v="3"/>
    <s v="5-9 Years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n v="5666"/>
    <x v="0"/>
    <s v="Medium Income"/>
    <s v="Medium Income"/>
    <s v="Medium Income"/>
    <n v="19899"/>
    <n v="1"/>
    <s v="Y"/>
    <x v="0"/>
    <n v="13"/>
    <n v="3"/>
    <n v="2"/>
    <n v="80"/>
    <n v="0"/>
    <n v="6"/>
    <x v="0"/>
    <n v="1"/>
    <s v="5-9 Years"/>
    <x v="1"/>
    <s v="5-9 Years"/>
    <x v="8"/>
    <s v="5-9 Years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n v="7823"/>
    <x v="0"/>
    <s v="Medium Income"/>
    <s v="Medium Income"/>
    <s v="Medium Income"/>
    <n v="6812"/>
    <n v="6"/>
    <s v="Y"/>
    <x v="1"/>
    <n v="13"/>
    <n v="3"/>
    <n v="2"/>
    <n v="80"/>
    <n v="1"/>
    <n v="12"/>
    <x v="1"/>
    <n v="2"/>
    <s v="10-14 Years"/>
    <x v="1"/>
    <s v="10-14 Years"/>
    <x v="1"/>
    <s v="10-14 Years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n v="7880"/>
    <x v="0"/>
    <s v="Medium Income"/>
    <s v="Medium Income"/>
    <s v="Medium Income"/>
    <n v="2560"/>
    <n v="0"/>
    <s v="Y"/>
    <x v="1"/>
    <n v="18"/>
    <n v="3"/>
    <n v="4"/>
    <n v="80"/>
    <n v="0"/>
    <n v="9"/>
    <x v="0"/>
    <n v="3"/>
    <s v="5-9 Years"/>
    <x v="1"/>
    <s v="5-9 Years"/>
    <x v="3"/>
    <s v="5-9 Years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n v="13194"/>
    <x v="2"/>
    <s v="High Income"/>
    <s v="High Income"/>
    <s v="High Income"/>
    <n v="17071"/>
    <n v="4"/>
    <s v="Y"/>
    <x v="0"/>
    <n v="16"/>
    <n v="3"/>
    <n v="4"/>
    <n v="80"/>
    <n v="0"/>
    <n v="22"/>
    <x v="2"/>
    <n v="2"/>
    <s v="0-4 Years"/>
    <x v="2"/>
    <s v="0-4 Years"/>
    <x v="6"/>
    <s v="0-4 Years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n v="5067"/>
    <x v="0"/>
    <s v="Medium Income"/>
    <s v="Medium Income"/>
    <s v="Medium Income"/>
    <n v="6759"/>
    <n v="1"/>
    <s v="Y"/>
    <x v="0"/>
    <n v="19"/>
    <n v="3"/>
    <n v="3"/>
    <n v="80"/>
    <n v="0"/>
    <n v="20"/>
    <x v="4"/>
    <n v="3"/>
    <s v="15-24 Years"/>
    <x v="3"/>
    <s v="15-24 Years"/>
    <x v="27"/>
    <s v="15-24 Years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n v="5079"/>
    <x v="0"/>
    <s v="Medium Income"/>
    <s v="Medium Income"/>
    <s v="Medium Income"/>
    <n v="25952"/>
    <n v="4"/>
    <s v="Y"/>
    <x v="1"/>
    <n v="13"/>
    <n v="3"/>
    <n v="4"/>
    <n v="80"/>
    <n v="2"/>
    <n v="12"/>
    <x v="0"/>
    <n v="3"/>
    <s v="5-9 Years"/>
    <x v="1"/>
    <s v="5-9 Years"/>
    <x v="5"/>
    <s v="5-9 Years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x v="3"/>
    <s v="Single"/>
    <n v="2321"/>
    <x v="1"/>
    <s v="Low Income"/>
    <s v="Low Income"/>
    <s v="Low Income"/>
    <n v="10322"/>
    <n v="0"/>
    <s v="Y"/>
    <x v="0"/>
    <n v="22"/>
    <n v="4"/>
    <n v="1"/>
    <n v="80"/>
    <n v="0"/>
    <n v="4"/>
    <x v="2"/>
    <n v="0"/>
    <s v="0-4 Years"/>
    <x v="1"/>
    <s v="0-4 Years"/>
    <x v="11"/>
    <s v="0-4 Years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n v="17444"/>
    <x v="2"/>
    <s v="High Income"/>
    <s v="High Income"/>
    <s v="High Income"/>
    <n v="20489"/>
    <n v="1"/>
    <s v="Y"/>
    <x v="1"/>
    <n v="11"/>
    <n v="3"/>
    <n v="4"/>
    <n v="80"/>
    <n v="0"/>
    <n v="10"/>
    <x v="1"/>
    <n v="2"/>
    <s v="10-14 Years"/>
    <x v="1"/>
    <s v="10-14 Years"/>
    <x v="1"/>
    <s v="10-14 Years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n v="2404"/>
    <x v="1"/>
    <s v="Low Income"/>
    <s v="Low Income"/>
    <s v="Low Income"/>
    <n v="11479"/>
    <n v="6"/>
    <s v="Y"/>
    <x v="0"/>
    <n v="20"/>
    <n v="4"/>
    <n v="3"/>
    <n v="80"/>
    <n v="0"/>
    <n v="3"/>
    <x v="2"/>
    <n v="5"/>
    <s v="0-4 Years"/>
    <x v="1"/>
    <s v="0-4 Years"/>
    <x v="2"/>
    <s v="0-4 Years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n v="3452"/>
    <x v="1"/>
    <s v="Low Income"/>
    <s v="Low Income"/>
    <s v="Low Income"/>
    <n v="17241"/>
    <n v="3"/>
    <s v="Y"/>
    <x v="1"/>
    <n v="18"/>
    <n v="3"/>
    <n v="1"/>
    <n v="80"/>
    <n v="0"/>
    <n v="5"/>
    <x v="2"/>
    <n v="4"/>
    <s v="0-4 Years"/>
    <x v="1"/>
    <s v="0-4 Years"/>
    <x v="11"/>
    <s v="0-4 Years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n v="2270"/>
    <x v="1"/>
    <s v="Low Income"/>
    <s v="Low Income"/>
    <s v="Low Income"/>
    <n v="11005"/>
    <n v="3"/>
    <s v="Y"/>
    <x v="1"/>
    <n v="14"/>
    <n v="3"/>
    <n v="4"/>
    <n v="80"/>
    <n v="2"/>
    <n v="8"/>
    <x v="0"/>
    <n v="2"/>
    <s v="5-9 Years"/>
    <x v="1"/>
    <s v="5-9 Years"/>
    <x v="8"/>
    <s v="5-9 Years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n v="17399"/>
    <x v="2"/>
    <s v="High Income"/>
    <s v="High Income"/>
    <s v="High Income"/>
    <n v="6615"/>
    <n v="9"/>
    <s v="Y"/>
    <x v="1"/>
    <n v="22"/>
    <n v="4"/>
    <n v="3"/>
    <n v="80"/>
    <n v="1"/>
    <n v="32"/>
    <x v="0"/>
    <n v="1"/>
    <s v="5-9 Years"/>
    <x v="2"/>
    <s v="5-9 Years"/>
    <x v="8"/>
    <s v="5-9 Years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n v="5488"/>
    <x v="0"/>
    <s v="Medium Income"/>
    <s v="Medium Income"/>
    <s v="Medium Income"/>
    <n v="20161"/>
    <n v="1"/>
    <s v="Y"/>
    <x v="0"/>
    <n v="13"/>
    <n v="3"/>
    <n v="1"/>
    <n v="80"/>
    <n v="1"/>
    <n v="6"/>
    <x v="0"/>
    <n v="2"/>
    <s v="5-9 Years"/>
    <x v="1"/>
    <s v="5-9 Years"/>
    <x v="0"/>
    <s v="5-9 Years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n v="19419"/>
    <x v="2"/>
    <s v="High Income"/>
    <s v="High Income"/>
    <s v="High Income"/>
    <n v="3735"/>
    <n v="2"/>
    <s v="Y"/>
    <x v="1"/>
    <n v="17"/>
    <n v="3"/>
    <n v="2"/>
    <n v="80"/>
    <n v="1"/>
    <n v="21"/>
    <x v="4"/>
    <n v="2"/>
    <s v="15-24 Years"/>
    <x v="3"/>
    <s v="15-24 Years"/>
    <x v="29"/>
    <s v="15-24 Years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n v="2811"/>
    <x v="1"/>
    <s v="Low Income"/>
    <s v="Low Income"/>
    <s v="Low Income"/>
    <n v="12086"/>
    <n v="9"/>
    <s v="Y"/>
    <x v="1"/>
    <n v="14"/>
    <n v="3"/>
    <n v="2"/>
    <n v="80"/>
    <n v="1"/>
    <n v="4"/>
    <x v="2"/>
    <n v="2"/>
    <s v="0-4 Years"/>
    <x v="1"/>
    <s v="0-4 Years"/>
    <x v="4"/>
    <s v="0-4 Years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n v="3633"/>
    <x v="1"/>
    <s v="Low Income"/>
    <s v="Low Income"/>
    <s v="Low Income"/>
    <n v="14039"/>
    <n v="1"/>
    <s v="Y"/>
    <x v="0"/>
    <n v="15"/>
    <n v="3"/>
    <n v="3"/>
    <n v="80"/>
    <n v="1"/>
    <n v="9"/>
    <x v="0"/>
    <n v="2"/>
    <s v="5-9 Years"/>
    <x v="1"/>
    <s v="5-9 Years"/>
    <x v="7"/>
    <s v="5-9 Years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n v="4163"/>
    <x v="1"/>
    <s v="Low Income"/>
    <s v="Low Income"/>
    <s v="Low Income"/>
    <n v="8571"/>
    <n v="1"/>
    <s v="Y"/>
    <x v="0"/>
    <n v="17"/>
    <n v="3"/>
    <n v="3"/>
    <n v="80"/>
    <n v="0"/>
    <n v="9"/>
    <x v="0"/>
    <n v="0"/>
    <s v="5-9 Years"/>
    <x v="1"/>
    <s v="5-9 Years"/>
    <x v="7"/>
    <s v="5-9 Years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n v="2132"/>
    <x v="1"/>
    <s v="Low Income"/>
    <s v="Low Income"/>
    <s v="Low Income"/>
    <n v="11539"/>
    <n v="4"/>
    <s v="Y"/>
    <x v="0"/>
    <n v="11"/>
    <n v="3"/>
    <n v="2"/>
    <n v="80"/>
    <n v="0"/>
    <n v="7"/>
    <x v="0"/>
    <n v="2"/>
    <s v="5-9 Years"/>
    <x v="1"/>
    <s v="5-9 Years"/>
    <x v="8"/>
    <s v="5-9 Years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n v="13973"/>
    <x v="2"/>
    <s v="High Income"/>
    <s v="High Income"/>
    <s v="High Income"/>
    <n v="4161"/>
    <n v="3"/>
    <s v="Y"/>
    <x v="0"/>
    <n v="18"/>
    <n v="3"/>
    <n v="4"/>
    <n v="80"/>
    <n v="1"/>
    <n v="22"/>
    <x v="1"/>
    <n v="2"/>
    <s v="10-14 Years"/>
    <x v="1"/>
    <s v="10-14 Years"/>
    <x v="12"/>
    <s v="10-14 Years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n v="2684"/>
    <x v="1"/>
    <s v="Low Income"/>
    <s v="Low Income"/>
    <s v="Low Income"/>
    <n v="12127"/>
    <n v="0"/>
    <s v="Y"/>
    <x v="1"/>
    <n v="17"/>
    <n v="3"/>
    <n v="2"/>
    <n v="80"/>
    <n v="1"/>
    <n v="3"/>
    <x v="2"/>
    <n v="0"/>
    <s v="0-4 Years"/>
    <x v="2"/>
    <s v="0-4 Years"/>
    <x v="4"/>
    <s v="0-4 Years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n v="10845"/>
    <x v="2"/>
    <s v="High Income"/>
    <s v="High Income"/>
    <s v="High Income"/>
    <n v="24208"/>
    <n v="6"/>
    <s v="Y"/>
    <x v="1"/>
    <n v="13"/>
    <n v="3"/>
    <n v="2"/>
    <n v="80"/>
    <n v="1"/>
    <n v="13"/>
    <x v="0"/>
    <n v="3"/>
    <s v="5-9 Years"/>
    <x v="1"/>
    <s v="5-9 Years"/>
    <x v="3"/>
    <s v="5-9 Years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n v="4377"/>
    <x v="1"/>
    <s v="Low Income"/>
    <s v="Low Income"/>
    <s v="Low Income"/>
    <n v="24117"/>
    <n v="1"/>
    <s v="Y"/>
    <x v="1"/>
    <n v="15"/>
    <n v="3"/>
    <n v="2"/>
    <n v="80"/>
    <n v="2"/>
    <n v="5"/>
    <x v="2"/>
    <n v="6"/>
    <s v="0-4 Years"/>
    <x v="1"/>
    <s v="0-4 Years"/>
    <x v="9"/>
    <s v="0-4 Years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n v="3743"/>
    <x v="1"/>
    <s v="Low Income"/>
    <s v="Low Income"/>
    <s v="Low Income"/>
    <n v="10074"/>
    <n v="1"/>
    <s v="Y"/>
    <x v="0"/>
    <n v="24"/>
    <n v="4"/>
    <n v="4"/>
    <n v="80"/>
    <n v="1"/>
    <n v="5"/>
    <x v="2"/>
    <n v="2"/>
    <s v="0-4 Years"/>
    <x v="0"/>
    <s v="0-4 Years"/>
    <x v="9"/>
    <s v="0-4 Years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n v="4148"/>
    <x v="1"/>
    <s v="Low Income"/>
    <s v="Low Income"/>
    <s v="Low Income"/>
    <n v="11275"/>
    <n v="1"/>
    <s v="Y"/>
    <x v="1"/>
    <n v="12"/>
    <n v="3"/>
    <n v="3"/>
    <n v="80"/>
    <n v="1"/>
    <n v="4"/>
    <x v="2"/>
    <n v="1"/>
    <s v="0-4 Years"/>
    <x v="1"/>
    <s v="0-4 Years"/>
    <x v="9"/>
    <s v="0-4 Years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n v="1051"/>
    <x v="1"/>
    <s v="Low Income"/>
    <s v="Low Income"/>
    <s v="Low Income"/>
    <n v="13493"/>
    <n v="1"/>
    <s v="Y"/>
    <x v="1"/>
    <n v="15"/>
    <n v="3"/>
    <n v="4"/>
    <n v="80"/>
    <n v="0"/>
    <n v="0"/>
    <x v="2"/>
    <n v="2"/>
    <s v="0-4 Years"/>
    <x v="1"/>
    <s v="0-4 Years"/>
    <x v="2"/>
    <s v="0-4 Years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n v="10739"/>
    <x v="2"/>
    <s v="High Income"/>
    <s v="High Income"/>
    <s v="High Income"/>
    <n v="13943"/>
    <n v="8"/>
    <s v="Y"/>
    <x v="1"/>
    <n v="11"/>
    <n v="3"/>
    <n v="3"/>
    <n v="80"/>
    <n v="1"/>
    <n v="22"/>
    <x v="1"/>
    <n v="2"/>
    <s v="10-14 Years"/>
    <x v="1"/>
    <s v="10-14 Years"/>
    <x v="1"/>
    <s v="10-14 Years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n v="10388"/>
    <x v="2"/>
    <s v="High Income"/>
    <s v="High Income"/>
    <s v="High Income"/>
    <n v="6975"/>
    <n v="1"/>
    <s v="Y"/>
    <x v="0"/>
    <n v="11"/>
    <n v="3"/>
    <n v="3"/>
    <n v="80"/>
    <n v="1"/>
    <n v="16"/>
    <x v="4"/>
    <n v="3"/>
    <s v="15-24 Years"/>
    <x v="2"/>
    <s v="15-24 Years"/>
    <x v="22"/>
    <s v="15-24 Years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n v="11416"/>
    <x v="2"/>
    <s v="High Income"/>
    <s v="High Income"/>
    <s v="High Income"/>
    <n v="17802"/>
    <n v="0"/>
    <s v="Y"/>
    <x v="0"/>
    <n v="12"/>
    <n v="3"/>
    <n v="3"/>
    <n v="80"/>
    <n v="3"/>
    <n v="9"/>
    <x v="0"/>
    <n v="4"/>
    <s v="5-9 Years"/>
    <x v="2"/>
    <s v="5-9 Years"/>
    <x v="3"/>
    <s v="5-9 Years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n v="2600"/>
    <x v="1"/>
    <s v="Low Income"/>
    <s v="Low Income"/>
    <s v="Low Income"/>
    <n v="18275"/>
    <n v="1"/>
    <s v="Y"/>
    <x v="0"/>
    <n v="15"/>
    <n v="3"/>
    <n v="1"/>
    <n v="80"/>
    <n v="0"/>
    <n v="1"/>
    <x v="2"/>
    <n v="2"/>
    <s v="0-4 Years"/>
    <x v="1"/>
    <s v="0-4 Years"/>
    <x v="6"/>
    <s v="0-4 Years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n v="2422"/>
    <x v="1"/>
    <s v="Low Income"/>
    <s v="Low Income"/>
    <s v="Low Income"/>
    <n v="25725"/>
    <n v="0"/>
    <s v="Y"/>
    <x v="1"/>
    <n v="17"/>
    <n v="3"/>
    <n v="1"/>
    <n v="80"/>
    <n v="0"/>
    <n v="4"/>
    <x v="2"/>
    <n v="3"/>
    <s v="0-4 Years"/>
    <x v="1"/>
    <s v="0-4 Years"/>
    <x v="11"/>
    <s v="0-4 Years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n v="5472"/>
    <x v="0"/>
    <s v="Medium Income"/>
    <s v="Medium Income"/>
    <s v="Medium Income"/>
    <n v="3334"/>
    <n v="1"/>
    <s v="Y"/>
    <x v="1"/>
    <n v="12"/>
    <n v="3"/>
    <n v="2"/>
    <n v="80"/>
    <n v="0"/>
    <n v="8"/>
    <x v="0"/>
    <n v="2"/>
    <s v="5-9 Years"/>
    <x v="1"/>
    <s v="5-9 Years"/>
    <x v="3"/>
    <s v="5-9 Years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n v="2451"/>
    <x v="1"/>
    <s v="Low Income"/>
    <s v="Low Income"/>
    <s v="Low Income"/>
    <n v="6881"/>
    <n v="1"/>
    <s v="Y"/>
    <x v="1"/>
    <n v="15"/>
    <n v="3"/>
    <n v="1"/>
    <n v="80"/>
    <n v="1"/>
    <n v="4"/>
    <x v="2"/>
    <n v="3"/>
    <s v="0-4 Years"/>
    <x v="2"/>
    <s v="0-4 Years"/>
    <x v="9"/>
    <s v="0-4 Years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n v="4240"/>
    <x v="1"/>
    <s v="Low Income"/>
    <s v="Low Income"/>
    <s v="Low Income"/>
    <n v="13119"/>
    <n v="2"/>
    <s v="Y"/>
    <x v="1"/>
    <n v="13"/>
    <n v="3"/>
    <n v="4"/>
    <n v="80"/>
    <n v="0"/>
    <n v="19"/>
    <x v="2"/>
    <n v="0"/>
    <s v="0-4 Years"/>
    <x v="1"/>
    <s v="0-4 Years"/>
    <x v="4"/>
    <s v="0-4 Years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n v="10999"/>
    <x v="2"/>
    <s v="High Income"/>
    <s v="High Income"/>
    <s v="High Income"/>
    <n v="22245"/>
    <n v="7"/>
    <s v="Y"/>
    <x v="1"/>
    <n v="14"/>
    <n v="3"/>
    <n v="2"/>
    <n v="80"/>
    <n v="0"/>
    <n v="27"/>
    <x v="4"/>
    <n v="3"/>
    <s v="15-24 Years"/>
    <x v="1"/>
    <s v="15-24 Years"/>
    <x v="15"/>
    <s v="15-24 Years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n v="5003"/>
    <x v="0"/>
    <s v="Medium Income"/>
    <s v="Medium Income"/>
    <s v="Medium Income"/>
    <n v="23371"/>
    <n v="6"/>
    <s v="Y"/>
    <x v="1"/>
    <n v="14"/>
    <n v="3"/>
    <n v="2"/>
    <n v="80"/>
    <n v="0"/>
    <n v="8"/>
    <x v="2"/>
    <n v="6"/>
    <s v="0-4 Years"/>
    <x v="1"/>
    <s v="0-4 Years"/>
    <x v="4"/>
    <s v="0-4 Years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n v="12742"/>
    <x v="2"/>
    <s v="High Income"/>
    <s v="High Income"/>
    <s v="High Income"/>
    <n v="7060"/>
    <n v="1"/>
    <s v="Y"/>
    <x v="1"/>
    <n v="16"/>
    <n v="3"/>
    <n v="3"/>
    <n v="80"/>
    <n v="1"/>
    <n v="21"/>
    <x v="4"/>
    <n v="3"/>
    <s v="15-24 Years"/>
    <x v="1"/>
    <s v="15-24 Years"/>
    <x v="17"/>
    <s v="15-24 Years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n v="4227"/>
    <x v="1"/>
    <s v="Low Income"/>
    <s v="Low Income"/>
    <s v="Low Income"/>
    <n v="4658"/>
    <n v="0"/>
    <s v="Y"/>
    <x v="1"/>
    <n v="18"/>
    <n v="3"/>
    <n v="2"/>
    <n v="80"/>
    <n v="1"/>
    <n v="4"/>
    <x v="2"/>
    <n v="2"/>
    <s v="0-4 Years"/>
    <x v="1"/>
    <s v="0-4 Years"/>
    <x v="11"/>
    <s v="0-4 Years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n v="3917"/>
    <x v="1"/>
    <s v="Low Income"/>
    <s v="Low Income"/>
    <s v="Low Income"/>
    <n v="9541"/>
    <n v="1"/>
    <s v="Y"/>
    <x v="1"/>
    <n v="20"/>
    <n v="4"/>
    <n v="1"/>
    <n v="80"/>
    <n v="1"/>
    <n v="3"/>
    <x v="2"/>
    <n v="4"/>
    <s v="0-4 Years"/>
    <x v="2"/>
    <s v="0-4 Years"/>
    <x v="11"/>
    <s v="0-4 Years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n v="18303"/>
    <x v="2"/>
    <s v="High Income"/>
    <s v="High Income"/>
    <s v="High Income"/>
    <n v="7770"/>
    <n v="6"/>
    <s v="Y"/>
    <x v="1"/>
    <n v="13"/>
    <n v="3"/>
    <n v="2"/>
    <n v="80"/>
    <n v="0"/>
    <n v="21"/>
    <x v="2"/>
    <n v="3"/>
    <s v="0-4 Years"/>
    <x v="3"/>
    <s v="0-4 Years"/>
    <x v="6"/>
    <s v="0-4 Years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n v="2380"/>
    <x v="1"/>
    <s v="Low Income"/>
    <s v="Low Income"/>
    <s v="Low Income"/>
    <n v="20165"/>
    <n v="4"/>
    <s v="Y"/>
    <x v="1"/>
    <n v="18"/>
    <n v="3"/>
    <n v="2"/>
    <n v="80"/>
    <n v="0"/>
    <n v="8"/>
    <x v="2"/>
    <n v="5"/>
    <s v="0-4 Years"/>
    <x v="1"/>
    <s v="0-4 Years"/>
    <x v="6"/>
    <s v="0-4 Years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n v="13726"/>
    <x v="2"/>
    <s v="High Income"/>
    <s v="High Income"/>
    <s v="High Income"/>
    <n v="21829"/>
    <n v="3"/>
    <s v="Y"/>
    <x v="0"/>
    <n v="13"/>
    <n v="3"/>
    <n v="1"/>
    <n v="80"/>
    <n v="0"/>
    <n v="30"/>
    <x v="0"/>
    <n v="4"/>
    <s v="5-9 Years"/>
    <x v="1"/>
    <s v="5-9 Years"/>
    <x v="8"/>
    <s v="5-9 Years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n v="4777"/>
    <x v="1"/>
    <s v="Low Income"/>
    <s v="Low Income"/>
    <s v="Low Income"/>
    <n v="14382"/>
    <n v="5"/>
    <s v="Y"/>
    <x v="1"/>
    <n v="15"/>
    <n v="3"/>
    <n v="1"/>
    <n v="80"/>
    <n v="0"/>
    <n v="15"/>
    <x v="2"/>
    <n v="2"/>
    <s v="0-4 Years"/>
    <x v="0"/>
    <s v="0-4 Years"/>
    <x v="6"/>
    <s v="0-4 Years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n v="6385"/>
    <x v="0"/>
    <s v="Medium Income"/>
    <s v="Medium Income"/>
    <s v="Medium Income"/>
    <n v="12992"/>
    <n v="3"/>
    <s v="Y"/>
    <x v="0"/>
    <n v="14"/>
    <n v="3"/>
    <n v="4"/>
    <n v="80"/>
    <n v="2"/>
    <n v="17"/>
    <x v="0"/>
    <n v="3"/>
    <s v="5-9 Years"/>
    <x v="1"/>
    <s v="5-9 Years"/>
    <x v="3"/>
    <s v="5-9 Years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n v="19973"/>
    <x v="2"/>
    <s v="High Income"/>
    <s v="High Income"/>
    <s v="High Income"/>
    <n v="20284"/>
    <n v="1"/>
    <s v="Y"/>
    <x v="1"/>
    <n v="22"/>
    <n v="4"/>
    <n v="2"/>
    <n v="80"/>
    <n v="2"/>
    <n v="21"/>
    <x v="4"/>
    <n v="3"/>
    <s v="15-24 Years"/>
    <x v="1"/>
    <s v="15-24 Years"/>
    <x v="17"/>
    <s v="15-24 Years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n v="6861"/>
    <x v="0"/>
    <s v="Medium Income"/>
    <s v="Medium Income"/>
    <s v="Medium Income"/>
    <n v="4981"/>
    <n v="8"/>
    <s v="Y"/>
    <x v="0"/>
    <n v="12"/>
    <n v="3"/>
    <n v="3"/>
    <n v="80"/>
    <n v="0"/>
    <n v="19"/>
    <x v="2"/>
    <n v="1"/>
    <s v="0-4 Years"/>
    <x v="1"/>
    <s v="0-4 Years"/>
    <x v="6"/>
    <s v="0-4 Years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x v="3"/>
    <s v="Single"/>
    <n v="4969"/>
    <x v="1"/>
    <s v="Low Income"/>
    <s v="Low Income"/>
    <s v="Low Income"/>
    <n v="21813"/>
    <n v="8"/>
    <s v="Y"/>
    <x v="1"/>
    <n v="18"/>
    <n v="3"/>
    <n v="4"/>
    <n v="80"/>
    <n v="0"/>
    <n v="7"/>
    <x v="2"/>
    <n v="6"/>
    <s v="0-4 Years"/>
    <x v="1"/>
    <s v="0-4 Years"/>
    <x v="4"/>
    <s v="0-4 Years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n v="19845"/>
    <x v="2"/>
    <s v="High Income"/>
    <s v="High Income"/>
    <s v="High Income"/>
    <n v="25846"/>
    <n v="1"/>
    <s v="Y"/>
    <x v="1"/>
    <n v="15"/>
    <n v="3"/>
    <n v="4"/>
    <n v="80"/>
    <n v="1"/>
    <n v="33"/>
    <x v="3"/>
    <n v="3"/>
    <s v="25+ Years"/>
    <x v="1"/>
    <s v="25+ Years"/>
    <x v="32"/>
    <s v="25+ Years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n v="13320"/>
    <x v="2"/>
    <s v="High Income"/>
    <s v="High Income"/>
    <s v="High Income"/>
    <n v="11737"/>
    <n v="3"/>
    <s v="Y"/>
    <x v="0"/>
    <n v="18"/>
    <n v="3"/>
    <n v="3"/>
    <n v="80"/>
    <n v="1"/>
    <n v="23"/>
    <x v="1"/>
    <n v="2"/>
    <s v="10-14 Years"/>
    <x v="1"/>
    <s v="10-14 Years"/>
    <x v="12"/>
    <s v="10-14 Years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n v="6347"/>
    <x v="0"/>
    <s v="Medium Income"/>
    <s v="Medium Income"/>
    <s v="Medium Income"/>
    <n v="24920"/>
    <n v="0"/>
    <s v="Y"/>
    <x v="1"/>
    <n v="12"/>
    <n v="3"/>
    <n v="1"/>
    <n v="80"/>
    <n v="1"/>
    <n v="19"/>
    <x v="4"/>
    <n v="3"/>
    <s v="15-24 Years"/>
    <x v="1"/>
    <s v="15-24 Years"/>
    <x v="29"/>
    <s v="15-24 Years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n v="2743"/>
    <x v="1"/>
    <s v="Low Income"/>
    <s v="Low Income"/>
    <s v="Low Income"/>
    <n v="8269"/>
    <n v="1"/>
    <s v="Y"/>
    <x v="1"/>
    <n v="16"/>
    <n v="3"/>
    <n v="3"/>
    <n v="80"/>
    <n v="0"/>
    <n v="18"/>
    <x v="4"/>
    <n v="1"/>
    <s v="15-24 Years"/>
    <x v="1"/>
    <s v="15-24 Years"/>
    <x v="18"/>
    <s v="15-24 Years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n v="10880"/>
    <x v="2"/>
    <s v="High Income"/>
    <s v="High Income"/>
    <s v="High Income"/>
    <n v="5083"/>
    <n v="1"/>
    <s v="Y"/>
    <x v="0"/>
    <n v="13"/>
    <n v="3"/>
    <n v="3"/>
    <n v="80"/>
    <n v="0"/>
    <n v="21"/>
    <x v="4"/>
    <n v="2"/>
    <s v="15-24 Years"/>
    <x v="1"/>
    <s v="15-24 Years"/>
    <x v="17"/>
    <s v="15-24 Years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n v="2342"/>
    <x v="1"/>
    <s v="Low Income"/>
    <s v="Low Income"/>
    <s v="Low Income"/>
    <n v="21437"/>
    <n v="0"/>
    <s v="Y"/>
    <x v="1"/>
    <n v="19"/>
    <n v="3"/>
    <n v="4"/>
    <n v="80"/>
    <n v="0"/>
    <n v="3"/>
    <x v="2"/>
    <n v="2"/>
    <s v="0-4 Years"/>
    <x v="2"/>
    <s v="0-4 Years"/>
    <x v="4"/>
    <s v="0-4 Years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n v="17650"/>
    <x v="2"/>
    <s v="High Income"/>
    <s v="High Income"/>
    <s v="High Income"/>
    <n v="5404"/>
    <n v="3"/>
    <s v="Y"/>
    <x v="1"/>
    <n v="13"/>
    <n v="3"/>
    <n v="2"/>
    <n v="80"/>
    <n v="1"/>
    <n v="26"/>
    <x v="0"/>
    <n v="4"/>
    <s v="5-9 Years"/>
    <x v="3"/>
    <s v="5-9 Years"/>
    <x v="7"/>
    <s v="5-9 Years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n v="4025"/>
    <x v="1"/>
    <s v="Low Income"/>
    <s v="Low Income"/>
    <s v="Low Income"/>
    <n v="11135"/>
    <n v="9"/>
    <s v="Y"/>
    <x v="1"/>
    <n v="12"/>
    <n v="3"/>
    <n v="2"/>
    <n v="80"/>
    <n v="0"/>
    <n v="10"/>
    <x v="0"/>
    <n v="2"/>
    <s v="5-9 Years"/>
    <x v="1"/>
    <s v="5-9 Years"/>
    <x v="3"/>
    <s v="5-9 Years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n v="9725"/>
    <x v="0"/>
    <s v="Medium Income"/>
    <s v="Medium Income"/>
    <s v="Medium Income"/>
    <n v="12278"/>
    <n v="0"/>
    <s v="Y"/>
    <x v="1"/>
    <n v="11"/>
    <n v="3"/>
    <n v="4"/>
    <n v="80"/>
    <n v="1"/>
    <n v="16"/>
    <x v="4"/>
    <n v="2"/>
    <s v="15-24 Years"/>
    <x v="2"/>
    <s v="15-24 Years"/>
    <x v="15"/>
    <s v="15-24 Years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n v="11904"/>
    <x v="2"/>
    <s v="High Income"/>
    <s v="High Income"/>
    <s v="High Income"/>
    <n v="11038"/>
    <n v="3"/>
    <s v="Y"/>
    <x v="0"/>
    <n v="14"/>
    <n v="3"/>
    <n v="3"/>
    <n v="80"/>
    <n v="1"/>
    <n v="14"/>
    <x v="0"/>
    <n v="1"/>
    <s v="5-9 Years"/>
    <x v="0"/>
    <s v="5-9 Years"/>
    <x v="0"/>
    <s v="5-9 Years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n v="2177"/>
    <x v="1"/>
    <s v="Low Income"/>
    <s v="Low Income"/>
    <s v="Low Income"/>
    <n v="8318"/>
    <n v="1"/>
    <s v="Y"/>
    <x v="1"/>
    <n v="16"/>
    <n v="3"/>
    <n v="1"/>
    <n v="80"/>
    <n v="0"/>
    <n v="6"/>
    <x v="0"/>
    <n v="3"/>
    <s v="5-9 Years"/>
    <x v="1"/>
    <s v="5-9 Years"/>
    <x v="0"/>
    <s v="5-9 Years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n v="7525"/>
    <x v="0"/>
    <s v="Medium Income"/>
    <s v="Medium Income"/>
    <s v="Medium Income"/>
    <n v="23537"/>
    <n v="2"/>
    <s v="Y"/>
    <x v="1"/>
    <n v="12"/>
    <n v="3"/>
    <n v="1"/>
    <n v="80"/>
    <n v="1"/>
    <n v="30"/>
    <x v="4"/>
    <n v="2"/>
    <s v="15-24 Years"/>
    <x v="1"/>
    <s v="15-24 Years"/>
    <x v="15"/>
    <s v="15-24 Years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n v="4834"/>
    <x v="1"/>
    <s v="Low Income"/>
    <s v="Low Income"/>
    <s v="Low Income"/>
    <n v="7858"/>
    <n v="7"/>
    <s v="Y"/>
    <x v="1"/>
    <n v="14"/>
    <n v="3"/>
    <n v="2"/>
    <n v="80"/>
    <n v="1"/>
    <n v="9"/>
    <x v="2"/>
    <n v="3"/>
    <s v="0-4 Years"/>
    <x v="2"/>
    <s v="0-4 Years"/>
    <x v="6"/>
    <s v="0-4 Years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n v="2042"/>
    <x v="1"/>
    <s v="Low Income"/>
    <s v="Low Income"/>
    <s v="Low Income"/>
    <n v="15346"/>
    <n v="6"/>
    <s v="Y"/>
    <x v="0"/>
    <n v="14"/>
    <n v="3"/>
    <n v="2"/>
    <n v="80"/>
    <n v="1"/>
    <n v="6"/>
    <x v="2"/>
    <n v="2"/>
    <s v="0-4 Years"/>
    <x v="1"/>
    <s v="0-4 Years"/>
    <x v="11"/>
    <s v="0-4 Years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n v="2220"/>
    <x v="1"/>
    <s v="Low Income"/>
    <s v="Low Income"/>
    <s v="Low Income"/>
    <n v="18410"/>
    <n v="1"/>
    <s v="Y"/>
    <x v="0"/>
    <n v="19"/>
    <n v="3"/>
    <n v="4"/>
    <n v="80"/>
    <n v="1"/>
    <n v="1"/>
    <x v="2"/>
    <n v="2"/>
    <s v="0-4 Years"/>
    <x v="1"/>
    <s v="0-4 Years"/>
    <x v="6"/>
    <s v="0-4 Years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n v="1052"/>
    <x v="1"/>
    <s v="Low Income"/>
    <s v="Low Income"/>
    <s v="Low Income"/>
    <n v="23384"/>
    <n v="1"/>
    <s v="Y"/>
    <x v="1"/>
    <n v="22"/>
    <n v="4"/>
    <n v="2"/>
    <n v="80"/>
    <n v="0"/>
    <n v="1"/>
    <x v="2"/>
    <n v="5"/>
    <s v="0-4 Years"/>
    <x v="1"/>
    <s v="0-4 Years"/>
    <x v="6"/>
    <s v="0-4 Years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n v="2821"/>
    <x v="1"/>
    <s v="Low Income"/>
    <s v="Low Income"/>
    <s v="Low Income"/>
    <n v="2997"/>
    <n v="3"/>
    <s v="Y"/>
    <x v="1"/>
    <n v="16"/>
    <n v="3"/>
    <n v="1"/>
    <n v="80"/>
    <n v="1"/>
    <n v="8"/>
    <x v="2"/>
    <n v="2"/>
    <s v="0-4 Years"/>
    <x v="1"/>
    <s v="0-4 Years"/>
    <x v="4"/>
    <s v="0-4 Years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n v="19237"/>
    <x v="2"/>
    <s v="High Income"/>
    <s v="High Income"/>
    <s v="High Income"/>
    <n v="12853"/>
    <n v="2"/>
    <s v="Y"/>
    <x v="0"/>
    <n v="11"/>
    <n v="3"/>
    <n v="4"/>
    <n v="80"/>
    <n v="1"/>
    <n v="29"/>
    <x v="0"/>
    <n v="2"/>
    <s v="5-9 Years"/>
    <x v="2"/>
    <s v="5-9 Years"/>
    <x v="3"/>
    <s v="5-9 Years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n v="4107"/>
    <x v="1"/>
    <s v="Low Income"/>
    <s v="Low Income"/>
    <s v="Low Income"/>
    <n v="13848"/>
    <n v="3"/>
    <s v="Y"/>
    <x v="1"/>
    <n v="15"/>
    <n v="3"/>
    <n v="1"/>
    <n v="80"/>
    <n v="0"/>
    <n v="8"/>
    <x v="2"/>
    <n v="3"/>
    <s v="0-4 Years"/>
    <x v="2"/>
    <s v="0-4 Years"/>
    <x v="9"/>
    <s v="0-4 Years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n v="8396"/>
    <x v="0"/>
    <s v="Medium Income"/>
    <s v="Medium Income"/>
    <s v="Medium Income"/>
    <n v="22217"/>
    <n v="1"/>
    <s v="Y"/>
    <x v="1"/>
    <n v="14"/>
    <n v="3"/>
    <n v="2"/>
    <n v="80"/>
    <n v="1"/>
    <n v="8"/>
    <x v="0"/>
    <n v="3"/>
    <s v="5-9 Years"/>
    <x v="2"/>
    <s v="5-9 Years"/>
    <x v="5"/>
    <s v="5-9 Years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n v="2007"/>
    <x v="1"/>
    <s v="Low Income"/>
    <s v="Low Income"/>
    <s v="Low Income"/>
    <n v="25265"/>
    <n v="1"/>
    <s v="Y"/>
    <x v="1"/>
    <n v="13"/>
    <n v="3"/>
    <n v="3"/>
    <n v="80"/>
    <n v="2"/>
    <n v="5"/>
    <x v="0"/>
    <n v="5"/>
    <s v="5-9 Years"/>
    <x v="1"/>
    <s v="5-9 Years"/>
    <x v="8"/>
    <s v="5-9 Years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n v="19627"/>
    <x v="2"/>
    <s v="High Income"/>
    <s v="High Income"/>
    <s v="High Income"/>
    <n v="21445"/>
    <n v="9"/>
    <s v="Y"/>
    <x v="1"/>
    <n v="17"/>
    <n v="3"/>
    <n v="4"/>
    <n v="80"/>
    <n v="2"/>
    <n v="23"/>
    <x v="2"/>
    <n v="0"/>
    <s v="0-4 Years"/>
    <x v="1"/>
    <s v="0-4 Years"/>
    <x v="4"/>
    <s v="0-4 Years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n v="10686"/>
    <x v="2"/>
    <s v="High Income"/>
    <s v="High Income"/>
    <s v="High Income"/>
    <n v="8392"/>
    <n v="6"/>
    <s v="Y"/>
    <x v="1"/>
    <n v="11"/>
    <n v="3"/>
    <n v="2"/>
    <n v="80"/>
    <n v="1"/>
    <n v="13"/>
    <x v="0"/>
    <n v="4"/>
    <s v="5-9 Years"/>
    <x v="1"/>
    <s v="5-9 Years"/>
    <x v="7"/>
    <s v="5-9 Years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n v="2942"/>
    <x v="1"/>
    <s v="Low Income"/>
    <s v="Low Income"/>
    <s v="Low Income"/>
    <n v="12154"/>
    <n v="2"/>
    <s v="Y"/>
    <x v="1"/>
    <n v="19"/>
    <n v="3"/>
    <n v="2"/>
    <n v="80"/>
    <n v="1"/>
    <n v="18"/>
    <x v="0"/>
    <n v="4"/>
    <s v="5-9 Years"/>
    <x v="1"/>
    <s v="5-9 Years"/>
    <x v="8"/>
    <s v="5-9 Years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n v="8858"/>
    <x v="0"/>
    <s v="Medium Income"/>
    <s v="Medium Income"/>
    <s v="Medium Income"/>
    <n v="15669"/>
    <n v="0"/>
    <s v="Y"/>
    <x v="1"/>
    <n v="11"/>
    <n v="3"/>
    <n v="2"/>
    <n v="80"/>
    <n v="0"/>
    <n v="15"/>
    <x v="1"/>
    <n v="2"/>
    <s v="10-14 Years"/>
    <x v="2"/>
    <s v="10-14 Years"/>
    <x v="13"/>
    <s v="10-14 Years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x v="3"/>
    <s v="Single"/>
    <n v="16756"/>
    <x v="2"/>
    <s v="High Income"/>
    <s v="High Income"/>
    <s v="High Income"/>
    <n v="17323"/>
    <n v="7"/>
    <s v="Y"/>
    <x v="1"/>
    <n v="15"/>
    <n v="3"/>
    <n v="2"/>
    <n v="80"/>
    <n v="0"/>
    <n v="31"/>
    <x v="0"/>
    <n v="3"/>
    <s v="5-9 Years"/>
    <x v="3"/>
    <s v="5-9 Years"/>
    <x v="7"/>
    <s v="5-9 Years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n v="10798"/>
    <x v="2"/>
    <s v="High Income"/>
    <s v="High Income"/>
    <s v="High Income"/>
    <n v="5268"/>
    <n v="5"/>
    <s v="Y"/>
    <x v="1"/>
    <n v="13"/>
    <n v="3"/>
    <n v="3"/>
    <n v="80"/>
    <n v="1"/>
    <n v="18"/>
    <x v="2"/>
    <n v="5"/>
    <s v="0-4 Years"/>
    <x v="1"/>
    <s v="0-4 Years"/>
    <x v="6"/>
    <s v="0-4 Years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n v="2323"/>
    <x v="1"/>
    <s v="Low Income"/>
    <s v="Low Income"/>
    <s v="Low Income"/>
    <n v="17205"/>
    <n v="1"/>
    <s v="Y"/>
    <x v="0"/>
    <n v="14"/>
    <n v="3"/>
    <n v="2"/>
    <n v="80"/>
    <n v="0"/>
    <n v="2"/>
    <x v="2"/>
    <n v="3"/>
    <s v="0-4 Years"/>
    <x v="1"/>
    <s v="0-4 Years"/>
    <x v="4"/>
    <s v="0-4 Years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n v="1416"/>
    <x v="1"/>
    <s v="Low Income"/>
    <s v="Low Income"/>
    <s v="Low Income"/>
    <n v="17258"/>
    <n v="1"/>
    <s v="Y"/>
    <x v="1"/>
    <n v="13"/>
    <n v="3"/>
    <n v="1"/>
    <n v="80"/>
    <n v="0"/>
    <n v="1"/>
    <x v="2"/>
    <n v="6"/>
    <s v="0-4 Years"/>
    <x v="2"/>
    <s v="0-4 Years"/>
    <x v="6"/>
    <s v="0-4 Years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n v="4615"/>
    <x v="1"/>
    <s v="Low Income"/>
    <s v="Low Income"/>
    <s v="Low Income"/>
    <n v="21029"/>
    <n v="8"/>
    <s v="Y"/>
    <x v="0"/>
    <n v="23"/>
    <n v="4"/>
    <n v="1"/>
    <n v="80"/>
    <n v="3"/>
    <n v="19"/>
    <x v="4"/>
    <n v="2"/>
    <s v="15-24 Years"/>
    <x v="1"/>
    <s v="15-24 Years"/>
    <x v="22"/>
    <s v="15-24 Years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n v="2461"/>
    <x v="1"/>
    <s v="Low Income"/>
    <s v="Low Income"/>
    <s v="Low Income"/>
    <n v="10332"/>
    <n v="9"/>
    <s v="Y"/>
    <x v="0"/>
    <n v="12"/>
    <n v="3"/>
    <n v="3"/>
    <n v="80"/>
    <n v="3"/>
    <n v="18"/>
    <x v="1"/>
    <n v="2"/>
    <s v="10-14 Years"/>
    <x v="3"/>
    <s v="10-14 Years"/>
    <x v="1"/>
    <s v="10-14 Years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n v="8722"/>
    <x v="0"/>
    <s v="Medium Income"/>
    <s v="Medium Income"/>
    <s v="Medium Income"/>
    <n v="12355"/>
    <n v="1"/>
    <s v="Y"/>
    <x v="1"/>
    <n v="12"/>
    <n v="3"/>
    <n v="1"/>
    <n v="80"/>
    <n v="0"/>
    <n v="10"/>
    <x v="1"/>
    <n v="2"/>
    <s v="10-14 Years"/>
    <x v="2"/>
    <s v="10-14 Years"/>
    <x v="1"/>
    <s v="10-14 Years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n v="3955"/>
    <x v="1"/>
    <s v="Low Income"/>
    <s v="Low Income"/>
    <s v="Low Income"/>
    <n v="11141"/>
    <n v="1"/>
    <s v="Y"/>
    <x v="1"/>
    <n v="16"/>
    <n v="3"/>
    <n v="1"/>
    <n v="80"/>
    <n v="2"/>
    <n v="6"/>
    <x v="0"/>
    <n v="2"/>
    <s v="5-9 Years"/>
    <x v="1"/>
    <s v="5-9 Years"/>
    <x v="8"/>
    <s v="5-9 Years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n v="9957"/>
    <x v="0"/>
    <s v="Medium Income"/>
    <s v="Medium Income"/>
    <s v="Medium Income"/>
    <n v="9096"/>
    <n v="0"/>
    <s v="Y"/>
    <x v="1"/>
    <n v="15"/>
    <n v="3"/>
    <n v="3"/>
    <n v="80"/>
    <n v="1"/>
    <n v="7"/>
    <x v="0"/>
    <n v="1"/>
    <s v="5-9 Years"/>
    <x v="2"/>
    <s v="5-9 Years"/>
    <x v="0"/>
    <s v="5-9 Years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n v="3376"/>
    <x v="1"/>
    <s v="Low Income"/>
    <s v="Low Income"/>
    <s v="Low Income"/>
    <n v="18863"/>
    <n v="1"/>
    <s v="Y"/>
    <x v="1"/>
    <n v="13"/>
    <n v="3"/>
    <n v="3"/>
    <n v="80"/>
    <n v="0"/>
    <n v="10"/>
    <x v="1"/>
    <n v="3"/>
    <s v="10-14 Years"/>
    <x v="1"/>
    <s v="10-14 Years"/>
    <x v="1"/>
    <s v="10-14 Years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n v="8823"/>
    <x v="0"/>
    <s v="Medium Income"/>
    <s v="Medium Income"/>
    <s v="Medium Income"/>
    <n v="24608"/>
    <n v="0"/>
    <s v="Y"/>
    <x v="1"/>
    <n v="18"/>
    <n v="3"/>
    <n v="1"/>
    <n v="80"/>
    <n v="1"/>
    <n v="20"/>
    <x v="4"/>
    <n v="4"/>
    <s v="15-24 Years"/>
    <x v="2"/>
    <s v="15-24 Years"/>
    <x v="27"/>
    <s v="15-24 Years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n v="10322"/>
    <x v="2"/>
    <s v="High Income"/>
    <s v="High Income"/>
    <s v="High Income"/>
    <n v="26542"/>
    <n v="4"/>
    <s v="Y"/>
    <x v="1"/>
    <n v="20"/>
    <n v="4"/>
    <n v="4"/>
    <n v="80"/>
    <n v="1"/>
    <n v="14"/>
    <x v="1"/>
    <n v="6"/>
    <s v="10-14 Years"/>
    <x v="1"/>
    <s v="10-14 Years"/>
    <x v="19"/>
    <s v="10-14 Years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n v="4621"/>
    <x v="1"/>
    <s v="Low Income"/>
    <s v="Low Income"/>
    <s v="Low Income"/>
    <n v="5869"/>
    <n v="1"/>
    <s v="Y"/>
    <x v="1"/>
    <n v="19"/>
    <n v="3"/>
    <n v="4"/>
    <n v="80"/>
    <n v="3"/>
    <n v="3"/>
    <x v="2"/>
    <n v="4"/>
    <s v="0-4 Years"/>
    <x v="1"/>
    <s v="0-4 Years"/>
    <x v="11"/>
    <s v="0-4 Years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n v="10976"/>
    <x v="2"/>
    <s v="High Income"/>
    <s v="High Income"/>
    <s v="High Income"/>
    <n v="15813"/>
    <n v="3"/>
    <s v="Y"/>
    <x v="1"/>
    <n v="18"/>
    <n v="3"/>
    <n v="2"/>
    <n v="80"/>
    <n v="1"/>
    <n v="23"/>
    <x v="2"/>
    <n v="4"/>
    <s v="0-4 Years"/>
    <x v="1"/>
    <s v="0-4 Years"/>
    <x v="11"/>
    <s v="0-4 Years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n v="3660"/>
    <x v="1"/>
    <s v="Low Income"/>
    <s v="Low Income"/>
    <s v="Low Income"/>
    <n v="7909"/>
    <n v="3"/>
    <s v="Y"/>
    <x v="1"/>
    <n v="13"/>
    <n v="3"/>
    <n v="4"/>
    <n v="80"/>
    <n v="0"/>
    <n v="10"/>
    <x v="0"/>
    <n v="4"/>
    <s v="5-9 Years"/>
    <x v="3"/>
    <s v="5-9 Years"/>
    <x v="3"/>
    <s v="5-9 Years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n v="10482"/>
    <x v="2"/>
    <s v="High Income"/>
    <s v="High Income"/>
    <s v="High Income"/>
    <n v="2326"/>
    <n v="9"/>
    <s v="Y"/>
    <x v="1"/>
    <n v="14"/>
    <n v="3"/>
    <n v="4"/>
    <n v="80"/>
    <n v="1"/>
    <n v="24"/>
    <x v="4"/>
    <n v="1"/>
    <s v="15-24 Years"/>
    <x v="1"/>
    <s v="15-24 Years"/>
    <x v="23"/>
    <s v="15-24 Years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n v="7119"/>
    <x v="0"/>
    <s v="Medium Income"/>
    <s v="Medium Income"/>
    <s v="Medium Income"/>
    <n v="21214"/>
    <n v="4"/>
    <s v="Y"/>
    <x v="1"/>
    <n v="15"/>
    <n v="3"/>
    <n v="3"/>
    <n v="80"/>
    <n v="1"/>
    <n v="9"/>
    <x v="2"/>
    <n v="2"/>
    <s v="0-4 Years"/>
    <x v="1"/>
    <s v="0-4 Years"/>
    <x v="11"/>
    <s v="0-4 Years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n v="9582"/>
    <x v="0"/>
    <s v="Medium Income"/>
    <s v="Medium Income"/>
    <s v="Medium Income"/>
    <n v="10333"/>
    <n v="0"/>
    <s v="Y"/>
    <x v="0"/>
    <n v="22"/>
    <n v="4"/>
    <n v="1"/>
    <n v="80"/>
    <n v="0"/>
    <n v="9"/>
    <x v="0"/>
    <n v="2"/>
    <s v="5-9 Years"/>
    <x v="1"/>
    <s v="5-9 Years"/>
    <x v="3"/>
    <s v="5-9 Years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n v="4508"/>
    <x v="1"/>
    <s v="Low Income"/>
    <s v="Low Income"/>
    <s v="Low Income"/>
    <n v="3129"/>
    <n v="1"/>
    <s v="Y"/>
    <x v="1"/>
    <n v="22"/>
    <n v="4"/>
    <n v="2"/>
    <n v="80"/>
    <n v="0"/>
    <n v="14"/>
    <x v="1"/>
    <n v="4"/>
    <s v="10-14 Years"/>
    <x v="1"/>
    <s v="10-14 Years"/>
    <x v="20"/>
    <s v="10-14 Years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n v="2207"/>
    <x v="1"/>
    <s v="Low Income"/>
    <s v="Low Income"/>
    <s v="Low Income"/>
    <n v="22482"/>
    <n v="1"/>
    <s v="Y"/>
    <x v="1"/>
    <n v="16"/>
    <n v="3"/>
    <n v="4"/>
    <n v="80"/>
    <n v="1"/>
    <n v="4"/>
    <x v="2"/>
    <n v="5"/>
    <s v="0-4 Years"/>
    <x v="2"/>
    <s v="0-4 Years"/>
    <x v="9"/>
    <s v="0-4 Years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n v="7756"/>
    <x v="0"/>
    <s v="Medium Income"/>
    <s v="Medium Income"/>
    <s v="Medium Income"/>
    <n v="22266"/>
    <n v="0"/>
    <s v="Y"/>
    <x v="1"/>
    <n v="17"/>
    <n v="3"/>
    <n v="3"/>
    <n v="80"/>
    <n v="0"/>
    <n v="7"/>
    <x v="0"/>
    <n v="1"/>
    <s v="5-9 Years"/>
    <x v="2"/>
    <s v="5-9 Years"/>
    <x v="0"/>
    <s v="5-9 Years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n v="6694"/>
    <x v="0"/>
    <s v="Medium Income"/>
    <s v="Medium Income"/>
    <s v="Medium Income"/>
    <n v="24223"/>
    <n v="2"/>
    <s v="Y"/>
    <x v="0"/>
    <n v="14"/>
    <n v="3"/>
    <n v="3"/>
    <n v="80"/>
    <n v="3"/>
    <n v="8"/>
    <x v="2"/>
    <n v="5"/>
    <s v="0-4 Years"/>
    <x v="1"/>
    <s v="0-4 Years"/>
    <x v="6"/>
    <s v="0-4 Years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n v="3691"/>
    <x v="1"/>
    <s v="Low Income"/>
    <s v="Low Income"/>
    <s v="Low Income"/>
    <n v="4605"/>
    <n v="1"/>
    <s v="Y"/>
    <x v="0"/>
    <n v="15"/>
    <n v="3"/>
    <n v="2"/>
    <n v="80"/>
    <n v="1"/>
    <n v="7"/>
    <x v="0"/>
    <n v="3"/>
    <s v="5-9 Years"/>
    <x v="3"/>
    <s v="5-9 Years"/>
    <x v="5"/>
    <s v="5-9 Years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n v="2377"/>
    <x v="1"/>
    <s v="Low Income"/>
    <s v="Low Income"/>
    <s v="Low Income"/>
    <n v="19373"/>
    <n v="1"/>
    <s v="Y"/>
    <x v="1"/>
    <n v="20"/>
    <n v="4"/>
    <n v="3"/>
    <n v="80"/>
    <n v="1"/>
    <n v="1"/>
    <x v="2"/>
    <n v="0"/>
    <s v="0-4 Years"/>
    <x v="2"/>
    <s v="0-4 Years"/>
    <x v="6"/>
    <s v="0-4 Years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n v="2313"/>
    <x v="1"/>
    <s v="Low Income"/>
    <s v="Low Income"/>
    <s v="Low Income"/>
    <n v="2993"/>
    <n v="4"/>
    <s v="Y"/>
    <x v="0"/>
    <n v="20"/>
    <n v="4"/>
    <n v="2"/>
    <n v="80"/>
    <n v="0"/>
    <n v="5"/>
    <x v="2"/>
    <n v="0"/>
    <s v="0-4 Years"/>
    <x v="1"/>
    <s v="0-4 Years"/>
    <x v="4"/>
    <s v="0-4 Years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n v="17665"/>
    <x v="2"/>
    <s v="High Income"/>
    <s v="High Income"/>
    <s v="High Income"/>
    <n v="14399"/>
    <n v="0"/>
    <s v="Y"/>
    <x v="1"/>
    <n v="17"/>
    <n v="3"/>
    <n v="4"/>
    <n v="80"/>
    <n v="1"/>
    <n v="23"/>
    <x v="4"/>
    <n v="3"/>
    <s v="15-24 Years"/>
    <x v="1"/>
    <s v="15-24 Years"/>
    <x v="14"/>
    <s v="15-24 Years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n v="2596"/>
    <x v="1"/>
    <s v="Low Income"/>
    <s v="Low Income"/>
    <s v="Low Income"/>
    <n v="7160"/>
    <n v="1"/>
    <s v="Y"/>
    <x v="1"/>
    <n v="15"/>
    <n v="3"/>
    <n v="1"/>
    <n v="80"/>
    <n v="2"/>
    <n v="1"/>
    <x v="2"/>
    <n v="2"/>
    <s v="0-4 Years"/>
    <x v="1"/>
    <s v="0-4 Years"/>
    <x v="6"/>
    <s v="0-4 Years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n v="4728"/>
    <x v="1"/>
    <s v="Low Income"/>
    <s v="Low Income"/>
    <s v="Low Income"/>
    <n v="17251"/>
    <n v="3"/>
    <s v="Y"/>
    <x v="0"/>
    <n v="14"/>
    <n v="3"/>
    <n v="4"/>
    <n v="80"/>
    <n v="0"/>
    <n v="5"/>
    <x v="2"/>
    <n v="4"/>
    <s v="0-4 Years"/>
    <x v="1"/>
    <s v="0-4 Years"/>
    <x v="2"/>
    <s v="0-4 Years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n v="4302"/>
    <x v="1"/>
    <s v="Low Income"/>
    <s v="Low Income"/>
    <s v="Low Income"/>
    <n v="13401"/>
    <n v="0"/>
    <s v="Y"/>
    <x v="1"/>
    <n v="17"/>
    <n v="3"/>
    <n v="3"/>
    <n v="80"/>
    <n v="1"/>
    <n v="4"/>
    <x v="2"/>
    <n v="3"/>
    <s v="0-4 Years"/>
    <x v="1"/>
    <s v="0-4 Years"/>
    <x v="11"/>
    <s v="0-4 Years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n v="2979"/>
    <x v="1"/>
    <s v="Low Income"/>
    <s v="Low Income"/>
    <s v="Low Income"/>
    <n v="22478"/>
    <n v="3"/>
    <s v="Y"/>
    <x v="1"/>
    <n v="17"/>
    <n v="3"/>
    <n v="4"/>
    <n v="80"/>
    <n v="3"/>
    <n v="6"/>
    <x v="2"/>
    <n v="2"/>
    <s v="0-4 Years"/>
    <x v="1"/>
    <s v="0-4 Years"/>
    <x v="2"/>
    <s v="0-4 Years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x v="0"/>
    <s v="Single"/>
    <n v="16885"/>
    <x v="2"/>
    <s v="High Income"/>
    <s v="High Income"/>
    <s v="High Income"/>
    <n v="16154"/>
    <n v="2"/>
    <s v="Y"/>
    <x v="1"/>
    <n v="22"/>
    <n v="4"/>
    <n v="3"/>
    <n v="80"/>
    <n v="0"/>
    <n v="27"/>
    <x v="0"/>
    <n v="3"/>
    <s v="5-9 Years"/>
    <x v="2"/>
    <s v="5-9 Years"/>
    <x v="8"/>
    <s v="5-9 Years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n v="5593"/>
    <x v="0"/>
    <s v="Medium Income"/>
    <s v="Medium Income"/>
    <s v="Medium Income"/>
    <n v="17970"/>
    <n v="1"/>
    <s v="Y"/>
    <x v="1"/>
    <n v="13"/>
    <n v="3"/>
    <n v="4"/>
    <n v="80"/>
    <n v="1"/>
    <n v="15"/>
    <x v="4"/>
    <n v="2"/>
    <s v="15-24 Years"/>
    <x v="1"/>
    <s v="15-24 Years"/>
    <x v="15"/>
    <s v="15-24 Years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n v="10445"/>
    <x v="2"/>
    <s v="High Income"/>
    <s v="High Income"/>
    <s v="High Income"/>
    <n v="15322"/>
    <n v="7"/>
    <s v="Y"/>
    <x v="1"/>
    <n v="19"/>
    <n v="3"/>
    <n v="4"/>
    <n v="80"/>
    <n v="0"/>
    <n v="18"/>
    <x v="0"/>
    <n v="4"/>
    <s v="5-9 Years"/>
    <x v="1"/>
    <s v="5-9 Years"/>
    <x v="3"/>
    <s v="5-9 Years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n v="8740"/>
    <x v="0"/>
    <s v="Medium Income"/>
    <s v="Medium Income"/>
    <s v="Medium Income"/>
    <n v="5569"/>
    <n v="0"/>
    <s v="Y"/>
    <x v="0"/>
    <n v="14"/>
    <n v="3"/>
    <n v="2"/>
    <n v="80"/>
    <n v="2"/>
    <n v="9"/>
    <x v="0"/>
    <n v="2"/>
    <s v="5-9 Years"/>
    <x v="1"/>
    <s v="5-9 Years"/>
    <x v="3"/>
    <s v="5-9 Years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n v="2514"/>
    <x v="1"/>
    <s v="Low Income"/>
    <s v="Low Income"/>
    <s v="Low Income"/>
    <n v="26968"/>
    <n v="4"/>
    <s v="Y"/>
    <x v="1"/>
    <n v="22"/>
    <n v="4"/>
    <n v="1"/>
    <n v="80"/>
    <n v="1"/>
    <n v="11"/>
    <x v="0"/>
    <n v="1"/>
    <s v="5-9 Years"/>
    <x v="1"/>
    <s v="5-9 Years"/>
    <x v="5"/>
    <s v="5-9 Years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n v="7655"/>
    <x v="0"/>
    <s v="Medium Income"/>
    <s v="Medium Income"/>
    <s v="Medium Income"/>
    <n v="8039"/>
    <n v="0"/>
    <s v="Y"/>
    <x v="1"/>
    <n v="17"/>
    <n v="3"/>
    <n v="2"/>
    <n v="80"/>
    <n v="3"/>
    <n v="10"/>
    <x v="0"/>
    <n v="3"/>
    <s v="5-9 Years"/>
    <x v="2"/>
    <s v="5-9 Years"/>
    <x v="7"/>
    <s v="5-9 Years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n v="17465"/>
    <x v="2"/>
    <s v="High Income"/>
    <s v="High Income"/>
    <s v="High Income"/>
    <n v="15596"/>
    <n v="3"/>
    <s v="Y"/>
    <x v="1"/>
    <n v="12"/>
    <n v="3"/>
    <n v="4"/>
    <n v="80"/>
    <n v="1"/>
    <n v="23"/>
    <x v="1"/>
    <n v="3"/>
    <s v="10-14 Years"/>
    <x v="1"/>
    <s v="10-14 Years"/>
    <x v="12"/>
    <s v="10-14 Years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n v="7351"/>
    <x v="0"/>
    <s v="Medium Income"/>
    <s v="Medium Income"/>
    <s v="Medium Income"/>
    <n v="20619"/>
    <n v="7"/>
    <s v="Y"/>
    <x v="1"/>
    <n v="16"/>
    <n v="3"/>
    <n v="3"/>
    <n v="80"/>
    <n v="0"/>
    <n v="10"/>
    <x v="2"/>
    <n v="2"/>
    <s v="0-4 Years"/>
    <x v="1"/>
    <s v="0-4 Years"/>
    <x v="6"/>
    <s v="0-4 Years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n v="10820"/>
    <x v="2"/>
    <s v="High Income"/>
    <s v="High Income"/>
    <s v="High Income"/>
    <n v="11535"/>
    <n v="8"/>
    <s v="Y"/>
    <x v="1"/>
    <n v="11"/>
    <n v="3"/>
    <n v="3"/>
    <n v="80"/>
    <n v="1"/>
    <n v="18"/>
    <x v="0"/>
    <n v="1"/>
    <s v="5-9 Years"/>
    <x v="1"/>
    <s v="5-9 Years"/>
    <x v="3"/>
    <s v="5-9 Years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n v="12169"/>
    <x v="2"/>
    <s v="High Income"/>
    <s v="High Income"/>
    <s v="High Income"/>
    <n v="13547"/>
    <n v="7"/>
    <s v="Y"/>
    <x v="1"/>
    <n v="11"/>
    <n v="3"/>
    <n v="4"/>
    <n v="80"/>
    <n v="3"/>
    <n v="21"/>
    <x v="4"/>
    <n v="4"/>
    <s v="15-24 Years"/>
    <x v="1"/>
    <s v="15-24 Years"/>
    <x v="29"/>
    <s v="15-24 Years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n v="19626"/>
    <x v="2"/>
    <s v="High Income"/>
    <s v="High Income"/>
    <s v="High Income"/>
    <n v="17544"/>
    <n v="1"/>
    <s v="Y"/>
    <x v="1"/>
    <n v="14"/>
    <n v="3"/>
    <n v="1"/>
    <n v="80"/>
    <n v="0"/>
    <n v="21"/>
    <x v="4"/>
    <n v="2"/>
    <s v="15-24 Years"/>
    <x v="3"/>
    <s v="15-24 Years"/>
    <x v="23"/>
    <s v="15-24 Years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n v="2070"/>
    <x v="1"/>
    <s v="Low Income"/>
    <s v="Low Income"/>
    <s v="Low Income"/>
    <n v="25326"/>
    <n v="1"/>
    <s v="Y"/>
    <x v="0"/>
    <n v="11"/>
    <n v="3"/>
    <n v="3"/>
    <n v="80"/>
    <n v="0"/>
    <n v="2"/>
    <x v="2"/>
    <n v="6"/>
    <s v="0-4 Years"/>
    <x v="3"/>
    <s v="0-4 Years"/>
    <x v="4"/>
    <s v="0-4 Years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n v="6782"/>
    <x v="0"/>
    <s v="Medium Income"/>
    <s v="Medium Income"/>
    <s v="Medium Income"/>
    <n v="8770"/>
    <n v="9"/>
    <s v="Y"/>
    <x v="1"/>
    <n v="15"/>
    <n v="3"/>
    <n v="3"/>
    <n v="80"/>
    <n v="0"/>
    <n v="9"/>
    <x v="0"/>
    <n v="2"/>
    <s v="5-9 Years"/>
    <x v="2"/>
    <s v="5-9 Years"/>
    <x v="8"/>
    <s v="5-9 Years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n v="7779"/>
    <x v="0"/>
    <s v="Medium Income"/>
    <s v="Medium Income"/>
    <s v="Medium Income"/>
    <n v="23238"/>
    <n v="2"/>
    <s v="Y"/>
    <x v="1"/>
    <n v="20"/>
    <n v="4"/>
    <n v="1"/>
    <n v="80"/>
    <n v="0"/>
    <n v="18"/>
    <x v="1"/>
    <n v="0"/>
    <s v="10-14 Years"/>
    <x v="1"/>
    <s v="10-14 Years"/>
    <x v="19"/>
    <s v="10-14 Years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n v="2791"/>
    <x v="1"/>
    <s v="Low Income"/>
    <s v="Low Income"/>
    <s v="Low Income"/>
    <n v="21981"/>
    <n v="0"/>
    <s v="Y"/>
    <x v="1"/>
    <n v="12"/>
    <n v="3"/>
    <n v="1"/>
    <n v="80"/>
    <n v="1"/>
    <n v="3"/>
    <x v="2"/>
    <n v="4"/>
    <s v="0-4 Years"/>
    <x v="1"/>
    <s v="0-4 Years"/>
    <x v="4"/>
    <s v="0-4 Years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n v="3201"/>
    <x v="1"/>
    <s v="Low Income"/>
    <s v="Low Income"/>
    <s v="Low Income"/>
    <n v="19911"/>
    <n v="0"/>
    <s v="Y"/>
    <x v="1"/>
    <n v="17"/>
    <n v="3"/>
    <n v="1"/>
    <n v="80"/>
    <n v="0"/>
    <n v="6"/>
    <x v="0"/>
    <n v="2"/>
    <s v="5-9 Years"/>
    <x v="0"/>
    <s v="5-9 Years"/>
    <x v="8"/>
    <s v="5-9 Years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n v="4968"/>
    <x v="1"/>
    <s v="Low Income"/>
    <s v="Low Income"/>
    <s v="Low Income"/>
    <n v="18500"/>
    <n v="1"/>
    <s v="Y"/>
    <x v="1"/>
    <n v="11"/>
    <n v="3"/>
    <n v="4"/>
    <n v="80"/>
    <n v="1"/>
    <n v="5"/>
    <x v="0"/>
    <n v="3"/>
    <s v="5-9 Years"/>
    <x v="1"/>
    <s v="5-9 Years"/>
    <x v="8"/>
    <s v="5-9 Years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n v="13120"/>
    <x v="2"/>
    <s v="High Income"/>
    <s v="High Income"/>
    <s v="High Income"/>
    <n v="11879"/>
    <n v="6"/>
    <s v="Y"/>
    <x v="1"/>
    <n v="17"/>
    <n v="3"/>
    <n v="2"/>
    <n v="80"/>
    <n v="1"/>
    <n v="22"/>
    <x v="0"/>
    <n v="3"/>
    <s v="5-9 Years"/>
    <x v="1"/>
    <s v="5-9 Years"/>
    <x v="7"/>
    <s v="5-9 Years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n v="4033"/>
    <x v="1"/>
    <s v="Low Income"/>
    <s v="Low Income"/>
    <s v="Low Income"/>
    <n v="15834"/>
    <n v="2"/>
    <s v="Y"/>
    <x v="1"/>
    <n v="11"/>
    <n v="3"/>
    <n v="4"/>
    <n v="80"/>
    <n v="0"/>
    <n v="5"/>
    <x v="2"/>
    <n v="3"/>
    <s v="0-4 Years"/>
    <x v="2"/>
    <s v="0-4 Years"/>
    <x v="11"/>
    <s v="0-4 Years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n v="3291"/>
    <x v="1"/>
    <s v="Low Income"/>
    <s v="Low Income"/>
    <s v="Low Income"/>
    <n v="17940"/>
    <n v="0"/>
    <s v="Y"/>
    <x v="1"/>
    <n v="14"/>
    <n v="3"/>
    <n v="4"/>
    <n v="80"/>
    <n v="2"/>
    <n v="8"/>
    <x v="0"/>
    <n v="2"/>
    <s v="5-9 Years"/>
    <x v="2"/>
    <s v="5-9 Years"/>
    <x v="5"/>
    <s v="5-9 Years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n v="4272"/>
    <x v="1"/>
    <s v="Low Income"/>
    <s v="Low Income"/>
    <s v="Low Income"/>
    <n v="9558"/>
    <n v="4"/>
    <s v="Y"/>
    <x v="1"/>
    <n v="19"/>
    <n v="3"/>
    <n v="1"/>
    <n v="80"/>
    <n v="0"/>
    <n v="16"/>
    <x v="2"/>
    <n v="3"/>
    <s v="0-4 Years"/>
    <x v="1"/>
    <s v="0-4 Years"/>
    <x v="6"/>
    <s v="0-4 Years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n v="5056"/>
    <x v="0"/>
    <s v="Medium Income"/>
    <s v="Medium Income"/>
    <s v="Medium Income"/>
    <n v="17689"/>
    <n v="1"/>
    <s v="Y"/>
    <x v="0"/>
    <n v="15"/>
    <n v="3"/>
    <n v="3"/>
    <n v="80"/>
    <n v="1"/>
    <n v="10"/>
    <x v="1"/>
    <n v="2"/>
    <s v="10-14 Years"/>
    <x v="2"/>
    <s v="10-14 Years"/>
    <x v="1"/>
    <s v="10-14 Years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n v="2844"/>
    <x v="1"/>
    <s v="Low Income"/>
    <s v="Low Income"/>
    <s v="Low Income"/>
    <n v="6004"/>
    <n v="1"/>
    <s v="Y"/>
    <x v="1"/>
    <n v="13"/>
    <n v="3"/>
    <n v="4"/>
    <n v="80"/>
    <n v="1"/>
    <n v="7"/>
    <x v="0"/>
    <n v="2"/>
    <s v="5-9 Years"/>
    <x v="3"/>
    <s v="5-9 Years"/>
    <x v="5"/>
    <s v="5-9 Years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n v="2703"/>
    <x v="1"/>
    <s v="Low Income"/>
    <s v="Low Income"/>
    <s v="Low Income"/>
    <n v="22088"/>
    <n v="1"/>
    <s v="Y"/>
    <x v="0"/>
    <n v="14"/>
    <n v="3"/>
    <n v="4"/>
    <n v="80"/>
    <n v="1"/>
    <n v="3"/>
    <x v="2"/>
    <n v="2"/>
    <s v="0-4 Years"/>
    <x v="1"/>
    <s v="0-4 Years"/>
    <x v="11"/>
    <s v="0-4 Years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x v="2"/>
    <s v="Single"/>
    <n v="1904"/>
    <x v="1"/>
    <s v="Low Income"/>
    <s v="Low Income"/>
    <s v="Low Income"/>
    <n v="13556"/>
    <n v="1"/>
    <s v="Y"/>
    <x v="1"/>
    <n v="12"/>
    <n v="3"/>
    <n v="4"/>
    <n v="80"/>
    <n v="0"/>
    <n v="0"/>
    <x v="2"/>
    <n v="0"/>
    <s v="0-4 Years"/>
    <x v="1"/>
    <s v="0-4 Years"/>
    <x v="2"/>
    <s v="0-4 Years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n v="8224"/>
    <x v="0"/>
    <s v="Medium Income"/>
    <s v="Medium Income"/>
    <s v="Medium Income"/>
    <n v="18385"/>
    <n v="0"/>
    <s v="Y"/>
    <x v="0"/>
    <n v="17"/>
    <n v="3"/>
    <n v="1"/>
    <n v="80"/>
    <n v="0"/>
    <n v="6"/>
    <x v="0"/>
    <n v="3"/>
    <s v="5-9 Years"/>
    <x v="1"/>
    <s v="5-9 Years"/>
    <x v="8"/>
    <s v="5-9 Years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n v="4766"/>
    <x v="1"/>
    <s v="Low Income"/>
    <s v="Low Income"/>
    <s v="Low Income"/>
    <n v="9051"/>
    <n v="3"/>
    <s v="Y"/>
    <x v="0"/>
    <n v="11"/>
    <n v="3"/>
    <n v="1"/>
    <n v="80"/>
    <n v="1"/>
    <n v="6"/>
    <x v="2"/>
    <n v="4"/>
    <s v="0-4 Years"/>
    <x v="1"/>
    <s v="0-4 Years"/>
    <x v="6"/>
    <s v="0-4 Years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n v="2610"/>
    <x v="1"/>
    <s v="Low Income"/>
    <s v="Low Income"/>
    <s v="Low Income"/>
    <n v="6233"/>
    <n v="1"/>
    <s v="Y"/>
    <x v="1"/>
    <n v="12"/>
    <n v="3"/>
    <n v="3"/>
    <n v="80"/>
    <n v="1"/>
    <n v="2"/>
    <x v="2"/>
    <n v="5"/>
    <s v="0-4 Years"/>
    <x v="2"/>
    <s v="0-4 Years"/>
    <x v="4"/>
    <s v="0-4 Years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n v="5731"/>
    <x v="0"/>
    <s v="Medium Income"/>
    <s v="Medium Income"/>
    <s v="Medium Income"/>
    <n v="17171"/>
    <n v="7"/>
    <s v="Y"/>
    <x v="1"/>
    <n v="13"/>
    <n v="3"/>
    <n v="3"/>
    <n v="80"/>
    <n v="2"/>
    <n v="9"/>
    <x v="0"/>
    <n v="2"/>
    <s v="5-9 Years"/>
    <x v="1"/>
    <s v="5-9 Years"/>
    <x v="0"/>
    <s v="5-9 Years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n v="2539"/>
    <x v="1"/>
    <s v="Low Income"/>
    <s v="Low Income"/>
    <s v="Low Income"/>
    <n v="7950"/>
    <n v="1"/>
    <s v="Y"/>
    <x v="1"/>
    <n v="13"/>
    <n v="3"/>
    <n v="3"/>
    <n v="80"/>
    <n v="1"/>
    <n v="4"/>
    <x v="2"/>
    <n v="0"/>
    <s v="0-4 Years"/>
    <x v="1"/>
    <s v="0-4 Years"/>
    <x v="9"/>
    <s v="0-4 Years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n v="5714"/>
    <x v="0"/>
    <s v="Medium Income"/>
    <s v="Medium Income"/>
    <s v="Medium Income"/>
    <n v="5829"/>
    <n v="1"/>
    <s v="Y"/>
    <x v="1"/>
    <n v="20"/>
    <n v="4"/>
    <n v="1"/>
    <n v="80"/>
    <n v="0"/>
    <n v="6"/>
    <x v="0"/>
    <n v="3"/>
    <s v="5-9 Years"/>
    <x v="2"/>
    <s v="5-9 Years"/>
    <x v="0"/>
    <s v="5-9 Years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n v="4323"/>
    <x v="1"/>
    <s v="Low Income"/>
    <s v="Low Income"/>
    <s v="Low Income"/>
    <n v="7108"/>
    <n v="1"/>
    <s v="Y"/>
    <x v="1"/>
    <n v="17"/>
    <n v="3"/>
    <n v="2"/>
    <n v="80"/>
    <n v="0"/>
    <n v="6"/>
    <x v="0"/>
    <n v="2"/>
    <s v="5-9 Years"/>
    <x v="0"/>
    <s v="5-9 Years"/>
    <x v="8"/>
    <s v="5-9 Years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n v="7336"/>
    <x v="0"/>
    <s v="Medium Income"/>
    <s v="Medium Income"/>
    <s v="Medium Income"/>
    <n v="11162"/>
    <n v="1"/>
    <s v="Y"/>
    <x v="1"/>
    <n v="13"/>
    <n v="3"/>
    <n v="1"/>
    <n v="80"/>
    <n v="1"/>
    <n v="11"/>
    <x v="1"/>
    <n v="3"/>
    <s v="10-14 Years"/>
    <x v="0"/>
    <s v="10-14 Years"/>
    <x v="19"/>
    <s v="10-14 Years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n v="13499"/>
    <x v="2"/>
    <s v="High Income"/>
    <s v="High Income"/>
    <s v="High Income"/>
    <n v="13782"/>
    <n v="9"/>
    <s v="Y"/>
    <x v="1"/>
    <n v="17"/>
    <n v="3"/>
    <n v="3"/>
    <n v="80"/>
    <n v="0"/>
    <n v="20"/>
    <x v="4"/>
    <n v="3"/>
    <s v="15-24 Years"/>
    <x v="2"/>
    <s v="15-24 Years"/>
    <x v="29"/>
    <s v="15-24 Years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n v="13758"/>
    <x v="2"/>
    <s v="High Income"/>
    <s v="High Income"/>
    <s v="High Income"/>
    <n v="2447"/>
    <n v="0"/>
    <s v="Y"/>
    <x v="0"/>
    <n v="12"/>
    <n v="3"/>
    <n v="2"/>
    <n v="80"/>
    <n v="0"/>
    <n v="22"/>
    <x v="4"/>
    <n v="2"/>
    <s v="15-24 Years"/>
    <x v="2"/>
    <s v="15-24 Years"/>
    <x v="17"/>
    <s v="15-24 Years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n v="5155"/>
    <x v="0"/>
    <s v="Medium Income"/>
    <s v="Medium Income"/>
    <s v="Medium Income"/>
    <n v="2253"/>
    <n v="7"/>
    <s v="Y"/>
    <x v="1"/>
    <n v="13"/>
    <n v="3"/>
    <n v="4"/>
    <n v="80"/>
    <n v="0"/>
    <n v="9"/>
    <x v="0"/>
    <n v="3"/>
    <s v="5-9 Years"/>
    <x v="3"/>
    <s v="5-9 Years"/>
    <x v="0"/>
    <s v="5-9 Years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n v="2258"/>
    <x v="1"/>
    <s v="Low Income"/>
    <s v="Low Income"/>
    <s v="Low Income"/>
    <n v="16340"/>
    <n v="6"/>
    <s v="Y"/>
    <x v="1"/>
    <n v="12"/>
    <n v="3"/>
    <n v="2"/>
    <n v="80"/>
    <n v="1"/>
    <n v="10"/>
    <x v="0"/>
    <n v="2"/>
    <s v="5-9 Years"/>
    <x v="1"/>
    <s v="5-9 Years"/>
    <x v="3"/>
    <s v="5-9 Years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n v="3597"/>
    <x v="1"/>
    <s v="Low Income"/>
    <s v="Low Income"/>
    <s v="Low Income"/>
    <n v="6409"/>
    <n v="8"/>
    <s v="Y"/>
    <x v="1"/>
    <n v="22"/>
    <n v="4"/>
    <n v="4"/>
    <n v="80"/>
    <n v="0"/>
    <n v="6"/>
    <x v="2"/>
    <n v="2"/>
    <s v="0-4 Years"/>
    <x v="1"/>
    <s v="0-4 Years"/>
    <x v="9"/>
    <s v="0-4 Years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n v="2515"/>
    <x v="1"/>
    <s v="Low Income"/>
    <s v="Low Income"/>
    <s v="Low Income"/>
    <n v="22955"/>
    <n v="1"/>
    <s v="Y"/>
    <x v="0"/>
    <n v="11"/>
    <n v="3"/>
    <n v="4"/>
    <n v="80"/>
    <n v="0"/>
    <n v="1"/>
    <x v="2"/>
    <n v="4"/>
    <s v="0-4 Years"/>
    <x v="2"/>
    <s v="0-4 Years"/>
    <x v="6"/>
    <s v="0-4 Years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n v="4420"/>
    <x v="1"/>
    <s v="Low Income"/>
    <s v="Low Income"/>
    <s v="Low Income"/>
    <n v="13421"/>
    <n v="1"/>
    <s v="Y"/>
    <x v="1"/>
    <n v="22"/>
    <n v="4"/>
    <n v="2"/>
    <n v="80"/>
    <n v="1"/>
    <n v="8"/>
    <x v="0"/>
    <n v="2"/>
    <s v="5-9 Years"/>
    <x v="1"/>
    <s v="5-9 Years"/>
    <x v="3"/>
    <s v="5-9 Years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n v="6578"/>
    <x v="0"/>
    <s v="Medium Income"/>
    <s v="Medium Income"/>
    <s v="Medium Income"/>
    <n v="2706"/>
    <n v="1"/>
    <s v="Y"/>
    <x v="1"/>
    <n v="18"/>
    <n v="3"/>
    <n v="1"/>
    <n v="80"/>
    <n v="1"/>
    <n v="10"/>
    <x v="1"/>
    <n v="3"/>
    <s v="10-14 Years"/>
    <x v="1"/>
    <s v="10-14 Years"/>
    <x v="1"/>
    <s v="10-14 Years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n v="4422"/>
    <x v="1"/>
    <s v="Low Income"/>
    <s v="Low Income"/>
    <s v="Low Income"/>
    <n v="21203"/>
    <n v="3"/>
    <s v="Y"/>
    <x v="0"/>
    <n v="13"/>
    <n v="3"/>
    <n v="4"/>
    <n v="80"/>
    <n v="1"/>
    <n v="16"/>
    <x v="2"/>
    <n v="3"/>
    <s v="0-4 Years"/>
    <x v="0"/>
    <s v="0-4 Years"/>
    <x v="6"/>
    <s v="0-4 Years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n v="10274"/>
    <x v="2"/>
    <s v="High Income"/>
    <s v="High Income"/>
    <s v="High Income"/>
    <n v="19588"/>
    <n v="2"/>
    <s v="Y"/>
    <x v="1"/>
    <n v="18"/>
    <n v="3"/>
    <n v="2"/>
    <n v="80"/>
    <n v="1"/>
    <n v="15"/>
    <x v="0"/>
    <n v="2"/>
    <s v="5-9 Years"/>
    <x v="3"/>
    <s v="5-9 Years"/>
    <x v="5"/>
    <s v="5-9 Years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n v="5343"/>
    <x v="0"/>
    <s v="Medium Income"/>
    <s v="Medium Income"/>
    <s v="Medium Income"/>
    <n v="25755"/>
    <n v="0"/>
    <s v="Y"/>
    <x v="1"/>
    <n v="20"/>
    <n v="4"/>
    <n v="3"/>
    <n v="80"/>
    <n v="0"/>
    <n v="14"/>
    <x v="1"/>
    <n v="3"/>
    <s v="10-14 Years"/>
    <x v="1"/>
    <s v="10-14 Years"/>
    <x v="20"/>
    <s v="10-14 Years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n v="2376"/>
    <x v="1"/>
    <s v="Low Income"/>
    <s v="Low Income"/>
    <s v="Low Income"/>
    <n v="26537"/>
    <n v="1"/>
    <s v="Y"/>
    <x v="1"/>
    <n v="13"/>
    <n v="3"/>
    <n v="2"/>
    <n v="80"/>
    <n v="1"/>
    <n v="2"/>
    <x v="2"/>
    <n v="2"/>
    <s v="0-4 Years"/>
    <x v="3"/>
    <s v="0-4 Years"/>
    <x v="4"/>
    <s v="0-4 Years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n v="5346"/>
    <x v="0"/>
    <s v="Medium Income"/>
    <s v="Medium Income"/>
    <s v="Medium Income"/>
    <n v="9489"/>
    <n v="8"/>
    <s v="Y"/>
    <x v="1"/>
    <n v="13"/>
    <n v="3"/>
    <n v="2"/>
    <n v="80"/>
    <n v="0"/>
    <n v="7"/>
    <x v="2"/>
    <n v="2"/>
    <s v="0-4 Years"/>
    <x v="2"/>
    <s v="0-4 Years"/>
    <x v="9"/>
    <s v="0-4 Years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n v="2827"/>
    <x v="1"/>
    <s v="Low Income"/>
    <s v="Low Income"/>
    <s v="Low Income"/>
    <n v="14947"/>
    <n v="1"/>
    <s v="Y"/>
    <x v="1"/>
    <n v="12"/>
    <n v="3"/>
    <n v="3"/>
    <n v="80"/>
    <n v="3"/>
    <n v="1"/>
    <x v="2"/>
    <n v="3"/>
    <s v="0-4 Years"/>
    <x v="1"/>
    <s v="0-4 Years"/>
    <x v="6"/>
    <s v="0-4 Years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n v="19943"/>
    <x v="2"/>
    <s v="High Income"/>
    <s v="High Income"/>
    <s v="High Income"/>
    <n v="18575"/>
    <n v="4"/>
    <s v="Y"/>
    <x v="1"/>
    <n v="13"/>
    <n v="3"/>
    <n v="4"/>
    <n v="80"/>
    <n v="1"/>
    <n v="28"/>
    <x v="0"/>
    <n v="2"/>
    <s v="5-9 Years"/>
    <x v="1"/>
    <s v="5-9 Years"/>
    <x v="8"/>
    <s v="5-9 Years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n v="3131"/>
    <x v="1"/>
    <s v="Low Income"/>
    <s v="Low Income"/>
    <s v="Low Income"/>
    <n v="26342"/>
    <n v="1"/>
    <s v="Y"/>
    <x v="1"/>
    <n v="13"/>
    <n v="3"/>
    <n v="1"/>
    <n v="80"/>
    <n v="1"/>
    <n v="10"/>
    <x v="1"/>
    <n v="5"/>
    <s v="10-14 Years"/>
    <x v="1"/>
    <s v="10-14 Years"/>
    <x v="1"/>
    <s v="10-14 Years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n v="2552"/>
    <x v="1"/>
    <s v="Low Income"/>
    <s v="Low Income"/>
    <s v="Low Income"/>
    <n v="7172"/>
    <n v="1"/>
    <s v="Y"/>
    <x v="1"/>
    <n v="25"/>
    <n v="4"/>
    <n v="3"/>
    <n v="80"/>
    <n v="0"/>
    <n v="1"/>
    <x v="2"/>
    <n v="4"/>
    <s v="0-4 Years"/>
    <x v="1"/>
    <s v="0-4 Years"/>
    <x v="6"/>
    <s v="0-4 Years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n v="4477"/>
    <x v="1"/>
    <s v="Low Income"/>
    <s v="Low Income"/>
    <s v="Low Income"/>
    <n v="20100"/>
    <n v="4"/>
    <s v="Y"/>
    <x v="0"/>
    <n v="19"/>
    <n v="3"/>
    <n v="3"/>
    <n v="80"/>
    <n v="1"/>
    <n v="7"/>
    <x v="2"/>
    <n v="2"/>
    <s v="0-4 Years"/>
    <x v="2"/>
    <s v="0-4 Years"/>
    <x v="11"/>
    <s v="0-4 Years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n v="6474"/>
    <x v="0"/>
    <s v="Medium Income"/>
    <s v="Medium Income"/>
    <s v="Medium Income"/>
    <n v="9961"/>
    <n v="1"/>
    <s v="Y"/>
    <x v="1"/>
    <n v="13"/>
    <n v="3"/>
    <n v="2"/>
    <n v="80"/>
    <n v="1"/>
    <n v="14"/>
    <x v="1"/>
    <n v="2"/>
    <s v="10-14 Years"/>
    <x v="2"/>
    <s v="10-14 Years"/>
    <x v="13"/>
    <s v="10-14 Years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n v="3033"/>
    <x v="1"/>
    <s v="Low Income"/>
    <s v="Low Income"/>
    <s v="Low Income"/>
    <n v="12828"/>
    <n v="1"/>
    <s v="Y"/>
    <x v="1"/>
    <n v="12"/>
    <n v="3"/>
    <n v="1"/>
    <n v="80"/>
    <n v="0"/>
    <n v="2"/>
    <x v="2"/>
    <n v="2"/>
    <s v="0-4 Years"/>
    <x v="2"/>
    <s v="0-4 Years"/>
    <x v="4"/>
    <s v="0-4 Years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n v="2936"/>
    <x v="1"/>
    <s v="Low Income"/>
    <s v="Low Income"/>
    <s v="Low Income"/>
    <n v="10826"/>
    <n v="1"/>
    <s v="Y"/>
    <x v="0"/>
    <n v="11"/>
    <n v="3"/>
    <n v="3"/>
    <n v="80"/>
    <n v="0"/>
    <n v="6"/>
    <x v="0"/>
    <n v="4"/>
    <s v="5-9 Years"/>
    <x v="1"/>
    <s v="5-9 Years"/>
    <x v="0"/>
    <s v="5-9 Years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n v="18606"/>
    <x v="2"/>
    <s v="High Income"/>
    <s v="High Income"/>
    <s v="High Income"/>
    <n v="18640"/>
    <n v="3"/>
    <s v="Y"/>
    <x v="1"/>
    <n v="18"/>
    <n v="3"/>
    <n v="2"/>
    <n v="80"/>
    <n v="1"/>
    <n v="26"/>
    <x v="0"/>
    <n v="6"/>
    <s v="5-9 Years"/>
    <x v="1"/>
    <s v="5-9 Years"/>
    <x v="5"/>
    <s v="5-9 Years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n v="2168"/>
    <x v="1"/>
    <s v="Low Income"/>
    <s v="Low Income"/>
    <s v="Low Income"/>
    <n v="26933"/>
    <n v="0"/>
    <s v="Y"/>
    <x v="0"/>
    <n v="18"/>
    <n v="3"/>
    <n v="1"/>
    <n v="80"/>
    <n v="1"/>
    <n v="6"/>
    <x v="0"/>
    <n v="2"/>
    <s v="5-9 Years"/>
    <x v="2"/>
    <s v="5-9 Years"/>
    <x v="8"/>
    <s v="5-9 Years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n v="2853"/>
    <x v="1"/>
    <s v="Low Income"/>
    <s v="Low Income"/>
    <s v="Low Income"/>
    <n v="4223"/>
    <n v="0"/>
    <s v="Y"/>
    <x v="0"/>
    <n v="11"/>
    <n v="3"/>
    <n v="2"/>
    <n v="80"/>
    <n v="1"/>
    <n v="1"/>
    <x v="2"/>
    <n v="5"/>
    <s v="0-4 Years"/>
    <x v="1"/>
    <s v="0-4 Years"/>
    <x v="2"/>
    <s v="0-4 Years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n v="17048"/>
    <x v="2"/>
    <s v="High Income"/>
    <s v="High Income"/>
    <s v="High Income"/>
    <n v="24097"/>
    <n v="8"/>
    <s v="Y"/>
    <x v="1"/>
    <n v="23"/>
    <n v="4"/>
    <n v="1"/>
    <n v="80"/>
    <n v="0"/>
    <n v="28"/>
    <x v="3"/>
    <n v="2"/>
    <s v="25+ Years"/>
    <x v="1"/>
    <s v="25+ Years"/>
    <x v="34"/>
    <s v="25+ Years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n v="2290"/>
    <x v="1"/>
    <s v="Low Income"/>
    <s v="Low Income"/>
    <s v="Low Income"/>
    <n v="4279"/>
    <n v="2"/>
    <s v="Y"/>
    <x v="1"/>
    <n v="13"/>
    <n v="3"/>
    <n v="4"/>
    <n v="80"/>
    <n v="0"/>
    <n v="6"/>
    <x v="2"/>
    <n v="3"/>
    <s v="0-4 Years"/>
    <x v="1"/>
    <s v="0-4 Years"/>
    <x v="2"/>
    <s v="0-4 Years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n v="3600"/>
    <x v="1"/>
    <s v="Low Income"/>
    <s v="Low Income"/>
    <s v="Low Income"/>
    <n v="8429"/>
    <n v="1"/>
    <s v="Y"/>
    <x v="1"/>
    <n v="13"/>
    <n v="3"/>
    <n v="4"/>
    <n v="80"/>
    <n v="1"/>
    <n v="5"/>
    <x v="0"/>
    <n v="2"/>
    <s v="5-9 Years"/>
    <x v="1"/>
    <s v="5-9 Years"/>
    <x v="8"/>
    <s v="5-9 Years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n v="2107"/>
    <x v="1"/>
    <s v="Low Income"/>
    <s v="Low Income"/>
    <s v="Low Income"/>
    <n v="20293"/>
    <n v="6"/>
    <s v="Y"/>
    <x v="1"/>
    <n v="17"/>
    <n v="3"/>
    <n v="1"/>
    <n v="80"/>
    <n v="1"/>
    <n v="5"/>
    <x v="2"/>
    <n v="2"/>
    <s v="0-4 Years"/>
    <x v="0"/>
    <s v="0-4 Years"/>
    <x v="6"/>
    <s v="0-4 Years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n v="4115"/>
    <x v="1"/>
    <s v="Low Income"/>
    <s v="Low Income"/>
    <s v="Low Income"/>
    <n v="13192"/>
    <n v="8"/>
    <s v="Y"/>
    <x v="1"/>
    <n v="19"/>
    <n v="3"/>
    <n v="3"/>
    <n v="80"/>
    <n v="3"/>
    <n v="8"/>
    <x v="2"/>
    <n v="3"/>
    <s v="0-4 Years"/>
    <x v="1"/>
    <s v="0-4 Years"/>
    <x v="9"/>
    <s v="0-4 Years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n v="4327"/>
    <x v="1"/>
    <s v="Low Income"/>
    <s v="Low Income"/>
    <s v="Low Income"/>
    <n v="25440"/>
    <n v="5"/>
    <s v="Y"/>
    <x v="1"/>
    <n v="12"/>
    <n v="3"/>
    <n v="4"/>
    <n v="80"/>
    <n v="3"/>
    <n v="5"/>
    <x v="2"/>
    <n v="2"/>
    <s v="0-4 Years"/>
    <x v="1"/>
    <s v="0-4 Years"/>
    <x v="2"/>
    <s v="0-4 Years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n v="17856"/>
    <x v="2"/>
    <s v="High Income"/>
    <s v="High Income"/>
    <s v="High Income"/>
    <n v="9490"/>
    <n v="2"/>
    <s v="Y"/>
    <x v="1"/>
    <n v="22"/>
    <n v="4"/>
    <n v="3"/>
    <n v="80"/>
    <n v="1"/>
    <n v="32"/>
    <x v="2"/>
    <n v="3"/>
    <s v="0-4 Years"/>
    <x v="1"/>
    <s v="0-4 Years"/>
    <x v="4"/>
    <s v="0-4 Years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n v="3196"/>
    <x v="1"/>
    <s v="Low Income"/>
    <s v="Low Income"/>
    <s v="Low Income"/>
    <n v="12449"/>
    <n v="1"/>
    <s v="Y"/>
    <x v="1"/>
    <n v="12"/>
    <n v="3"/>
    <n v="3"/>
    <n v="80"/>
    <n v="3"/>
    <n v="6"/>
    <x v="0"/>
    <n v="2"/>
    <s v="5-9 Years"/>
    <x v="1"/>
    <s v="5-9 Years"/>
    <x v="0"/>
    <s v="5-9 Years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n v="19081"/>
    <x v="2"/>
    <s v="High Income"/>
    <s v="High Income"/>
    <s v="High Income"/>
    <n v="10849"/>
    <n v="5"/>
    <s v="Y"/>
    <x v="1"/>
    <n v="11"/>
    <n v="3"/>
    <n v="1"/>
    <n v="80"/>
    <n v="1"/>
    <n v="25"/>
    <x v="2"/>
    <n v="2"/>
    <s v="0-4 Years"/>
    <x v="1"/>
    <s v="0-4 Years"/>
    <x v="9"/>
    <s v="0-4 Years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n v="8966"/>
    <x v="0"/>
    <s v="Medium Income"/>
    <s v="Medium Income"/>
    <s v="Medium Income"/>
    <n v="21026"/>
    <n v="3"/>
    <s v="Y"/>
    <x v="0"/>
    <n v="15"/>
    <n v="3"/>
    <n v="4"/>
    <n v="80"/>
    <n v="3"/>
    <n v="15"/>
    <x v="0"/>
    <n v="2"/>
    <s v="5-9 Years"/>
    <x v="1"/>
    <s v="5-9 Years"/>
    <x v="5"/>
    <s v="5-9 Years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n v="2210"/>
    <x v="1"/>
    <s v="Low Income"/>
    <s v="Low Income"/>
    <s v="Low Income"/>
    <n v="3372"/>
    <n v="1"/>
    <s v="Y"/>
    <x v="1"/>
    <n v="13"/>
    <n v="3"/>
    <n v="1"/>
    <n v="80"/>
    <n v="1"/>
    <n v="1"/>
    <x v="2"/>
    <n v="3"/>
    <s v="0-4 Years"/>
    <x v="0"/>
    <s v="0-4 Years"/>
    <x v="6"/>
    <s v="0-4 Years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n v="4539"/>
    <x v="1"/>
    <s v="Low Income"/>
    <s v="Low Income"/>
    <s v="Low Income"/>
    <n v="4905"/>
    <n v="1"/>
    <s v="Y"/>
    <x v="1"/>
    <n v="12"/>
    <n v="3"/>
    <n v="1"/>
    <n v="80"/>
    <n v="1"/>
    <n v="10"/>
    <x v="1"/>
    <n v="3"/>
    <s v="10-14 Years"/>
    <x v="2"/>
    <s v="10-14 Years"/>
    <x v="1"/>
    <s v="10-14 Years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n v="2741"/>
    <x v="1"/>
    <s v="Low Income"/>
    <s v="Low Income"/>
    <s v="Low Income"/>
    <n v="6865"/>
    <n v="1"/>
    <s v="Y"/>
    <x v="1"/>
    <n v="14"/>
    <n v="3"/>
    <n v="3"/>
    <n v="80"/>
    <n v="1"/>
    <n v="7"/>
    <x v="0"/>
    <n v="4"/>
    <s v="5-9 Years"/>
    <x v="1"/>
    <s v="5-9 Years"/>
    <x v="5"/>
    <s v="5-9 Years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n v="3491"/>
    <x v="1"/>
    <s v="Low Income"/>
    <s v="Low Income"/>
    <s v="Low Income"/>
    <n v="11309"/>
    <n v="1"/>
    <s v="Y"/>
    <x v="1"/>
    <n v="13"/>
    <n v="3"/>
    <n v="1"/>
    <n v="80"/>
    <n v="3"/>
    <n v="10"/>
    <x v="1"/>
    <n v="4"/>
    <s v="10-14 Years"/>
    <x v="2"/>
    <s v="10-14 Years"/>
    <x v="1"/>
    <s v="10-14 Years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n v="4541"/>
    <x v="1"/>
    <s v="Low Income"/>
    <s v="Low Income"/>
    <s v="Low Income"/>
    <n v="7744"/>
    <n v="1"/>
    <s v="Y"/>
    <x v="1"/>
    <n v="25"/>
    <n v="4"/>
    <n v="2"/>
    <n v="80"/>
    <n v="0"/>
    <n v="20"/>
    <x v="4"/>
    <n v="3"/>
    <s v="15-24 Years"/>
    <x v="1"/>
    <s v="15-24 Years"/>
    <x v="23"/>
    <s v="15-24 Years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n v="2678"/>
    <x v="1"/>
    <s v="Low Income"/>
    <s v="Low Income"/>
    <s v="Low Income"/>
    <n v="5050"/>
    <n v="1"/>
    <s v="Y"/>
    <x v="1"/>
    <n v="17"/>
    <n v="3"/>
    <n v="4"/>
    <n v="80"/>
    <n v="0"/>
    <n v="2"/>
    <x v="2"/>
    <n v="2"/>
    <s v="0-4 Years"/>
    <x v="1"/>
    <s v="0-4 Years"/>
    <x v="4"/>
    <s v="0-4 Years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n v="7379"/>
    <x v="0"/>
    <s v="Medium Income"/>
    <s v="Medium Income"/>
    <s v="Medium Income"/>
    <n v="17433"/>
    <n v="2"/>
    <s v="Y"/>
    <x v="1"/>
    <n v="11"/>
    <n v="3"/>
    <n v="3"/>
    <n v="80"/>
    <n v="1"/>
    <n v="12"/>
    <x v="0"/>
    <n v="3"/>
    <s v="5-9 Years"/>
    <x v="2"/>
    <s v="5-9 Years"/>
    <x v="0"/>
    <s v="5-9 Years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x v="3"/>
    <s v="Married"/>
    <n v="6272"/>
    <x v="0"/>
    <s v="Medium Income"/>
    <s v="Medium Income"/>
    <s v="Medium Income"/>
    <n v="12858"/>
    <n v="7"/>
    <s v="Y"/>
    <x v="1"/>
    <n v="16"/>
    <n v="3"/>
    <n v="1"/>
    <n v="80"/>
    <n v="1"/>
    <n v="10"/>
    <x v="2"/>
    <n v="3"/>
    <s v="0-4 Years"/>
    <x v="3"/>
    <s v="0-4 Years"/>
    <x v="9"/>
    <s v="0-4 Years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n v="5220"/>
    <x v="0"/>
    <s v="Medium Income"/>
    <s v="Medium Income"/>
    <s v="Medium Income"/>
    <n v="10893"/>
    <n v="0"/>
    <s v="Y"/>
    <x v="0"/>
    <n v="18"/>
    <n v="3"/>
    <n v="2"/>
    <n v="80"/>
    <n v="1"/>
    <n v="12"/>
    <x v="1"/>
    <n v="3"/>
    <s v="10-14 Years"/>
    <x v="1"/>
    <s v="10-14 Years"/>
    <x v="19"/>
    <s v="10-14 Years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n v="2743"/>
    <x v="1"/>
    <s v="Low Income"/>
    <s v="Low Income"/>
    <s v="Low Income"/>
    <n v="7331"/>
    <n v="1"/>
    <s v="Y"/>
    <x v="1"/>
    <n v="20"/>
    <n v="4"/>
    <n v="3"/>
    <n v="80"/>
    <n v="1"/>
    <n v="2"/>
    <x v="2"/>
    <n v="2"/>
    <s v="0-4 Years"/>
    <x v="1"/>
    <s v="0-4 Years"/>
    <x v="4"/>
    <s v="0-4 Years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n v="4998"/>
    <x v="1"/>
    <s v="Low Income"/>
    <s v="Low Income"/>
    <s v="Low Income"/>
    <n v="2338"/>
    <n v="4"/>
    <s v="Y"/>
    <x v="0"/>
    <n v="14"/>
    <n v="3"/>
    <n v="4"/>
    <n v="80"/>
    <n v="0"/>
    <n v="10"/>
    <x v="0"/>
    <n v="2"/>
    <s v="5-9 Years"/>
    <x v="1"/>
    <s v="5-9 Years"/>
    <x v="3"/>
    <s v="5-9 Years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n v="10252"/>
    <x v="2"/>
    <s v="High Income"/>
    <s v="High Income"/>
    <s v="High Income"/>
    <n v="4235"/>
    <n v="2"/>
    <s v="Y"/>
    <x v="0"/>
    <n v="21"/>
    <n v="4"/>
    <n v="3"/>
    <n v="80"/>
    <n v="1"/>
    <n v="17"/>
    <x v="0"/>
    <n v="2"/>
    <s v="5-9 Years"/>
    <x v="1"/>
    <s v="5-9 Years"/>
    <x v="5"/>
    <s v="5-9 Years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n v="2781"/>
    <x v="1"/>
    <s v="Low Income"/>
    <s v="Low Income"/>
    <s v="Low Income"/>
    <n v="6311"/>
    <n v="0"/>
    <s v="Y"/>
    <x v="1"/>
    <n v="13"/>
    <n v="3"/>
    <n v="2"/>
    <n v="80"/>
    <n v="1"/>
    <n v="15"/>
    <x v="1"/>
    <n v="5"/>
    <s v="10-14 Years"/>
    <x v="1"/>
    <s v="10-14 Years"/>
    <x v="13"/>
    <s v="10-14 Years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n v="6852"/>
    <x v="0"/>
    <s v="Medium Income"/>
    <s v="Medium Income"/>
    <s v="Medium Income"/>
    <n v="11591"/>
    <n v="7"/>
    <s v="Y"/>
    <x v="1"/>
    <n v="12"/>
    <n v="3"/>
    <n v="2"/>
    <n v="80"/>
    <n v="1"/>
    <n v="7"/>
    <x v="0"/>
    <n v="2"/>
    <s v="5-9 Years"/>
    <x v="3"/>
    <s v="5-9 Years"/>
    <x v="8"/>
    <s v="5-9 Years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n v="4950"/>
    <x v="1"/>
    <s v="Low Income"/>
    <s v="Low Income"/>
    <s v="Low Income"/>
    <n v="20623"/>
    <n v="0"/>
    <s v="Y"/>
    <x v="1"/>
    <n v="14"/>
    <n v="3"/>
    <n v="2"/>
    <n v="80"/>
    <n v="0"/>
    <n v="5"/>
    <x v="2"/>
    <n v="4"/>
    <s v="0-4 Years"/>
    <x v="1"/>
    <s v="0-4 Years"/>
    <x v="9"/>
    <s v="0-4 Years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n v="3579"/>
    <x v="1"/>
    <s v="Low Income"/>
    <s v="Low Income"/>
    <s v="Low Income"/>
    <n v="9369"/>
    <n v="0"/>
    <s v="Y"/>
    <x v="0"/>
    <n v="21"/>
    <n v="4"/>
    <n v="1"/>
    <n v="80"/>
    <n v="1"/>
    <n v="12"/>
    <x v="1"/>
    <n v="2"/>
    <s v="10-14 Years"/>
    <x v="1"/>
    <s v="10-14 Years"/>
    <x v="19"/>
    <s v="10-14 Years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n v="13191"/>
    <x v="2"/>
    <s v="High Income"/>
    <s v="High Income"/>
    <s v="High Income"/>
    <n v="23281"/>
    <n v="3"/>
    <s v="Y"/>
    <x v="0"/>
    <n v="17"/>
    <n v="3"/>
    <n v="3"/>
    <n v="80"/>
    <n v="0"/>
    <n v="20"/>
    <x v="2"/>
    <n v="6"/>
    <s v="0-4 Years"/>
    <x v="1"/>
    <s v="0-4 Years"/>
    <x v="6"/>
    <s v="0-4 Years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n v="10377"/>
    <x v="2"/>
    <s v="High Income"/>
    <s v="High Income"/>
    <s v="High Income"/>
    <n v="13755"/>
    <n v="4"/>
    <s v="Y"/>
    <x v="0"/>
    <n v="11"/>
    <n v="3"/>
    <n v="2"/>
    <n v="80"/>
    <n v="1"/>
    <n v="16"/>
    <x v="1"/>
    <n v="6"/>
    <s v="10-14 Years"/>
    <x v="2"/>
    <s v="10-14 Years"/>
    <x v="20"/>
    <s v="10-14 Years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n v="2235"/>
    <x v="1"/>
    <s v="Low Income"/>
    <s v="Low Income"/>
    <s v="Low Income"/>
    <n v="14377"/>
    <n v="1"/>
    <s v="Y"/>
    <x v="0"/>
    <n v="14"/>
    <n v="3"/>
    <n v="4"/>
    <n v="80"/>
    <n v="2"/>
    <n v="9"/>
    <x v="0"/>
    <n v="3"/>
    <s v="5-9 Years"/>
    <x v="2"/>
    <s v="5-9 Years"/>
    <x v="7"/>
    <s v="5-9 Years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n v="10502"/>
    <x v="2"/>
    <s v="High Income"/>
    <s v="High Income"/>
    <s v="High Income"/>
    <n v="9659"/>
    <n v="7"/>
    <s v="Y"/>
    <x v="1"/>
    <n v="17"/>
    <n v="3"/>
    <n v="1"/>
    <n v="80"/>
    <n v="1"/>
    <n v="33"/>
    <x v="0"/>
    <n v="2"/>
    <s v="5-9 Years"/>
    <x v="0"/>
    <s v="5-9 Years"/>
    <x v="8"/>
    <s v="5-9 Years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n v="2011"/>
    <x v="1"/>
    <s v="Low Income"/>
    <s v="Low Income"/>
    <s v="Low Income"/>
    <n v="19982"/>
    <n v="1"/>
    <s v="Y"/>
    <x v="1"/>
    <n v="13"/>
    <n v="3"/>
    <n v="4"/>
    <n v="80"/>
    <n v="1"/>
    <n v="10"/>
    <x v="1"/>
    <n v="5"/>
    <s v="10-14 Years"/>
    <x v="1"/>
    <s v="10-14 Years"/>
    <x v="1"/>
    <s v="10-14 Years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n v="1859"/>
    <x v="1"/>
    <s v="Low Income"/>
    <s v="Low Income"/>
    <s v="Low Income"/>
    <n v="6148"/>
    <n v="1"/>
    <s v="Y"/>
    <x v="0"/>
    <n v="25"/>
    <n v="4"/>
    <n v="2"/>
    <n v="80"/>
    <n v="0"/>
    <n v="1"/>
    <x v="2"/>
    <n v="2"/>
    <s v="0-4 Years"/>
    <x v="3"/>
    <s v="0-4 Years"/>
    <x v="6"/>
    <s v="0-4 Years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n v="3760"/>
    <x v="1"/>
    <s v="Low Income"/>
    <s v="Low Income"/>
    <s v="Low Income"/>
    <n v="5598"/>
    <n v="1"/>
    <s v="Y"/>
    <x v="1"/>
    <n v="15"/>
    <n v="3"/>
    <n v="1"/>
    <n v="80"/>
    <n v="3"/>
    <n v="3"/>
    <x v="2"/>
    <n v="5"/>
    <s v="0-4 Years"/>
    <x v="1"/>
    <s v="0-4 Years"/>
    <x v="11"/>
    <s v="0-4 Years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n v="17779"/>
    <x v="2"/>
    <s v="High Income"/>
    <s v="High Income"/>
    <s v="High Income"/>
    <n v="23474"/>
    <n v="3"/>
    <s v="Y"/>
    <x v="1"/>
    <n v="14"/>
    <n v="3"/>
    <n v="1"/>
    <n v="80"/>
    <n v="0"/>
    <n v="36"/>
    <x v="1"/>
    <n v="2"/>
    <s v="10-14 Years"/>
    <x v="1"/>
    <s v="10-14 Years"/>
    <x v="1"/>
    <s v="10-14 Years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n v="6833"/>
    <x v="0"/>
    <s v="Medium Income"/>
    <s v="Medium Income"/>
    <s v="Medium Income"/>
    <n v="17089"/>
    <n v="1"/>
    <s v="Y"/>
    <x v="0"/>
    <n v="12"/>
    <n v="3"/>
    <n v="4"/>
    <n v="80"/>
    <n v="0"/>
    <n v="6"/>
    <x v="0"/>
    <n v="2"/>
    <s v="5-9 Years"/>
    <x v="2"/>
    <s v="5-9 Years"/>
    <x v="0"/>
    <s v="5-9 Years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n v="6812"/>
    <x v="0"/>
    <s v="Medium Income"/>
    <s v="Medium Income"/>
    <s v="Medium Income"/>
    <n v="17198"/>
    <n v="1"/>
    <s v="Y"/>
    <x v="1"/>
    <n v="19"/>
    <n v="3"/>
    <n v="2"/>
    <n v="80"/>
    <n v="0"/>
    <n v="10"/>
    <x v="1"/>
    <n v="2"/>
    <s v="10-14 Years"/>
    <x v="1"/>
    <s v="10-14 Years"/>
    <x v="1"/>
    <s v="10-14 Years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n v="5171"/>
    <x v="0"/>
    <s v="Medium Income"/>
    <s v="Medium Income"/>
    <s v="Medium Income"/>
    <n v="16490"/>
    <n v="5"/>
    <s v="Y"/>
    <x v="1"/>
    <n v="17"/>
    <n v="3"/>
    <n v="4"/>
    <n v="80"/>
    <n v="0"/>
    <n v="13"/>
    <x v="0"/>
    <n v="2"/>
    <s v="5-9 Years"/>
    <x v="1"/>
    <s v="5-9 Years"/>
    <x v="0"/>
    <s v="5-9 Years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n v="19740"/>
    <x v="2"/>
    <s v="High Income"/>
    <s v="High Income"/>
    <s v="High Income"/>
    <n v="18625"/>
    <n v="3"/>
    <s v="Y"/>
    <x v="1"/>
    <n v="14"/>
    <n v="3"/>
    <n v="2"/>
    <n v="80"/>
    <n v="1"/>
    <n v="25"/>
    <x v="0"/>
    <n v="2"/>
    <s v="5-9 Years"/>
    <x v="1"/>
    <s v="5-9 Years"/>
    <x v="3"/>
    <s v="5-9 Years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n v="18711"/>
    <x v="2"/>
    <s v="High Income"/>
    <s v="High Income"/>
    <s v="High Income"/>
    <n v="12124"/>
    <n v="2"/>
    <s v="Y"/>
    <x v="1"/>
    <n v="13"/>
    <n v="3"/>
    <n v="3"/>
    <n v="80"/>
    <n v="1"/>
    <n v="23"/>
    <x v="2"/>
    <n v="2"/>
    <s v="0-4 Years"/>
    <x v="3"/>
    <s v="0-4 Years"/>
    <x v="6"/>
    <s v="0-4 Years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n v="3692"/>
    <x v="1"/>
    <s v="Low Income"/>
    <s v="Low Income"/>
    <s v="Low Income"/>
    <n v="9256"/>
    <n v="1"/>
    <s v="Y"/>
    <x v="1"/>
    <n v="12"/>
    <n v="3"/>
    <n v="3"/>
    <n v="80"/>
    <n v="0"/>
    <n v="12"/>
    <x v="1"/>
    <n v="2"/>
    <s v="10-14 Years"/>
    <x v="2"/>
    <s v="10-14 Years"/>
    <x v="19"/>
    <s v="10-14 Years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n v="2559"/>
    <x v="1"/>
    <s v="Low Income"/>
    <s v="Low Income"/>
    <s v="Low Income"/>
    <n v="16620"/>
    <n v="5"/>
    <s v="Y"/>
    <x v="1"/>
    <n v="11"/>
    <n v="3"/>
    <n v="3"/>
    <n v="80"/>
    <n v="0"/>
    <n v="7"/>
    <x v="2"/>
    <n v="4"/>
    <s v="0-4 Years"/>
    <x v="2"/>
    <s v="0-4 Years"/>
    <x v="6"/>
    <s v="0-4 Years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n v="2517"/>
    <x v="1"/>
    <s v="Low Income"/>
    <s v="Low Income"/>
    <s v="Low Income"/>
    <n v="3208"/>
    <n v="1"/>
    <s v="Y"/>
    <x v="1"/>
    <n v="11"/>
    <n v="3"/>
    <n v="2"/>
    <n v="80"/>
    <n v="3"/>
    <n v="5"/>
    <x v="0"/>
    <n v="2"/>
    <s v="5-9 Years"/>
    <x v="1"/>
    <s v="5-9 Years"/>
    <x v="8"/>
    <s v="5-9 Years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n v="6623"/>
    <x v="0"/>
    <s v="Medium Income"/>
    <s v="Medium Income"/>
    <s v="Medium Income"/>
    <n v="4204"/>
    <n v="1"/>
    <s v="Y"/>
    <x v="0"/>
    <n v="11"/>
    <n v="3"/>
    <n v="2"/>
    <n v="80"/>
    <n v="2"/>
    <n v="6"/>
    <x v="0"/>
    <n v="2"/>
    <s v="5-9 Years"/>
    <x v="1"/>
    <s v="5-9 Years"/>
    <x v="0"/>
    <s v="5-9 Years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n v="18265"/>
    <x v="2"/>
    <s v="High Income"/>
    <s v="High Income"/>
    <s v="High Income"/>
    <n v="8733"/>
    <n v="6"/>
    <s v="Y"/>
    <x v="1"/>
    <n v="12"/>
    <n v="3"/>
    <n v="3"/>
    <n v="80"/>
    <n v="0"/>
    <n v="25"/>
    <x v="2"/>
    <n v="3"/>
    <s v="0-4 Years"/>
    <x v="3"/>
    <s v="0-4 Years"/>
    <x v="6"/>
    <s v="0-4 Years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n v="16124"/>
    <x v="2"/>
    <s v="High Income"/>
    <s v="High Income"/>
    <s v="High Income"/>
    <n v="3423"/>
    <n v="3"/>
    <s v="Y"/>
    <x v="1"/>
    <n v="14"/>
    <n v="3"/>
    <n v="2"/>
    <n v="80"/>
    <n v="2"/>
    <n v="9"/>
    <x v="0"/>
    <n v="2"/>
    <s v="5-9 Years"/>
    <x v="2"/>
    <s v="5-9 Years"/>
    <x v="5"/>
    <s v="5-9 Years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n v="2585"/>
    <x v="1"/>
    <s v="Low Income"/>
    <s v="Low Income"/>
    <s v="Low Income"/>
    <n v="21643"/>
    <n v="0"/>
    <s v="Y"/>
    <x v="1"/>
    <n v="17"/>
    <n v="3"/>
    <n v="4"/>
    <n v="80"/>
    <n v="0"/>
    <n v="2"/>
    <x v="2"/>
    <n v="5"/>
    <s v="0-4 Years"/>
    <x v="2"/>
    <s v="0-4 Years"/>
    <x v="6"/>
    <s v="0-4 Years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n v="18213"/>
    <x v="2"/>
    <s v="High Income"/>
    <s v="High Income"/>
    <s v="High Income"/>
    <n v="8751"/>
    <n v="7"/>
    <s v="Y"/>
    <x v="1"/>
    <n v="11"/>
    <n v="3"/>
    <n v="3"/>
    <n v="80"/>
    <n v="1"/>
    <n v="26"/>
    <x v="4"/>
    <n v="5"/>
    <s v="15-24 Years"/>
    <x v="1"/>
    <s v="15-24 Years"/>
    <x v="14"/>
    <s v="15-24 Years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n v="8380"/>
    <x v="0"/>
    <s v="Medium Income"/>
    <s v="Medium Income"/>
    <s v="Medium Income"/>
    <n v="21708"/>
    <n v="0"/>
    <s v="Y"/>
    <x v="0"/>
    <n v="14"/>
    <n v="3"/>
    <n v="4"/>
    <n v="80"/>
    <n v="2"/>
    <n v="10"/>
    <x v="0"/>
    <n v="3"/>
    <s v="5-9 Years"/>
    <x v="1"/>
    <s v="5-9 Years"/>
    <x v="7"/>
    <s v="5-9 Years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n v="2994"/>
    <x v="1"/>
    <s v="Low Income"/>
    <s v="Low Income"/>
    <s v="Low Income"/>
    <n v="21221"/>
    <n v="1"/>
    <s v="Y"/>
    <x v="0"/>
    <n v="12"/>
    <n v="3"/>
    <n v="4"/>
    <n v="80"/>
    <n v="0"/>
    <n v="1"/>
    <x v="2"/>
    <n v="2"/>
    <s v="0-4 Years"/>
    <x v="1"/>
    <s v="0-4 Years"/>
    <x v="6"/>
    <s v="0-4 Years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n v="1223"/>
    <x v="1"/>
    <s v="Low Income"/>
    <s v="Low Income"/>
    <s v="Low Income"/>
    <n v="16901"/>
    <n v="1"/>
    <s v="Y"/>
    <x v="1"/>
    <n v="22"/>
    <n v="4"/>
    <n v="4"/>
    <n v="80"/>
    <n v="1"/>
    <n v="1"/>
    <x v="2"/>
    <n v="2"/>
    <s v="0-4 Years"/>
    <x v="1"/>
    <s v="0-4 Years"/>
    <x v="6"/>
    <s v="0-4 Years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n v="1118"/>
    <x v="1"/>
    <s v="Low Income"/>
    <s v="Low Income"/>
    <s v="Low Income"/>
    <n v="8040"/>
    <n v="1"/>
    <s v="Y"/>
    <x v="0"/>
    <n v="14"/>
    <n v="3"/>
    <n v="4"/>
    <n v="80"/>
    <n v="0"/>
    <n v="1"/>
    <x v="2"/>
    <n v="4"/>
    <s v="0-4 Years"/>
    <x v="1"/>
    <s v="0-4 Years"/>
    <x v="6"/>
    <s v="0-4 Years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n v="2875"/>
    <x v="1"/>
    <s v="Low Income"/>
    <s v="Low Income"/>
    <s v="Low Income"/>
    <n v="9973"/>
    <n v="1"/>
    <s v="Y"/>
    <x v="0"/>
    <n v="20"/>
    <n v="4"/>
    <n v="2"/>
    <n v="80"/>
    <n v="0"/>
    <n v="8"/>
    <x v="0"/>
    <n v="2"/>
    <s v="5-9 Years"/>
    <x v="2"/>
    <s v="5-9 Years"/>
    <x v="3"/>
    <s v="5-9 Years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n v="18824"/>
    <x v="2"/>
    <s v="High Income"/>
    <s v="High Income"/>
    <s v="High Income"/>
    <n v="2493"/>
    <n v="2"/>
    <s v="Y"/>
    <x v="0"/>
    <n v="16"/>
    <n v="3"/>
    <n v="1"/>
    <n v="80"/>
    <n v="0"/>
    <n v="26"/>
    <x v="4"/>
    <n v="2"/>
    <s v="15-24 Years"/>
    <x v="1"/>
    <s v="15-24 Years"/>
    <x v="25"/>
    <s v="15-24 Years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n v="13577"/>
    <x v="2"/>
    <s v="High Income"/>
    <s v="High Income"/>
    <s v="High Income"/>
    <n v="25592"/>
    <n v="1"/>
    <s v="Y"/>
    <x v="0"/>
    <n v="15"/>
    <n v="3"/>
    <n v="4"/>
    <n v="80"/>
    <n v="1"/>
    <n v="34"/>
    <x v="3"/>
    <n v="3"/>
    <s v="25+ Years"/>
    <x v="1"/>
    <s v="25+ Years"/>
    <x v="26"/>
    <s v="25+ Years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n v="2625"/>
    <x v="1"/>
    <s v="Low Income"/>
    <s v="Low Income"/>
    <s v="Low Income"/>
    <n v="25308"/>
    <n v="1"/>
    <s v="Y"/>
    <x v="1"/>
    <n v="20"/>
    <n v="4"/>
    <n v="3"/>
    <n v="80"/>
    <n v="0"/>
    <n v="2"/>
    <x v="2"/>
    <n v="2"/>
    <s v="0-4 Years"/>
    <x v="0"/>
    <s v="0-4 Years"/>
    <x v="4"/>
    <s v="0-4 Years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n v="18789"/>
    <x v="2"/>
    <s v="High Income"/>
    <s v="High Income"/>
    <s v="High Income"/>
    <n v="9946"/>
    <n v="2"/>
    <s v="Y"/>
    <x v="1"/>
    <n v="14"/>
    <n v="3"/>
    <n v="3"/>
    <n v="80"/>
    <n v="1"/>
    <n v="26"/>
    <x v="1"/>
    <n v="2"/>
    <s v="10-14 Years"/>
    <x v="1"/>
    <s v="10-14 Years"/>
    <x v="19"/>
    <s v="10-14 Years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n v="4538"/>
    <x v="1"/>
    <s v="Low Income"/>
    <s v="Low Income"/>
    <s v="Low Income"/>
    <n v="6039"/>
    <n v="0"/>
    <s v="Y"/>
    <x v="0"/>
    <n v="12"/>
    <n v="3"/>
    <n v="4"/>
    <n v="80"/>
    <n v="0"/>
    <n v="4"/>
    <x v="2"/>
    <n v="3"/>
    <s v="0-4 Years"/>
    <x v="1"/>
    <s v="0-4 Years"/>
    <x v="11"/>
    <s v="0-4 Years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n v="19847"/>
    <x v="2"/>
    <s v="High Income"/>
    <s v="High Income"/>
    <s v="High Income"/>
    <n v="19196"/>
    <n v="4"/>
    <s v="Y"/>
    <x v="0"/>
    <n v="24"/>
    <n v="4"/>
    <n v="1"/>
    <n v="80"/>
    <n v="1"/>
    <n v="31"/>
    <x v="3"/>
    <n v="5"/>
    <s v="25+ Years"/>
    <x v="2"/>
    <s v="25+ Years"/>
    <x v="30"/>
    <s v="25+ Years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n v="10512"/>
    <x v="2"/>
    <s v="High Income"/>
    <s v="High Income"/>
    <s v="High Income"/>
    <n v="20002"/>
    <n v="6"/>
    <s v="Y"/>
    <x v="1"/>
    <n v="12"/>
    <n v="3"/>
    <n v="4"/>
    <n v="80"/>
    <n v="0"/>
    <n v="25"/>
    <x v="0"/>
    <n v="6"/>
    <s v="5-9 Years"/>
    <x v="2"/>
    <s v="5-9 Years"/>
    <x v="7"/>
    <s v="5-9 Years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n v="4444"/>
    <x v="1"/>
    <s v="Low Income"/>
    <s v="Low Income"/>
    <s v="Low Income"/>
    <n v="22534"/>
    <n v="4"/>
    <s v="Y"/>
    <x v="1"/>
    <n v="13"/>
    <n v="3"/>
    <n v="3"/>
    <n v="80"/>
    <n v="2"/>
    <n v="15"/>
    <x v="1"/>
    <n v="2"/>
    <s v="10-14 Years"/>
    <x v="3"/>
    <s v="10-14 Years"/>
    <x v="19"/>
    <s v="10-14 Years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n v="2154"/>
    <x v="1"/>
    <s v="Low Income"/>
    <s v="Low Income"/>
    <s v="Low Income"/>
    <n v="6842"/>
    <n v="0"/>
    <s v="Y"/>
    <x v="0"/>
    <n v="11"/>
    <n v="3"/>
    <n v="3"/>
    <n v="80"/>
    <n v="0"/>
    <n v="5"/>
    <x v="2"/>
    <n v="2"/>
    <s v="0-4 Years"/>
    <x v="2"/>
    <s v="0-4 Years"/>
    <x v="9"/>
    <s v="0-4 Years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n v="19190"/>
    <x v="2"/>
    <s v="High Income"/>
    <s v="High Income"/>
    <s v="High Income"/>
    <n v="17477"/>
    <n v="1"/>
    <s v="Y"/>
    <x v="1"/>
    <n v="14"/>
    <n v="3"/>
    <n v="4"/>
    <n v="80"/>
    <n v="2"/>
    <n v="26"/>
    <x v="3"/>
    <n v="4"/>
    <s v="25+ Years"/>
    <x v="2"/>
    <s v="25+ Years"/>
    <x v="10"/>
    <s v="25+ Years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n v="4490"/>
    <x v="1"/>
    <s v="Low Income"/>
    <s v="Low Income"/>
    <s v="Low Income"/>
    <n v="21833"/>
    <n v="4"/>
    <s v="Y"/>
    <x v="1"/>
    <n v="11"/>
    <n v="3"/>
    <n v="4"/>
    <n v="80"/>
    <n v="2"/>
    <n v="14"/>
    <x v="1"/>
    <n v="5"/>
    <s v="10-14 Years"/>
    <x v="3"/>
    <s v="10-14 Years"/>
    <x v="1"/>
    <s v="10-14 Years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n v="3506"/>
    <x v="1"/>
    <s v="Low Income"/>
    <s v="Low Income"/>
    <s v="Low Income"/>
    <n v="6020"/>
    <n v="0"/>
    <s v="Y"/>
    <x v="0"/>
    <n v="14"/>
    <n v="3"/>
    <n v="4"/>
    <n v="80"/>
    <n v="0"/>
    <n v="4"/>
    <x v="2"/>
    <n v="3"/>
    <s v="0-4 Years"/>
    <x v="1"/>
    <s v="0-4 Years"/>
    <x v="11"/>
    <s v="0-4 Years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n v="2372"/>
    <x v="1"/>
    <s v="Low Income"/>
    <s v="Low Income"/>
    <s v="Low Income"/>
    <n v="5628"/>
    <n v="6"/>
    <s v="Y"/>
    <x v="0"/>
    <n v="16"/>
    <n v="3"/>
    <n v="4"/>
    <n v="80"/>
    <n v="0"/>
    <n v="18"/>
    <x v="2"/>
    <n v="2"/>
    <s v="0-4 Years"/>
    <x v="1"/>
    <s v="0-4 Years"/>
    <x v="6"/>
    <s v="0-4 Years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n v="10231"/>
    <x v="2"/>
    <s v="High Income"/>
    <s v="High Income"/>
    <s v="High Income"/>
    <n v="20364"/>
    <n v="3"/>
    <s v="Y"/>
    <x v="1"/>
    <n v="14"/>
    <n v="3"/>
    <n v="4"/>
    <n v="80"/>
    <n v="0"/>
    <n v="23"/>
    <x v="4"/>
    <n v="3"/>
    <s v="15-24 Years"/>
    <x v="3"/>
    <s v="15-24 Years"/>
    <x v="17"/>
    <s v="15-24 Years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n v="5410"/>
    <x v="0"/>
    <s v="Medium Income"/>
    <s v="Medium Income"/>
    <s v="Medium Income"/>
    <n v="2323"/>
    <n v="9"/>
    <s v="Y"/>
    <x v="0"/>
    <n v="11"/>
    <n v="3"/>
    <n v="4"/>
    <n v="80"/>
    <n v="0"/>
    <n v="18"/>
    <x v="4"/>
    <n v="2"/>
    <s v="15-24 Years"/>
    <x v="1"/>
    <s v="15-24 Years"/>
    <x v="22"/>
    <s v="15-24 Years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n v="7978"/>
    <x v="0"/>
    <s v="Medium Income"/>
    <s v="Medium Income"/>
    <s v="Medium Income"/>
    <n v="14075"/>
    <n v="1"/>
    <s v="Y"/>
    <x v="1"/>
    <n v="11"/>
    <n v="3"/>
    <n v="4"/>
    <n v="80"/>
    <n v="1"/>
    <n v="10"/>
    <x v="1"/>
    <n v="2"/>
    <s v="10-14 Years"/>
    <x v="1"/>
    <s v="10-14 Years"/>
    <x v="1"/>
    <s v="10-14 Years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n v="3867"/>
    <x v="1"/>
    <s v="Low Income"/>
    <s v="Low Income"/>
    <s v="Low Income"/>
    <n v="14222"/>
    <n v="1"/>
    <s v="Y"/>
    <x v="0"/>
    <n v="12"/>
    <n v="3"/>
    <n v="2"/>
    <n v="80"/>
    <n v="1"/>
    <n v="2"/>
    <x v="2"/>
    <n v="2"/>
    <s v="0-4 Years"/>
    <x v="1"/>
    <s v="0-4 Years"/>
    <x v="4"/>
    <s v="0-4 Years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n v="2838"/>
    <x v="1"/>
    <s v="Low Income"/>
    <s v="Low Income"/>
    <s v="Low Income"/>
    <n v="4257"/>
    <n v="0"/>
    <s v="Y"/>
    <x v="1"/>
    <n v="14"/>
    <n v="3"/>
    <n v="2"/>
    <n v="80"/>
    <n v="0"/>
    <n v="8"/>
    <x v="0"/>
    <n v="6"/>
    <s v="5-9 Years"/>
    <x v="2"/>
    <s v="5-9 Years"/>
    <x v="5"/>
    <s v="5-9 Years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n v="4695"/>
    <x v="1"/>
    <s v="Low Income"/>
    <s v="Low Income"/>
    <s v="Low Income"/>
    <n v="12858"/>
    <n v="7"/>
    <s v="Y"/>
    <x v="0"/>
    <n v="18"/>
    <n v="3"/>
    <n v="3"/>
    <n v="80"/>
    <n v="0"/>
    <n v="10"/>
    <x v="0"/>
    <n v="3"/>
    <s v="5-9 Years"/>
    <x v="1"/>
    <s v="5-9 Years"/>
    <x v="3"/>
    <s v="5-9 Years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n v="3339"/>
    <x v="1"/>
    <s v="Low Income"/>
    <s v="Low Income"/>
    <s v="Low Income"/>
    <n v="17285"/>
    <n v="3"/>
    <s v="Y"/>
    <x v="0"/>
    <n v="13"/>
    <n v="3"/>
    <n v="1"/>
    <n v="80"/>
    <n v="2"/>
    <n v="10"/>
    <x v="0"/>
    <n v="2"/>
    <s v="5-9 Years"/>
    <x v="1"/>
    <s v="5-9 Years"/>
    <x v="5"/>
    <s v="5-9 Years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n v="2080"/>
    <x v="1"/>
    <s v="Low Income"/>
    <s v="Low Income"/>
    <s v="Low Income"/>
    <n v="4732"/>
    <n v="2"/>
    <s v="Y"/>
    <x v="1"/>
    <n v="11"/>
    <n v="3"/>
    <n v="2"/>
    <n v="80"/>
    <n v="0"/>
    <n v="5"/>
    <x v="2"/>
    <n v="2"/>
    <s v="0-4 Years"/>
    <x v="2"/>
    <s v="0-4 Years"/>
    <x v="11"/>
    <s v="0-4 Years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n v="2096"/>
    <x v="1"/>
    <s v="Low Income"/>
    <s v="Low Income"/>
    <s v="Low Income"/>
    <n v="18830"/>
    <n v="1"/>
    <s v="Y"/>
    <x v="1"/>
    <n v="18"/>
    <n v="3"/>
    <n v="4"/>
    <n v="80"/>
    <n v="0"/>
    <n v="2"/>
    <x v="2"/>
    <n v="3"/>
    <s v="0-4 Years"/>
    <x v="2"/>
    <s v="0-4 Years"/>
    <x v="4"/>
    <s v="0-4 Years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n v="6209"/>
    <x v="0"/>
    <s v="Medium Income"/>
    <s v="Medium Income"/>
    <s v="Medium Income"/>
    <n v="11693"/>
    <n v="1"/>
    <s v="Y"/>
    <x v="1"/>
    <n v="15"/>
    <n v="3"/>
    <n v="3"/>
    <n v="80"/>
    <n v="2"/>
    <n v="10"/>
    <x v="1"/>
    <n v="4"/>
    <s v="10-14 Years"/>
    <x v="3"/>
    <s v="10-14 Years"/>
    <x v="1"/>
    <s v="10-14 Years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n v="18061"/>
    <x v="2"/>
    <s v="High Income"/>
    <s v="High Income"/>
    <s v="High Income"/>
    <n v="13035"/>
    <n v="3"/>
    <s v="Y"/>
    <x v="1"/>
    <n v="22"/>
    <n v="4"/>
    <n v="3"/>
    <n v="80"/>
    <n v="0"/>
    <n v="22"/>
    <x v="2"/>
    <n v="4"/>
    <s v="0-4 Years"/>
    <x v="1"/>
    <s v="0-4 Years"/>
    <x v="2"/>
    <s v="0-4 Years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n v="17123"/>
    <x v="2"/>
    <s v="High Income"/>
    <s v="High Income"/>
    <s v="High Income"/>
    <n v="17334"/>
    <n v="6"/>
    <s v="Y"/>
    <x v="0"/>
    <n v="13"/>
    <n v="3"/>
    <n v="4"/>
    <n v="80"/>
    <n v="2"/>
    <n v="21"/>
    <x v="4"/>
    <n v="4"/>
    <s v="15-24 Years"/>
    <x v="1"/>
    <s v="15-24 Years"/>
    <x v="27"/>
    <s v="15-24 Years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n v="2372"/>
    <x v="1"/>
    <s v="Low Income"/>
    <s v="Low Income"/>
    <s v="Low Income"/>
    <n v="26076"/>
    <n v="1"/>
    <s v="Y"/>
    <x v="1"/>
    <n v="12"/>
    <n v="3"/>
    <n v="4"/>
    <n v="80"/>
    <n v="2"/>
    <n v="2"/>
    <x v="2"/>
    <n v="3"/>
    <s v="0-4 Years"/>
    <x v="1"/>
    <s v="0-4 Years"/>
    <x v="4"/>
    <s v="0-4 Years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n v="4883"/>
    <x v="1"/>
    <s v="Low Income"/>
    <s v="Low Income"/>
    <s v="Low Income"/>
    <n v="22845"/>
    <n v="1"/>
    <s v="Y"/>
    <x v="1"/>
    <n v="18"/>
    <n v="3"/>
    <n v="1"/>
    <n v="80"/>
    <n v="1"/>
    <n v="10"/>
    <x v="1"/>
    <n v="3"/>
    <s v="10-14 Years"/>
    <x v="1"/>
    <s v="10-14 Years"/>
    <x v="1"/>
    <s v="10-14 Years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n v="3904"/>
    <x v="1"/>
    <s v="Low Income"/>
    <s v="Low Income"/>
    <s v="Low Income"/>
    <n v="22154"/>
    <n v="0"/>
    <s v="Y"/>
    <x v="1"/>
    <n v="13"/>
    <n v="3"/>
    <n v="1"/>
    <n v="80"/>
    <n v="0"/>
    <n v="6"/>
    <x v="0"/>
    <n v="2"/>
    <s v="5-9 Years"/>
    <x v="1"/>
    <s v="5-9 Years"/>
    <x v="8"/>
    <s v="5-9 Years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n v="4627"/>
    <x v="1"/>
    <s v="Low Income"/>
    <s v="Low Income"/>
    <s v="Low Income"/>
    <n v="23631"/>
    <n v="0"/>
    <s v="Y"/>
    <x v="1"/>
    <n v="12"/>
    <n v="3"/>
    <n v="1"/>
    <n v="80"/>
    <n v="1"/>
    <n v="10"/>
    <x v="0"/>
    <n v="6"/>
    <s v="5-9 Years"/>
    <x v="1"/>
    <s v="5-9 Years"/>
    <x v="7"/>
    <s v="5-9 Years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n v="7094"/>
    <x v="0"/>
    <s v="Medium Income"/>
    <s v="Medium Income"/>
    <s v="Medium Income"/>
    <n v="5747"/>
    <n v="3"/>
    <s v="Y"/>
    <x v="1"/>
    <n v="12"/>
    <n v="3"/>
    <n v="1"/>
    <n v="80"/>
    <n v="0"/>
    <n v="10"/>
    <x v="0"/>
    <n v="0"/>
    <s v="5-9 Years"/>
    <x v="1"/>
    <s v="5-9 Years"/>
    <x v="5"/>
    <s v="5-9 Years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n v="3423"/>
    <x v="1"/>
    <s v="Low Income"/>
    <s v="Low Income"/>
    <s v="Low Income"/>
    <n v="22957"/>
    <n v="6"/>
    <s v="Y"/>
    <x v="1"/>
    <n v="12"/>
    <n v="3"/>
    <n v="3"/>
    <n v="80"/>
    <n v="0"/>
    <n v="10"/>
    <x v="0"/>
    <n v="3"/>
    <s v="5-9 Years"/>
    <x v="3"/>
    <s v="5-9 Years"/>
    <x v="5"/>
    <s v="5-9 Years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n v="6674"/>
    <x v="0"/>
    <s v="Medium Income"/>
    <s v="Medium Income"/>
    <s v="Medium Income"/>
    <n v="16392"/>
    <n v="0"/>
    <s v="Y"/>
    <x v="1"/>
    <n v="11"/>
    <n v="3"/>
    <n v="1"/>
    <n v="80"/>
    <n v="3"/>
    <n v="10"/>
    <x v="0"/>
    <n v="6"/>
    <s v="5-9 Years"/>
    <x v="1"/>
    <s v="5-9 Years"/>
    <x v="7"/>
    <s v="5-9 Years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n v="16880"/>
    <x v="2"/>
    <s v="High Income"/>
    <s v="High Income"/>
    <s v="High Income"/>
    <n v="22422"/>
    <n v="4"/>
    <s v="Y"/>
    <x v="0"/>
    <n v="11"/>
    <n v="3"/>
    <n v="2"/>
    <n v="80"/>
    <n v="0"/>
    <n v="25"/>
    <x v="2"/>
    <n v="2"/>
    <s v="0-4 Years"/>
    <x v="1"/>
    <s v="0-4 Years"/>
    <x v="11"/>
    <s v="0-4 Years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n v="9094"/>
    <x v="0"/>
    <s v="Medium Income"/>
    <s v="Medium Income"/>
    <s v="Medium Income"/>
    <n v="17235"/>
    <n v="2"/>
    <s v="Y"/>
    <x v="0"/>
    <n v="12"/>
    <n v="3"/>
    <n v="3"/>
    <n v="80"/>
    <n v="0"/>
    <n v="9"/>
    <x v="0"/>
    <n v="2"/>
    <s v="5-9 Years"/>
    <x v="1"/>
    <s v="5-9 Years"/>
    <x v="8"/>
    <s v="5-9 Years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n v="8446"/>
    <x v="0"/>
    <s v="Medium Income"/>
    <s v="Medium Income"/>
    <s v="Medium Income"/>
    <n v="21534"/>
    <n v="9"/>
    <s v="Y"/>
    <x v="0"/>
    <n v="19"/>
    <n v="3"/>
    <n v="3"/>
    <n v="80"/>
    <n v="0"/>
    <n v="10"/>
    <x v="0"/>
    <n v="2"/>
    <s v="5-9 Years"/>
    <x v="2"/>
    <s v="5-9 Years"/>
    <x v="3"/>
    <s v="5-9 Years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n v="11916"/>
    <x v="2"/>
    <s v="High Income"/>
    <s v="High Income"/>
    <s v="High Income"/>
    <n v="25927"/>
    <n v="1"/>
    <s v="Y"/>
    <x v="0"/>
    <n v="23"/>
    <n v="4"/>
    <n v="4"/>
    <n v="80"/>
    <n v="2"/>
    <n v="9"/>
    <x v="0"/>
    <n v="2"/>
    <s v="5-9 Years"/>
    <x v="1"/>
    <s v="5-9 Years"/>
    <x v="7"/>
    <s v="5-9 Years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n v="4534"/>
    <x v="1"/>
    <s v="Low Income"/>
    <s v="Low Income"/>
    <s v="Low Income"/>
    <n v="13352"/>
    <n v="0"/>
    <s v="Y"/>
    <x v="1"/>
    <n v="11"/>
    <n v="3"/>
    <n v="1"/>
    <n v="80"/>
    <n v="0"/>
    <n v="9"/>
    <x v="0"/>
    <n v="6"/>
    <s v="5-9 Years"/>
    <x v="1"/>
    <s v="5-9 Years"/>
    <x v="3"/>
    <s v="5-9 Years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n v="9852"/>
    <x v="0"/>
    <s v="Medium Income"/>
    <s v="Medium Income"/>
    <s v="Medium Income"/>
    <n v="8935"/>
    <n v="1"/>
    <s v="Y"/>
    <x v="0"/>
    <n v="19"/>
    <n v="3"/>
    <n v="1"/>
    <n v="80"/>
    <n v="1"/>
    <n v="10"/>
    <x v="1"/>
    <n v="5"/>
    <s v="10-14 Years"/>
    <x v="2"/>
    <s v="10-14 Years"/>
    <x v="1"/>
    <s v="10-14 Years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x v="1"/>
    <s v="Single"/>
    <n v="6151"/>
    <x v="0"/>
    <s v="Medium Income"/>
    <s v="Medium Income"/>
    <s v="Medium Income"/>
    <n v="22074"/>
    <n v="1"/>
    <s v="Y"/>
    <x v="1"/>
    <n v="13"/>
    <n v="3"/>
    <n v="1"/>
    <n v="80"/>
    <n v="0"/>
    <n v="19"/>
    <x v="4"/>
    <n v="4"/>
    <s v="15-24 Years"/>
    <x v="1"/>
    <s v="15-24 Years"/>
    <x v="27"/>
    <s v="15-24 Years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n v="2302"/>
    <x v="1"/>
    <s v="Low Income"/>
    <s v="Low Income"/>
    <s v="Low Income"/>
    <n v="8319"/>
    <n v="1"/>
    <s v="Y"/>
    <x v="0"/>
    <n v="11"/>
    <n v="3"/>
    <n v="1"/>
    <n v="80"/>
    <n v="0"/>
    <n v="3"/>
    <x v="2"/>
    <n v="2"/>
    <s v="0-4 Years"/>
    <x v="3"/>
    <s v="0-4 Years"/>
    <x v="11"/>
    <s v="0-4 Years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n v="2362"/>
    <x v="1"/>
    <s v="Low Income"/>
    <s v="Low Income"/>
    <s v="Low Income"/>
    <n v="14669"/>
    <n v="4"/>
    <s v="Y"/>
    <x v="1"/>
    <n v="12"/>
    <n v="3"/>
    <n v="3"/>
    <n v="80"/>
    <n v="0"/>
    <n v="10"/>
    <x v="2"/>
    <n v="4"/>
    <s v="0-4 Years"/>
    <x v="3"/>
    <s v="0-4 Years"/>
    <x v="11"/>
    <s v="0-4 Years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n v="17861"/>
    <x v="2"/>
    <s v="High Income"/>
    <s v="High Income"/>
    <s v="High Income"/>
    <n v="26582"/>
    <n v="0"/>
    <s v="Y"/>
    <x v="0"/>
    <n v="13"/>
    <n v="3"/>
    <n v="4"/>
    <n v="80"/>
    <n v="0"/>
    <n v="21"/>
    <x v="4"/>
    <n v="3"/>
    <s v="15-24 Years"/>
    <x v="2"/>
    <s v="15-24 Years"/>
    <x v="23"/>
    <s v="15-24 Years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n v="19187"/>
    <x v="2"/>
    <s v="High Income"/>
    <s v="High Income"/>
    <s v="High Income"/>
    <n v="6992"/>
    <n v="4"/>
    <s v="Y"/>
    <x v="1"/>
    <n v="14"/>
    <n v="3"/>
    <n v="4"/>
    <n v="80"/>
    <n v="1"/>
    <n v="23"/>
    <x v="4"/>
    <n v="5"/>
    <s v="15-24 Years"/>
    <x v="1"/>
    <s v="15-24 Years"/>
    <x v="27"/>
    <s v="15-24 Years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n v="19717"/>
    <x v="2"/>
    <s v="High Income"/>
    <s v="High Income"/>
    <s v="High Income"/>
    <n v="4022"/>
    <n v="6"/>
    <s v="Y"/>
    <x v="1"/>
    <n v="14"/>
    <n v="3"/>
    <n v="1"/>
    <n v="80"/>
    <n v="0"/>
    <n v="36"/>
    <x v="0"/>
    <n v="4"/>
    <s v="5-9 Years"/>
    <x v="1"/>
    <s v="5-9 Years"/>
    <x v="5"/>
    <s v="5-9 Years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n v="3544"/>
    <x v="1"/>
    <s v="Low Income"/>
    <s v="Low Income"/>
    <s v="Low Income"/>
    <n v="8532"/>
    <n v="9"/>
    <s v="Y"/>
    <x v="1"/>
    <n v="16"/>
    <n v="3"/>
    <n v="2"/>
    <n v="80"/>
    <n v="1"/>
    <n v="6"/>
    <x v="2"/>
    <n v="0"/>
    <s v="0-4 Years"/>
    <x v="1"/>
    <s v="0-4 Years"/>
    <x v="9"/>
    <s v="0-4 Years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n v="8500"/>
    <x v="0"/>
    <s v="Medium Income"/>
    <s v="Medium Income"/>
    <s v="Medium Income"/>
    <n v="5494"/>
    <n v="0"/>
    <s v="Y"/>
    <x v="1"/>
    <n v="11"/>
    <n v="3"/>
    <n v="4"/>
    <n v="80"/>
    <n v="1"/>
    <n v="10"/>
    <x v="0"/>
    <n v="0"/>
    <s v="5-9 Years"/>
    <x v="2"/>
    <s v="5-9 Years"/>
    <x v="7"/>
    <s v="5-9 Years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n v="4661"/>
    <x v="1"/>
    <s v="Low Income"/>
    <s v="Low Income"/>
    <s v="Low Income"/>
    <n v="22455"/>
    <n v="1"/>
    <s v="Y"/>
    <x v="1"/>
    <n v="13"/>
    <n v="3"/>
    <n v="3"/>
    <n v="80"/>
    <n v="0"/>
    <n v="9"/>
    <x v="0"/>
    <n v="4"/>
    <s v="5-9 Years"/>
    <x v="1"/>
    <s v="5-9 Years"/>
    <x v="7"/>
    <s v="5-9 Years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n v="4103"/>
    <x v="1"/>
    <s v="Low Income"/>
    <s v="Low Income"/>
    <s v="Low Income"/>
    <n v="4297"/>
    <n v="0"/>
    <s v="Y"/>
    <x v="1"/>
    <n v="17"/>
    <n v="3"/>
    <n v="4"/>
    <n v="80"/>
    <n v="1"/>
    <n v="10"/>
    <x v="0"/>
    <n v="2"/>
    <s v="5-9 Years"/>
    <x v="1"/>
    <s v="5-9 Years"/>
    <x v="7"/>
    <s v="5-9 Years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n v="4249"/>
    <x v="1"/>
    <s v="Low Income"/>
    <s v="Low Income"/>
    <s v="Low Income"/>
    <n v="2690"/>
    <n v="1"/>
    <s v="Y"/>
    <x v="0"/>
    <n v="11"/>
    <n v="3"/>
    <n v="2"/>
    <n v="80"/>
    <n v="0"/>
    <n v="9"/>
    <x v="0"/>
    <n v="3"/>
    <s v="5-9 Years"/>
    <x v="1"/>
    <s v="5-9 Years"/>
    <x v="7"/>
    <s v="5-9 Years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n v="14026"/>
    <x v="2"/>
    <s v="High Income"/>
    <s v="High Income"/>
    <s v="High Income"/>
    <n v="17588"/>
    <n v="1"/>
    <s v="Y"/>
    <x v="0"/>
    <n v="11"/>
    <n v="3"/>
    <n v="2"/>
    <n v="80"/>
    <n v="1"/>
    <n v="33"/>
    <x v="3"/>
    <n v="2"/>
    <s v="25+ Years"/>
    <x v="1"/>
    <s v="25+ Years"/>
    <x v="26"/>
    <s v="25+ Years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n v="6893"/>
    <x v="0"/>
    <s v="Medium Income"/>
    <s v="Medium Income"/>
    <s v="Medium Income"/>
    <n v="19461"/>
    <n v="3"/>
    <s v="Y"/>
    <x v="1"/>
    <n v="15"/>
    <n v="3"/>
    <n v="4"/>
    <n v="80"/>
    <n v="1"/>
    <n v="11"/>
    <x v="0"/>
    <n v="3"/>
    <s v="5-9 Years"/>
    <x v="1"/>
    <s v="5-9 Years"/>
    <x v="5"/>
    <s v="5-9 Years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n v="6125"/>
    <x v="0"/>
    <s v="Medium Income"/>
    <s v="Medium Income"/>
    <s v="Medium Income"/>
    <n v="23553"/>
    <n v="1"/>
    <s v="Y"/>
    <x v="1"/>
    <n v="12"/>
    <n v="3"/>
    <n v="4"/>
    <n v="80"/>
    <n v="0"/>
    <n v="10"/>
    <x v="1"/>
    <n v="6"/>
    <s v="10-14 Years"/>
    <x v="3"/>
    <s v="10-14 Years"/>
    <x v="1"/>
    <s v="10-14 Years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n v="3669"/>
    <x v="1"/>
    <s v="Low Income"/>
    <s v="Low Income"/>
    <s v="Low Income"/>
    <n v="9075"/>
    <n v="3"/>
    <s v="Y"/>
    <x v="1"/>
    <n v="11"/>
    <n v="3"/>
    <n v="3"/>
    <n v="80"/>
    <n v="3"/>
    <n v="7"/>
    <x v="2"/>
    <n v="6"/>
    <s v="0-4 Years"/>
    <x v="2"/>
    <s v="0-4 Years"/>
    <x v="11"/>
    <s v="0-4 Years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n v="10008"/>
    <x v="2"/>
    <s v="High Income"/>
    <s v="High Income"/>
    <s v="High Income"/>
    <n v="12023"/>
    <n v="7"/>
    <s v="Y"/>
    <x v="0"/>
    <n v="14"/>
    <n v="3"/>
    <n v="4"/>
    <n v="80"/>
    <n v="0"/>
    <n v="31"/>
    <x v="1"/>
    <n v="0"/>
    <s v="10-14 Years"/>
    <x v="2"/>
    <s v="10-14 Years"/>
    <x v="1"/>
    <s v="10-14 Years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n v="2387"/>
    <x v="1"/>
    <s v="Low Income"/>
    <s v="Low Income"/>
    <s v="Low Income"/>
    <n v="6762"/>
    <n v="3"/>
    <s v="Y"/>
    <x v="1"/>
    <n v="22"/>
    <n v="4"/>
    <n v="3"/>
    <n v="80"/>
    <n v="1"/>
    <n v="7"/>
    <x v="2"/>
    <n v="3"/>
    <s v="0-4 Years"/>
    <x v="1"/>
    <s v="0-4 Years"/>
    <x v="9"/>
    <s v="0-4 Years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n v="4639"/>
    <x v="1"/>
    <s v="Low Income"/>
    <s v="Low Income"/>
    <s v="Low Income"/>
    <n v="2261"/>
    <n v="2"/>
    <s v="Y"/>
    <x v="1"/>
    <n v="16"/>
    <n v="3"/>
    <n v="4"/>
    <n v="80"/>
    <n v="1"/>
    <n v="17"/>
    <x v="4"/>
    <n v="2"/>
    <s v="15-24 Years"/>
    <x v="2"/>
    <s v="15-24 Years"/>
    <x v="15"/>
    <s v="15-24 Years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n v="7898"/>
    <x v="0"/>
    <s v="Medium Income"/>
    <s v="Medium Income"/>
    <s v="Medium Income"/>
    <n v="18706"/>
    <n v="1"/>
    <s v="Y"/>
    <x v="1"/>
    <n v="11"/>
    <n v="3"/>
    <n v="3"/>
    <n v="80"/>
    <n v="0"/>
    <n v="11"/>
    <x v="1"/>
    <n v="2"/>
    <s v="10-14 Years"/>
    <x v="1"/>
    <s v="10-14 Years"/>
    <x v="1"/>
    <s v="10-14 Years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n v="2534"/>
    <x v="1"/>
    <s v="Low Income"/>
    <s v="Low Income"/>
    <s v="Low Income"/>
    <n v="6527"/>
    <n v="8"/>
    <s v="Y"/>
    <x v="1"/>
    <n v="14"/>
    <n v="3"/>
    <n v="2"/>
    <n v="80"/>
    <n v="1"/>
    <n v="5"/>
    <x v="2"/>
    <n v="4"/>
    <s v="0-4 Years"/>
    <x v="1"/>
    <s v="0-4 Years"/>
    <x v="6"/>
    <s v="0-4 Years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n v="13142"/>
    <x v="2"/>
    <s v="High Income"/>
    <s v="High Income"/>
    <s v="High Income"/>
    <n v="24439"/>
    <n v="3"/>
    <s v="Y"/>
    <x v="1"/>
    <n v="16"/>
    <n v="3"/>
    <n v="2"/>
    <n v="80"/>
    <n v="0"/>
    <n v="29"/>
    <x v="0"/>
    <n v="1"/>
    <s v="5-9 Years"/>
    <x v="2"/>
    <s v="5-9 Years"/>
    <x v="8"/>
    <s v="5-9 Years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n v="1611"/>
    <x v="1"/>
    <s v="Low Income"/>
    <s v="Low Income"/>
    <s v="Low Income"/>
    <n v="19305"/>
    <n v="1"/>
    <s v="Y"/>
    <x v="1"/>
    <n v="15"/>
    <n v="3"/>
    <n v="3"/>
    <n v="80"/>
    <n v="0"/>
    <n v="0"/>
    <x v="2"/>
    <n v="5"/>
    <s v="0-4 Years"/>
    <x v="3"/>
    <s v="0-4 Years"/>
    <x v="2"/>
    <s v="0-4 Years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n v="5363"/>
    <x v="0"/>
    <s v="Medium Income"/>
    <s v="Medium Income"/>
    <s v="Medium Income"/>
    <n v="10846"/>
    <n v="0"/>
    <s v="Y"/>
    <x v="1"/>
    <n v="12"/>
    <n v="3"/>
    <n v="2"/>
    <n v="80"/>
    <n v="1"/>
    <n v="10"/>
    <x v="0"/>
    <n v="0"/>
    <s v="5-9 Years"/>
    <x v="1"/>
    <s v="5-9 Years"/>
    <x v="7"/>
    <s v="5-9 Years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n v="5071"/>
    <x v="0"/>
    <s v="Medium Income"/>
    <s v="Medium Income"/>
    <s v="Medium Income"/>
    <n v="20392"/>
    <n v="3"/>
    <s v="Y"/>
    <x v="1"/>
    <n v="20"/>
    <n v="4"/>
    <n v="2"/>
    <n v="80"/>
    <n v="0"/>
    <n v="8"/>
    <x v="0"/>
    <n v="3"/>
    <s v="5-9 Years"/>
    <x v="1"/>
    <s v="5-9 Years"/>
    <x v="0"/>
    <s v="5-9 Years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n v="13695"/>
    <x v="2"/>
    <s v="High Income"/>
    <s v="High Income"/>
    <s v="High Income"/>
    <n v="9277"/>
    <n v="6"/>
    <s v="Y"/>
    <x v="0"/>
    <n v="17"/>
    <n v="3"/>
    <n v="3"/>
    <n v="80"/>
    <n v="0"/>
    <n v="24"/>
    <x v="4"/>
    <n v="2"/>
    <s v="15-24 Years"/>
    <x v="2"/>
    <s v="15-24 Years"/>
    <x v="27"/>
    <s v="15-24 Years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n v="13402"/>
    <x v="2"/>
    <s v="High Income"/>
    <s v="High Income"/>
    <s v="High Income"/>
    <n v="18235"/>
    <n v="4"/>
    <s v="Y"/>
    <x v="0"/>
    <n v="12"/>
    <n v="3"/>
    <n v="1"/>
    <n v="80"/>
    <n v="1"/>
    <n v="33"/>
    <x v="4"/>
    <n v="0"/>
    <s v="15-24 Years"/>
    <x v="1"/>
    <s v="15-24 Years"/>
    <x v="27"/>
    <s v="15-24 Years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n v="2029"/>
    <x v="1"/>
    <s v="Low Income"/>
    <s v="Low Income"/>
    <s v="Low Income"/>
    <n v="15891"/>
    <n v="1"/>
    <s v="Y"/>
    <x v="1"/>
    <n v="20"/>
    <n v="4"/>
    <n v="3"/>
    <n v="80"/>
    <n v="3"/>
    <n v="5"/>
    <x v="0"/>
    <n v="2"/>
    <s v="5-9 Years"/>
    <x v="1"/>
    <s v="5-9 Years"/>
    <x v="8"/>
    <s v="5-9 Years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n v="6377"/>
    <x v="0"/>
    <s v="Medium Income"/>
    <s v="Medium Income"/>
    <s v="Medium Income"/>
    <n v="13888"/>
    <n v="5"/>
    <s v="Y"/>
    <x v="1"/>
    <n v="20"/>
    <n v="4"/>
    <n v="2"/>
    <n v="80"/>
    <n v="3"/>
    <n v="15"/>
    <x v="1"/>
    <n v="0"/>
    <s v="10-14 Years"/>
    <x v="1"/>
    <s v="10-14 Years"/>
    <x v="12"/>
    <s v="10-14 Years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n v="5429"/>
    <x v="0"/>
    <s v="Medium Income"/>
    <s v="Medium Income"/>
    <s v="Medium Income"/>
    <n v="17491"/>
    <n v="4"/>
    <s v="Y"/>
    <x v="1"/>
    <n v="13"/>
    <n v="3"/>
    <n v="1"/>
    <n v="80"/>
    <n v="2"/>
    <n v="10"/>
    <x v="0"/>
    <n v="1"/>
    <s v="5-9 Years"/>
    <x v="1"/>
    <s v="5-9 Years"/>
    <x v="3"/>
    <s v="5-9 Years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n v="2785"/>
    <x v="1"/>
    <s v="Low Income"/>
    <s v="Low Income"/>
    <s v="Low Income"/>
    <n v="11882"/>
    <n v="7"/>
    <s v="Y"/>
    <x v="1"/>
    <n v="14"/>
    <n v="3"/>
    <n v="3"/>
    <n v="80"/>
    <n v="0"/>
    <n v="3"/>
    <x v="2"/>
    <n v="3"/>
    <s v="0-4 Years"/>
    <x v="3"/>
    <s v="0-4 Years"/>
    <x v="6"/>
    <s v="0-4 Years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n v="4614"/>
    <x v="1"/>
    <s v="Low Income"/>
    <s v="Low Income"/>
    <s v="Low Income"/>
    <n v="23288"/>
    <n v="0"/>
    <s v="Y"/>
    <x v="0"/>
    <n v="18"/>
    <n v="3"/>
    <n v="3"/>
    <n v="80"/>
    <n v="1"/>
    <n v="5"/>
    <x v="2"/>
    <n v="0"/>
    <s v="0-4 Years"/>
    <x v="2"/>
    <s v="0-4 Years"/>
    <x v="9"/>
    <s v="0-4 Years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n v="2610"/>
    <x v="1"/>
    <s v="Low Income"/>
    <s v="Low Income"/>
    <s v="Low Income"/>
    <n v="15748"/>
    <n v="1"/>
    <s v="Y"/>
    <x v="1"/>
    <n v="11"/>
    <n v="3"/>
    <n v="4"/>
    <n v="80"/>
    <n v="3"/>
    <n v="4"/>
    <x v="2"/>
    <n v="2"/>
    <s v="0-4 Years"/>
    <x v="1"/>
    <s v="0-4 Years"/>
    <x v="9"/>
    <s v="0-4 Years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n v="6687"/>
    <x v="0"/>
    <s v="Medium Income"/>
    <s v="Medium Income"/>
    <s v="Medium Income"/>
    <n v="6163"/>
    <n v="1"/>
    <s v="Y"/>
    <x v="1"/>
    <n v="11"/>
    <n v="3"/>
    <n v="4"/>
    <n v="80"/>
    <n v="0"/>
    <n v="14"/>
    <x v="1"/>
    <n v="2"/>
    <s v="10-14 Years"/>
    <x v="3"/>
    <s v="10-14 Years"/>
    <x v="13"/>
    <s v="10-14 Years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n v="4724"/>
    <x v="1"/>
    <s v="Low Income"/>
    <s v="Low Income"/>
    <s v="Low Income"/>
    <n v="24232"/>
    <n v="1"/>
    <s v="Y"/>
    <x v="1"/>
    <n v="11"/>
    <n v="3"/>
    <n v="3"/>
    <n v="80"/>
    <n v="1"/>
    <n v="5"/>
    <x v="0"/>
    <n v="0"/>
    <s v="5-9 Years"/>
    <x v="1"/>
    <s v="5-9 Years"/>
    <x v="8"/>
    <s v="5-9 Years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n v="6179"/>
    <x v="0"/>
    <s v="Medium Income"/>
    <s v="Medium Income"/>
    <s v="Medium Income"/>
    <n v="21057"/>
    <n v="1"/>
    <s v="Y"/>
    <x v="0"/>
    <n v="15"/>
    <n v="3"/>
    <n v="4"/>
    <n v="80"/>
    <n v="2"/>
    <n v="10"/>
    <x v="1"/>
    <n v="3"/>
    <s v="10-14 Years"/>
    <x v="2"/>
    <s v="10-14 Years"/>
    <x v="1"/>
    <s v="10-14 Years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n v="6120"/>
    <x v="0"/>
    <s v="Medium Income"/>
    <s v="Medium Income"/>
    <s v="Medium Income"/>
    <n v="3567"/>
    <n v="3"/>
    <s v="Y"/>
    <x v="0"/>
    <n v="12"/>
    <n v="3"/>
    <n v="4"/>
    <n v="80"/>
    <n v="2"/>
    <n v="8"/>
    <x v="0"/>
    <n v="2"/>
    <s v="5-9 Years"/>
    <x v="3"/>
    <s v="5-9 Years"/>
    <x v="8"/>
    <s v="5-9 Years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n v="10596"/>
    <x v="2"/>
    <s v="High Income"/>
    <s v="High Income"/>
    <s v="High Income"/>
    <n v="15395"/>
    <n v="2"/>
    <s v="Y"/>
    <x v="1"/>
    <n v="11"/>
    <n v="3"/>
    <n v="2"/>
    <n v="80"/>
    <n v="0"/>
    <n v="14"/>
    <x v="2"/>
    <n v="5"/>
    <s v="0-4 Years"/>
    <x v="1"/>
    <s v="0-4 Years"/>
    <x v="9"/>
    <s v="0-4 Years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n v="5467"/>
    <x v="0"/>
    <s v="Medium Income"/>
    <s v="Medium Income"/>
    <s v="Medium Income"/>
    <n v="13953"/>
    <n v="3"/>
    <s v="Y"/>
    <x v="0"/>
    <n v="14"/>
    <n v="3"/>
    <n v="1"/>
    <n v="80"/>
    <n v="2"/>
    <n v="12"/>
    <x v="0"/>
    <n v="4"/>
    <s v="5-9 Years"/>
    <x v="2"/>
    <s v="5-9 Years"/>
    <x v="0"/>
    <s v="5-9 Years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n v="2996"/>
    <x v="1"/>
    <s v="Low Income"/>
    <s v="Low Income"/>
    <s v="Low Income"/>
    <n v="5182"/>
    <n v="7"/>
    <s v="Y"/>
    <x v="0"/>
    <n v="15"/>
    <n v="3"/>
    <n v="4"/>
    <n v="80"/>
    <n v="0"/>
    <n v="8"/>
    <x v="0"/>
    <n v="2"/>
    <s v="5-9 Years"/>
    <x v="1"/>
    <s v="5-9 Years"/>
    <x v="0"/>
    <s v="5-9 Years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n v="9998"/>
    <x v="0"/>
    <s v="Medium Income"/>
    <s v="Medium Income"/>
    <s v="Medium Income"/>
    <n v="19293"/>
    <n v="6"/>
    <s v="Y"/>
    <x v="1"/>
    <n v="13"/>
    <n v="3"/>
    <n v="1"/>
    <n v="80"/>
    <n v="0"/>
    <n v="8"/>
    <x v="0"/>
    <n v="2"/>
    <s v="5-9 Years"/>
    <x v="3"/>
    <s v="5-9 Years"/>
    <x v="8"/>
    <s v="5-9 Years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n v="4078"/>
    <x v="1"/>
    <s v="Low Income"/>
    <s v="Low Income"/>
    <s v="Low Income"/>
    <n v="20497"/>
    <n v="0"/>
    <s v="Y"/>
    <x v="0"/>
    <n v="13"/>
    <n v="3"/>
    <n v="1"/>
    <n v="80"/>
    <n v="3"/>
    <n v="4"/>
    <x v="2"/>
    <n v="3"/>
    <s v="0-4 Years"/>
    <x v="2"/>
    <s v="0-4 Years"/>
    <x v="11"/>
    <s v="0-4 Years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n v="10920"/>
    <x v="2"/>
    <s v="High Income"/>
    <s v="High Income"/>
    <s v="High Income"/>
    <n v="3449"/>
    <n v="3"/>
    <s v="Y"/>
    <x v="1"/>
    <n v="21"/>
    <n v="4"/>
    <n v="2"/>
    <n v="80"/>
    <n v="1"/>
    <n v="13"/>
    <x v="0"/>
    <n v="2"/>
    <s v="5-9 Years"/>
    <x v="1"/>
    <s v="5-9 Years"/>
    <x v="0"/>
    <s v="5-9 Years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n v="6232"/>
    <x v="0"/>
    <s v="Medium Income"/>
    <s v="Medium Income"/>
    <s v="Medium Income"/>
    <n v="12477"/>
    <n v="2"/>
    <s v="Y"/>
    <x v="1"/>
    <n v="11"/>
    <n v="3"/>
    <n v="2"/>
    <n v="80"/>
    <n v="0"/>
    <n v="6"/>
    <x v="2"/>
    <n v="3"/>
    <s v="0-4 Years"/>
    <x v="2"/>
    <s v="0-4 Years"/>
    <x v="11"/>
    <s v="0-4 Years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n v="13247"/>
    <x v="2"/>
    <s v="High Income"/>
    <s v="High Income"/>
    <s v="High Income"/>
    <n v="9731"/>
    <n v="2"/>
    <s v="Y"/>
    <x v="0"/>
    <n v="11"/>
    <n v="3"/>
    <n v="2"/>
    <n v="80"/>
    <n v="1"/>
    <n v="24"/>
    <x v="0"/>
    <n v="3"/>
    <s v="5-9 Years"/>
    <x v="2"/>
    <s v="5-9 Years"/>
    <x v="8"/>
    <s v="5-9 Years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n v="4081"/>
    <x v="1"/>
    <s v="Low Income"/>
    <s v="Low Income"/>
    <s v="Low Income"/>
    <n v="20003"/>
    <n v="1"/>
    <s v="Y"/>
    <x v="0"/>
    <n v="14"/>
    <n v="3"/>
    <n v="1"/>
    <n v="80"/>
    <n v="0"/>
    <n v="20"/>
    <x v="4"/>
    <n v="3"/>
    <s v="15-24 Years"/>
    <x v="0"/>
    <s v="15-24 Years"/>
    <x v="23"/>
    <s v="15-24 Years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n v="5769"/>
    <x v="0"/>
    <s v="Medium Income"/>
    <s v="Medium Income"/>
    <s v="Medium Income"/>
    <n v="7100"/>
    <n v="1"/>
    <s v="Y"/>
    <x v="0"/>
    <n v="11"/>
    <n v="3"/>
    <n v="4"/>
    <n v="80"/>
    <n v="0"/>
    <n v="6"/>
    <x v="0"/>
    <n v="3"/>
    <s v="5-9 Years"/>
    <x v="1"/>
    <s v="5-9 Years"/>
    <x v="0"/>
    <s v="5-9 Years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n v="2394"/>
    <x v="1"/>
    <s v="Low Income"/>
    <s v="Low Income"/>
    <s v="Low Income"/>
    <n v="25681"/>
    <n v="1"/>
    <s v="Y"/>
    <x v="0"/>
    <n v="13"/>
    <n v="3"/>
    <n v="4"/>
    <n v="80"/>
    <n v="0"/>
    <n v="8"/>
    <x v="0"/>
    <n v="2"/>
    <s v="5-9 Years"/>
    <x v="1"/>
    <s v="5-9 Years"/>
    <x v="3"/>
    <s v="5-9 Years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n v="3904"/>
    <x v="1"/>
    <s v="Low Income"/>
    <s v="Low Income"/>
    <s v="Low Income"/>
    <n v="4050"/>
    <n v="0"/>
    <s v="Y"/>
    <x v="1"/>
    <n v="12"/>
    <n v="3"/>
    <n v="4"/>
    <n v="80"/>
    <n v="0"/>
    <n v="5"/>
    <x v="2"/>
    <n v="2"/>
    <s v="0-4 Years"/>
    <x v="1"/>
    <s v="0-4 Years"/>
    <x v="9"/>
    <s v="0-4 Years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n v="16799"/>
    <x v="2"/>
    <s v="High Income"/>
    <s v="High Income"/>
    <s v="High Income"/>
    <n v="16616"/>
    <n v="0"/>
    <s v="Y"/>
    <x v="1"/>
    <n v="14"/>
    <n v="3"/>
    <n v="3"/>
    <n v="80"/>
    <n v="1"/>
    <n v="21"/>
    <x v="4"/>
    <n v="5"/>
    <s v="15-24 Years"/>
    <x v="1"/>
    <s v="15-24 Years"/>
    <x v="23"/>
    <s v="15-24 Years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n v="2950"/>
    <x v="1"/>
    <s v="Low Income"/>
    <s v="Low Income"/>
    <s v="Low Income"/>
    <n v="17363"/>
    <n v="9"/>
    <s v="Y"/>
    <x v="1"/>
    <n v="13"/>
    <n v="3"/>
    <n v="3"/>
    <n v="80"/>
    <n v="0"/>
    <n v="12"/>
    <x v="0"/>
    <n v="2"/>
    <s v="5-9 Years"/>
    <x v="0"/>
    <s v="5-9 Years"/>
    <x v="8"/>
    <s v="5-9 Years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n v="3629"/>
    <x v="1"/>
    <s v="Low Income"/>
    <s v="Low Income"/>
    <s v="Low Income"/>
    <n v="19106"/>
    <n v="4"/>
    <s v="Y"/>
    <x v="1"/>
    <n v="18"/>
    <n v="3"/>
    <n v="1"/>
    <n v="80"/>
    <n v="0"/>
    <n v="8"/>
    <x v="2"/>
    <n v="6"/>
    <s v="0-4 Years"/>
    <x v="1"/>
    <s v="0-4 Years"/>
    <x v="11"/>
    <s v="0-4 Years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n v="9362"/>
    <x v="0"/>
    <s v="Medium Income"/>
    <s v="Medium Income"/>
    <s v="Medium Income"/>
    <n v="19944"/>
    <n v="2"/>
    <s v="Y"/>
    <x v="1"/>
    <n v="11"/>
    <n v="3"/>
    <n v="3"/>
    <n v="80"/>
    <n v="0"/>
    <n v="10"/>
    <x v="2"/>
    <n v="2"/>
    <s v="0-4 Years"/>
    <x v="1"/>
    <s v="0-4 Years"/>
    <x v="4"/>
    <s v="0-4 Years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n v="3229"/>
    <x v="1"/>
    <s v="Low Income"/>
    <s v="Low Income"/>
    <s v="Low Income"/>
    <n v="4910"/>
    <n v="4"/>
    <s v="Y"/>
    <x v="1"/>
    <n v="11"/>
    <n v="3"/>
    <n v="2"/>
    <n v="80"/>
    <n v="1"/>
    <n v="7"/>
    <x v="2"/>
    <n v="2"/>
    <s v="0-4 Years"/>
    <x v="2"/>
    <s v="0-4 Years"/>
    <x v="11"/>
    <s v="0-4 Years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n v="3578"/>
    <x v="1"/>
    <s v="Low Income"/>
    <s v="Low Income"/>
    <s v="Low Income"/>
    <n v="23577"/>
    <n v="0"/>
    <s v="Y"/>
    <x v="1"/>
    <n v="12"/>
    <n v="3"/>
    <n v="4"/>
    <n v="80"/>
    <n v="0"/>
    <n v="8"/>
    <x v="0"/>
    <n v="2"/>
    <s v="5-9 Years"/>
    <x v="1"/>
    <s v="5-9 Years"/>
    <x v="5"/>
    <s v="5-9 Years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n v="7988"/>
    <x v="0"/>
    <s v="Medium Income"/>
    <s v="Medium Income"/>
    <s v="Medium Income"/>
    <n v="9769"/>
    <n v="1"/>
    <s v="Y"/>
    <x v="1"/>
    <n v="13"/>
    <n v="3"/>
    <n v="1"/>
    <n v="80"/>
    <n v="0"/>
    <n v="10"/>
    <x v="1"/>
    <n v="3"/>
    <s v="10-14 Years"/>
    <x v="2"/>
    <s v="10-14 Years"/>
    <x v="1"/>
    <s v="10-14 Years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n v="4284"/>
    <x v="1"/>
    <s v="Low Income"/>
    <s v="Low Income"/>
    <s v="Low Income"/>
    <n v="22710"/>
    <n v="3"/>
    <s v="Y"/>
    <x v="1"/>
    <n v="20"/>
    <n v="4"/>
    <n v="1"/>
    <n v="80"/>
    <n v="0"/>
    <n v="20"/>
    <x v="2"/>
    <n v="2"/>
    <s v="0-4 Years"/>
    <x v="1"/>
    <s v="0-4 Years"/>
    <x v="9"/>
    <s v="0-4 Years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n v="7553"/>
    <x v="0"/>
    <s v="Medium Income"/>
    <s v="Medium Income"/>
    <s v="Medium Income"/>
    <n v="22930"/>
    <n v="0"/>
    <s v="Y"/>
    <x v="0"/>
    <n v="12"/>
    <n v="3"/>
    <n v="1"/>
    <n v="80"/>
    <n v="0"/>
    <n v="9"/>
    <x v="0"/>
    <n v="1"/>
    <s v="5-9 Years"/>
    <x v="1"/>
    <s v="5-9 Years"/>
    <x v="3"/>
    <s v="5-9 Years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n v="17328"/>
    <x v="2"/>
    <s v="High Income"/>
    <s v="High Income"/>
    <s v="High Income"/>
    <n v="5652"/>
    <n v="6"/>
    <s v="Y"/>
    <x v="1"/>
    <n v="19"/>
    <n v="3"/>
    <n v="4"/>
    <n v="80"/>
    <n v="0"/>
    <n v="29"/>
    <x v="4"/>
    <n v="3"/>
    <s v="15-24 Years"/>
    <x v="2"/>
    <s v="15-24 Years"/>
    <x v="23"/>
    <s v="15-24 Years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n v="19701"/>
    <x v="2"/>
    <s v="High Income"/>
    <s v="High Income"/>
    <s v="High Income"/>
    <n v="22456"/>
    <n v="3"/>
    <s v="Y"/>
    <x v="0"/>
    <n v="21"/>
    <n v="4"/>
    <n v="3"/>
    <n v="80"/>
    <n v="1"/>
    <n v="32"/>
    <x v="0"/>
    <n v="3"/>
    <s v="5-9 Years"/>
    <x v="1"/>
    <s v="5-9 Years"/>
    <x v="7"/>
    <s v="5-9 Years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n v="14732"/>
    <x v="2"/>
    <s v="High Income"/>
    <s v="High Income"/>
    <s v="High Income"/>
    <n v="12414"/>
    <n v="2"/>
    <s v="Y"/>
    <x v="1"/>
    <n v="13"/>
    <n v="3"/>
    <n v="4"/>
    <n v="80"/>
    <n v="2"/>
    <n v="31"/>
    <x v="0"/>
    <n v="4"/>
    <s v="5-9 Years"/>
    <x v="3"/>
    <s v="5-9 Years"/>
    <x v="5"/>
    <s v="5-9 Years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n v="9278"/>
    <x v="0"/>
    <s v="Medium Income"/>
    <s v="Medium Income"/>
    <s v="Medium Income"/>
    <n v="20763"/>
    <n v="3"/>
    <s v="Y"/>
    <x v="0"/>
    <n v="16"/>
    <n v="3"/>
    <n v="4"/>
    <n v="80"/>
    <n v="0"/>
    <n v="15"/>
    <x v="0"/>
    <n v="3"/>
    <s v="5-9 Years"/>
    <x v="1"/>
    <s v="5-9 Years"/>
    <x v="8"/>
    <s v="5-9 Years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n v="1359"/>
    <x v="1"/>
    <s v="Low Income"/>
    <s v="Low Income"/>
    <s v="Low Income"/>
    <n v="16154"/>
    <n v="1"/>
    <s v="Y"/>
    <x v="1"/>
    <n v="12"/>
    <n v="3"/>
    <n v="2"/>
    <n v="80"/>
    <n v="0"/>
    <n v="1"/>
    <x v="2"/>
    <n v="3"/>
    <s v="0-4 Years"/>
    <x v="1"/>
    <s v="0-4 Years"/>
    <x v="6"/>
    <s v="0-4 Years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n v="4779"/>
    <x v="1"/>
    <s v="Low Income"/>
    <s v="Low Income"/>
    <s v="Low Income"/>
    <n v="12761"/>
    <n v="7"/>
    <s v="Y"/>
    <x v="1"/>
    <n v="14"/>
    <n v="3"/>
    <n v="2"/>
    <n v="80"/>
    <n v="2"/>
    <n v="8"/>
    <x v="2"/>
    <n v="3"/>
    <s v="0-4 Years"/>
    <x v="1"/>
    <s v="0-4 Years"/>
    <x v="11"/>
    <s v="0-4 Years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n v="16422"/>
    <x v="2"/>
    <s v="High Income"/>
    <s v="High Income"/>
    <s v="High Income"/>
    <n v="8847"/>
    <n v="3"/>
    <s v="Y"/>
    <x v="1"/>
    <n v="11"/>
    <n v="3"/>
    <n v="3"/>
    <n v="80"/>
    <n v="0"/>
    <n v="9"/>
    <x v="2"/>
    <n v="3"/>
    <s v="0-4 Years"/>
    <x v="3"/>
    <s v="0-4 Years"/>
    <x v="11"/>
    <s v="0-4 Years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n v="2996"/>
    <x v="1"/>
    <s v="Low Income"/>
    <s v="Low Income"/>
    <s v="Low Income"/>
    <n v="20284"/>
    <n v="5"/>
    <s v="Y"/>
    <x v="1"/>
    <n v="14"/>
    <n v="3"/>
    <n v="3"/>
    <n v="80"/>
    <n v="2"/>
    <n v="10"/>
    <x v="2"/>
    <n v="2"/>
    <s v="0-4 Years"/>
    <x v="1"/>
    <s v="0-4 Years"/>
    <x v="9"/>
    <s v="0-4 Years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n v="1261"/>
    <x v="1"/>
    <s v="Low Income"/>
    <s v="Low Income"/>
    <s v="Low Income"/>
    <n v="22262"/>
    <n v="1"/>
    <s v="Y"/>
    <x v="1"/>
    <n v="12"/>
    <n v="3"/>
    <n v="3"/>
    <n v="80"/>
    <n v="0"/>
    <n v="1"/>
    <x v="2"/>
    <n v="3"/>
    <s v="0-4 Years"/>
    <x v="3"/>
    <s v="0-4 Years"/>
    <x v="6"/>
    <s v="0-4 Years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n v="2099"/>
    <x v="1"/>
    <s v="Low Income"/>
    <s v="Low Income"/>
    <s v="Low Income"/>
    <n v="7679"/>
    <n v="0"/>
    <s v="Y"/>
    <x v="1"/>
    <n v="14"/>
    <n v="3"/>
    <n v="2"/>
    <n v="80"/>
    <n v="0"/>
    <n v="6"/>
    <x v="0"/>
    <n v="3"/>
    <s v="5-9 Years"/>
    <x v="3"/>
    <s v="5-9 Years"/>
    <x v="8"/>
    <s v="5-9 Years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n v="5810"/>
    <x v="0"/>
    <s v="Medium Income"/>
    <s v="Medium Income"/>
    <s v="Medium Income"/>
    <n v="22604"/>
    <n v="1"/>
    <s v="Y"/>
    <x v="1"/>
    <n v="16"/>
    <n v="3"/>
    <n v="3"/>
    <n v="80"/>
    <n v="0"/>
    <n v="10"/>
    <x v="1"/>
    <n v="2"/>
    <s v="10-14 Years"/>
    <x v="2"/>
    <s v="10-14 Years"/>
    <x v="1"/>
    <s v="10-14 Years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n v="5647"/>
    <x v="0"/>
    <s v="Medium Income"/>
    <s v="Medium Income"/>
    <s v="Medium Income"/>
    <n v="13494"/>
    <n v="4"/>
    <s v="Y"/>
    <x v="1"/>
    <n v="13"/>
    <n v="3"/>
    <n v="1"/>
    <n v="80"/>
    <n v="2"/>
    <n v="11"/>
    <x v="2"/>
    <n v="3"/>
    <s v="0-4 Years"/>
    <x v="2"/>
    <s v="0-4 Years"/>
    <x v="11"/>
    <s v="0-4 Years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n v="3420"/>
    <x v="1"/>
    <s v="Low Income"/>
    <s v="Low Income"/>
    <s v="Low Income"/>
    <n v="10205"/>
    <n v="7"/>
    <s v="Y"/>
    <x v="1"/>
    <n v="12"/>
    <n v="3"/>
    <n v="3"/>
    <n v="80"/>
    <n v="1"/>
    <n v="17"/>
    <x v="0"/>
    <n v="2"/>
    <s v="5-9 Years"/>
    <x v="2"/>
    <s v="5-9 Years"/>
    <x v="0"/>
    <s v="5-9 Years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n v="4400"/>
    <x v="1"/>
    <s v="Low Income"/>
    <s v="Low Income"/>
    <s v="Low Income"/>
    <n v="15182"/>
    <n v="3"/>
    <s v="Y"/>
    <x v="1"/>
    <n v="12"/>
    <n v="3"/>
    <n v="1"/>
    <n v="80"/>
    <n v="0"/>
    <n v="6"/>
    <x v="2"/>
    <n v="2"/>
    <s v="0-4 Years"/>
    <x v="1"/>
    <s v="0-4 Years"/>
    <x v="11"/>
    <s v="0-4 Years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n v="3500"/>
    <x v="1"/>
    <s v="Low Income"/>
    <s v="Low Income"/>
    <s v="Low Income"/>
    <n v="25470"/>
    <n v="0"/>
    <s v="Y"/>
    <x v="1"/>
    <n v="14"/>
    <n v="3"/>
    <n v="1"/>
    <n v="80"/>
    <n v="0"/>
    <n v="7"/>
    <x v="0"/>
    <n v="2"/>
    <s v="5-9 Years"/>
    <x v="0"/>
    <s v="5-9 Years"/>
    <x v="0"/>
    <s v="5-9 Years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n v="2066"/>
    <x v="1"/>
    <s v="Low Income"/>
    <s v="Low Income"/>
    <s v="Low Income"/>
    <n v="10494"/>
    <n v="2"/>
    <s v="Y"/>
    <x v="1"/>
    <n v="22"/>
    <n v="4"/>
    <n v="4"/>
    <n v="80"/>
    <n v="1"/>
    <n v="5"/>
    <x v="2"/>
    <n v="3"/>
    <s v="0-4 Years"/>
    <x v="3"/>
    <s v="0-4 Years"/>
    <x v="11"/>
    <s v="0-4 Years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n v="17169"/>
    <x v="2"/>
    <s v="High Income"/>
    <s v="High Income"/>
    <s v="High Income"/>
    <n v="26703"/>
    <n v="3"/>
    <s v="Y"/>
    <x v="1"/>
    <n v="19"/>
    <n v="3"/>
    <n v="2"/>
    <n v="80"/>
    <n v="2"/>
    <n v="26"/>
    <x v="4"/>
    <n v="2"/>
    <s v="15-24 Years"/>
    <x v="3"/>
    <s v="15-24 Years"/>
    <x v="23"/>
    <s v="15-24 Years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n v="4162"/>
    <x v="1"/>
    <s v="Low Income"/>
    <s v="Low Income"/>
    <s v="Low Income"/>
    <n v="15211"/>
    <n v="1"/>
    <s v="Y"/>
    <x v="0"/>
    <n v="12"/>
    <n v="3"/>
    <n v="3"/>
    <n v="80"/>
    <n v="2"/>
    <n v="5"/>
    <x v="0"/>
    <n v="3"/>
    <s v="5-9 Years"/>
    <x v="1"/>
    <s v="5-9 Years"/>
    <x v="8"/>
    <s v="5-9 Years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n v="9204"/>
    <x v="0"/>
    <s v="Medium Income"/>
    <s v="Medium Income"/>
    <s v="Medium Income"/>
    <n v="23343"/>
    <n v="4"/>
    <s v="Y"/>
    <x v="1"/>
    <n v="12"/>
    <n v="3"/>
    <n v="3"/>
    <n v="80"/>
    <n v="1"/>
    <n v="7"/>
    <x v="2"/>
    <n v="3"/>
    <s v="0-4 Years"/>
    <x v="2"/>
    <s v="0-4 Years"/>
    <x v="9"/>
    <s v="0-4 Years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n v="3294"/>
    <x v="1"/>
    <s v="Low Income"/>
    <s v="Low Income"/>
    <s v="Low Income"/>
    <n v="3708"/>
    <n v="5"/>
    <s v="Y"/>
    <x v="1"/>
    <n v="17"/>
    <n v="3"/>
    <n v="1"/>
    <n v="80"/>
    <n v="1"/>
    <n v="7"/>
    <x v="0"/>
    <n v="2"/>
    <s v="5-9 Years"/>
    <x v="2"/>
    <s v="5-9 Years"/>
    <x v="8"/>
    <s v="5-9 Years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n v="2127"/>
    <x v="1"/>
    <s v="Low Income"/>
    <s v="Low Income"/>
    <s v="Low Income"/>
    <n v="5561"/>
    <n v="2"/>
    <s v="Y"/>
    <x v="0"/>
    <n v="12"/>
    <n v="3"/>
    <n v="1"/>
    <n v="80"/>
    <n v="0"/>
    <n v="7"/>
    <x v="2"/>
    <n v="5"/>
    <s v="0-4 Years"/>
    <x v="2"/>
    <s v="0-4 Years"/>
    <x v="9"/>
    <s v="0-4 Years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x v="2"/>
    <s v="Divorced"/>
    <n v="3975"/>
    <x v="1"/>
    <s v="Low Income"/>
    <s v="Low Income"/>
    <s v="Low Income"/>
    <n v="23099"/>
    <n v="3"/>
    <s v="Y"/>
    <x v="1"/>
    <n v="11"/>
    <n v="3"/>
    <n v="3"/>
    <n v="80"/>
    <n v="2"/>
    <n v="11"/>
    <x v="0"/>
    <n v="2"/>
    <s v="5-9 Years"/>
    <x v="3"/>
    <s v="5-9 Years"/>
    <x v="3"/>
    <s v="5-9 Years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n v="10793"/>
    <x v="2"/>
    <s v="High Income"/>
    <s v="High Income"/>
    <s v="High Income"/>
    <n v="8386"/>
    <n v="1"/>
    <s v="Y"/>
    <x v="1"/>
    <n v="18"/>
    <n v="3"/>
    <n v="1"/>
    <n v="80"/>
    <n v="1"/>
    <n v="13"/>
    <x v="1"/>
    <n v="5"/>
    <s v="10-14 Years"/>
    <x v="1"/>
    <s v="10-14 Years"/>
    <x v="20"/>
    <s v="10-14 Years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n v="10096"/>
    <x v="2"/>
    <s v="High Income"/>
    <s v="High Income"/>
    <s v="High Income"/>
    <n v="15986"/>
    <n v="4"/>
    <s v="Y"/>
    <x v="1"/>
    <n v="11"/>
    <n v="3"/>
    <n v="1"/>
    <n v="80"/>
    <n v="1"/>
    <n v="28"/>
    <x v="0"/>
    <n v="1"/>
    <s v="5-9 Years"/>
    <x v="3"/>
    <s v="5-9 Years"/>
    <x v="5"/>
    <s v="5-9 Years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n v="3646"/>
    <x v="1"/>
    <s v="Low Income"/>
    <s v="Low Income"/>
    <s v="Low Income"/>
    <n v="17181"/>
    <n v="2"/>
    <s v="Y"/>
    <x v="0"/>
    <n v="23"/>
    <n v="4"/>
    <n v="2"/>
    <n v="80"/>
    <n v="0"/>
    <n v="11"/>
    <x v="2"/>
    <n v="2"/>
    <s v="0-4 Years"/>
    <x v="3"/>
    <s v="0-4 Years"/>
    <x v="6"/>
    <s v="0-4 Years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n v="7446"/>
    <x v="0"/>
    <s v="Medium Income"/>
    <s v="Medium Income"/>
    <s v="Medium Income"/>
    <n v="8931"/>
    <n v="1"/>
    <s v="Y"/>
    <x v="1"/>
    <n v="11"/>
    <n v="3"/>
    <n v="1"/>
    <n v="80"/>
    <n v="0"/>
    <n v="10"/>
    <x v="1"/>
    <n v="2"/>
    <s v="10-14 Years"/>
    <x v="1"/>
    <s v="10-14 Years"/>
    <x v="1"/>
    <s v="10-14 Years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n v="10851"/>
    <x v="2"/>
    <s v="High Income"/>
    <s v="High Income"/>
    <s v="High Income"/>
    <n v="19863"/>
    <n v="2"/>
    <s v="Y"/>
    <x v="0"/>
    <n v="18"/>
    <n v="3"/>
    <n v="2"/>
    <n v="80"/>
    <n v="1"/>
    <n v="24"/>
    <x v="0"/>
    <n v="2"/>
    <s v="5-9 Years"/>
    <x v="1"/>
    <s v="5-9 Years"/>
    <x v="5"/>
    <s v="5-9 Years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n v="2109"/>
    <x v="1"/>
    <s v="Low Income"/>
    <s v="Low Income"/>
    <s v="Low Income"/>
    <n v="24609"/>
    <n v="9"/>
    <s v="Y"/>
    <x v="1"/>
    <n v="18"/>
    <n v="3"/>
    <n v="4"/>
    <n v="80"/>
    <n v="0"/>
    <n v="8"/>
    <x v="2"/>
    <n v="3"/>
    <s v="0-4 Years"/>
    <x v="1"/>
    <s v="0-4 Years"/>
    <x v="11"/>
    <s v="0-4 Years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n v="3722"/>
    <x v="1"/>
    <s v="Low Income"/>
    <s v="Low Income"/>
    <s v="Low Income"/>
    <n v="21081"/>
    <n v="6"/>
    <s v="Y"/>
    <x v="0"/>
    <n v="13"/>
    <n v="3"/>
    <n v="3"/>
    <n v="80"/>
    <n v="1"/>
    <n v="7"/>
    <x v="2"/>
    <n v="2"/>
    <s v="0-4 Years"/>
    <x v="0"/>
    <s v="0-4 Years"/>
    <x v="4"/>
    <s v="0-4 Years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n v="9380"/>
    <x v="0"/>
    <s v="Medium Income"/>
    <s v="Medium Income"/>
    <s v="Medium Income"/>
    <n v="14720"/>
    <n v="4"/>
    <s v="Y"/>
    <x v="0"/>
    <n v="18"/>
    <n v="3"/>
    <n v="4"/>
    <n v="80"/>
    <n v="2"/>
    <n v="10"/>
    <x v="2"/>
    <n v="4"/>
    <s v="0-4 Years"/>
    <x v="3"/>
    <s v="0-4 Years"/>
    <x v="11"/>
    <s v="0-4 Years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n v="5486"/>
    <x v="0"/>
    <s v="Medium Income"/>
    <s v="Medium Income"/>
    <s v="Medium Income"/>
    <n v="24795"/>
    <n v="4"/>
    <s v="Y"/>
    <x v="1"/>
    <n v="11"/>
    <n v="3"/>
    <n v="1"/>
    <n v="80"/>
    <n v="3"/>
    <n v="15"/>
    <x v="2"/>
    <n v="3"/>
    <s v="0-4 Years"/>
    <x v="1"/>
    <s v="0-4 Years"/>
    <x v="4"/>
    <s v="0-4 Years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n v="2742"/>
    <x v="1"/>
    <s v="Low Income"/>
    <s v="Low Income"/>
    <s v="Low Income"/>
    <n v="3072"/>
    <n v="1"/>
    <s v="Y"/>
    <x v="1"/>
    <n v="15"/>
    <n v="3"/>
    <n v="4"/>
    <n v="80"/>
    <n v="0"/>
    <n v="2"/>
    <x v="2"/>
    <n v="0"/>
    <s v="0-4 Years"/>
    <x v="1"/>
    <s v="0-4 Years"/>
    <x v="4"/>
    <s v="0-4 Years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n v="13757"/>
    <x v="2"/>
    <s v="High Income"/>
    <s v="High Income"/>
    <s v="High Income"/>
    <n v="25178"/>
    <n v="2"/>
    <s v="Y"/>
    <x v="1"/>
    <n v="11"/>
    <n v="3"/>
    <n v="3"/>
    <n v="80"/>
    <n v="1"/>
    <n v="16"/>
    <x v="0"/>
    <n v="5"/>
    <s v="5-9 Years"/>
    <x v="1"/>
    <s v="5-9 Years"/>
    <x v="7"/>
    <s v="5-9 Years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n v="8463"/>
    <x v="0"/>
    <s v="Medium Income"/>
    <s v="Medium Income"/>
    <s v="Medium Income"/>
    <n v="23490"/>
    <n v="0"/>
    <s v="Y"/>
    <x v="1"/>
    <n v="18"/>
    <n v="3"/>
    <n v="4"/>
    <n v="80"/>
    <n v="0"/>
    <n v="6"/>
    <x v="0"/>
    <n v="4"/>
    <s v="5-9 Years"/>
    <x v="1"/>
    <s v="5-9 Years"/>
    <x v="8"/>
    <s v="5-9 Years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n v="3162"/>
    <x v="1"/>
    <s v="Low Income"/>
    <s v="Low Income"/>
    <s v="Low Income"/>
    <n v="7973"/>
    <n v="3"/>
    <s v="Y"/>
    <x v="1"/>
    <n v="14"/>
    <n v="3"/>
    <n v="4"/>
    <n v="80"/>
    <n v="0"/>
    <n v="7"/>
    <x v="0"/>
    <n v="5"/>
    <s v="5-9 Years"/>
    <x v="1"/>
    <s v="5-9 Years"/>
    <x v="8"/>
    <s v="5-9 Years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n v="16598"/>
    <x v="2"/>
    <s v="High Income"/>
    <s v="High Income"/>
    <s v="High Income"/>
    <n v="19764"/>
    <n v="4"/>
    <s v="Y"/>
    <x v="1"/>
    <n v="12"/>
    <n v="3"/>
    <n v="2"/>
    <n v="80"/>
    <n v="0"/>
    <n v="35"/>
    <x v="0"/>
    <n v="2"/>
    <s v="5-9 Years"/>
    <x v="2"/>
    <s v="5-9 Years"/>
    <x v="7"/>
    <s v="5-9 Years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n v="6651"/>
    <x v="0"/>
    <s v="Medium Income"/>
    <s v="Medium Income"/>
    <s v="Medium Income"/>
    <n v="21534"/>
    <n v="2"/>
    <s v="Y"/>
    <x v="1"/>
    <n v="14"/>
    <n v="3"/>
    <n v="2"/>
    <n v="80"/>
    <n v="1"/>
    <n v="20"/>
    <x v="2"/>
    <n v="0"/>
    <s v="0-4 Years"/>
    <x v="2"/>
    <s v="0-4 Years"/>
    <x v="11"/>
    <s v="0-4 Years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n v="2345"/>
    <x v="1"/>
    <s v="Low Income"/>
    <s v="Low Income"/>
    <s v="Low Income"/>
    <n v="8045"/>
    <n v="2"/>
    <s v="Y"/>
    <x v="1"/>
    <n v="14"/>
    <n v="3"/>
    <n v="3"/>
    <n v="80"/>
    <n v="1"/>
    <n v="8"/>
    <x v="2"/>
    <n v="3"/>
    <s v="0-4 Years"/>
    <x v="3"/>
    <s v="0-4 Years"/>
    <x v="11"/>
    <s v="0-4 Years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n v="3420"/>
    <x v="1"/>
    <s v="Low Income"/>
    <s v="Low Income"/>
    <s v="Low Income"/>
    <n v="21158"/>
    <n v="1"/>
    <s v="Y"/>
    <x v="1"/>
    <n v="13"/>
    <n v="3"/>
    <n v="3"/>
    <n v="80"/>
    <n v="0"/>
    <n v="6"/>
    <x v="0"/>
    <n v="3"/>
    <s v="5-9 Years"/>
    <x v="2"/>
    <s v="5-9 Years"/>
    <x v="8"/>
    <s v="5-9 Years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n v="4373"/>
    <x v="1"/>
    <s v="Low Income"/>
    <s v="Low Income"/>
    <s v="Low Income"/>
    <n v="17456"/>
    <n v="0"/>
    <s v="Y"/>
    <x v="1"/>
    <n v="14"/>
    <n v="3"/>
    <n v="1"/>
    <n v="80"/>
    <n v="2"/>
    <n v="5"/>
    <x v="2"/>
    <n v="2"/>
    <s v="0-4 Years"/>
    <x v="1"/>
    <s v="0-4 Years"/>
    <x v="9"/>
    <s v="0-4 Years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n v="4759"/>
    <x v="1"/>
    <s v="Low Income"/>
    <s v="Low Income"/>
    <s v="Low Income"/>
    <n v="15891"/>
    <n v="3"/>
    <s v="Y"/>
    <x v="1"/>
    <n v="18"/>
    <n v="3"/>
    <n v="4"/>
    <n v="80"/>
    <n v="0"/>
    <n v="15"/>
    <x v="1"/>
    <n v="2"/>
    <s v="10-14 Years"/>
    <x v="1"/>
    <s v="10-14 Years"/>
    <x v="20"/>
    <s v="10-14 Years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n v="5301"/>
    <x v="0"/>
    <s v="Medium Income"/>
    <s v="Medium Income"/>
    <s v="Medium Income"/>
    <n v="2939"/>
    <n v="8"/>
    <s v="Y"/>
    <x v="1"/>
    <n v="15"/>
    <n v="3"/>
    <n v="3"/>
    <n v="80"/>
    <n v="2"/>
    <n v="4"/>
    <x v="2"/>
    <n v="2"/>
    <s v="0-4 Years"/>
    <x v="2"/>
    <s v="0-4 Years"/>
    <x v="4"/>
    <s v="0-4 Years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n v="3673"/>
    <x v="1"/>
    <s v="Low Income"/>
    <s v="Low Income"/>
    <s v="Low Income"/>
    <n v="16458"/>
    <n v="1"/>
    <s v="Y"/>
    <x v="1"/>
    <n v="13"/>
    <n v="3"/>
    <n v="3"/>
    <n v="80"/>
    <n v="0"/>
    <n v="12"/>
    <x v="1"/>
    <n v="3"/>
    <s v="10-14 Years"/>
    <x v="1"/>
    <s v="10-14 Years"/>
    <x v="12"/>
    <s v="10-14 Years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n v="4768"/>
    <x v="1"/>
    <s v="Low Income"/>
    <s v="Low Income"/>
    <s v="Low Income"/>
    <n v="9282"/>
    <n v="7"/>
    <s v="Y"/>
    <x v="1"/>
    <n v="12"/>
    <n v="3"/>
    <n v="3"/>
    <n v="80"/>
    <n v="1"/>
    <n v="11"/>
    <x v="2"/>
    <n v="4"/>
    <s v="0-4 Years"/>
    <x v="2"/>
    <s v="0-4 Years"/>
    <x v="6"/>
    <s v="0-4 Years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n v="1274"/>
    <x v="1"/>
    <s v="Low Income"/>
    <s v="Low Income"/>
    <s v="Low Income"/>
    <n v="7152"/>
    <n v="1"/>
    <s v="Y"/>
    <x v="1"/>
    <n v="13"/>
    <n v="3"/>
    <n v="2"/>
    <n v="80"/>
    <n v="2"/>
    <n v="1"/>
    <x v="2"/>
    <n v="2"/>
    <s v="0-4 Years"/>
    <x v="2"/>
    <s v="0-4 Years"/>
    <x v="6"/>
    <s v="0-4 Years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n v="4900"/>
    <x v="1"/>
    <s v="Low Income"/>
    <s v="Low Income"/>
    <s v="Low Income"/>
    <n v="2721"/>
    <n v="0"/>
    <s v="Y"/>
    <x v="1"/>
    <n v="24"/>
    <n v="4"/>
    <n v="1"/>
    <n v="80"/>
    <n v="1"/>
    <n v="13"/>
    <x v="1"/>
    <n v="2"/>
    <s v="10-14 Years"/>
    <x v="2"/>
    <s v="10-14 Years"/>
    <x v="12"/>
    <s v="10-14 Years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n v="10466"/>
    <x v="2"/>
    <s v="High Income"/>
    <s v="High Income"/>
    <s v="High Income"/>
    <n v="20948"/>
    <n v="3"/>
    <s v="Y"/>
    <x v="1"/>
    <n v="14"/>
    <n v="3"/>
    <n v="2"/>
    <n v="80"/>
    <n v="2"/>
    <n v="29"/>
    <x v="0"/>
    <n v="3"/>
    <s v="5-9 Years"/>
    <x v="1"/>
    <s v="5-9 Years"/>
    <x v="3"/>
    <s v="5-9 Years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n v="17007"/>
    <x v="2"/>
    <s v="High Income"/>
    <s v="High Income"/>
    <s v="High Income"/>
    <n v="11929"/>
    <n v="7"/>
    <s v="Y"/>
    <x v="1"/>
    <n v="14"/>
    <n v="3"/>
    <n v="4"/>
    <n v="80"/>
    <n v="2"/>
    <n v="16"/>
    <x v="1"/>
    <n v="3"/>
    <s v="10-14 Years"/>
    <x v="2"/>
    <s v="10-14 Years"/>
    <x v="13"/>
    <s v="10-14 Years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n v="2909"/>
    <x v="1"/>
    <s v="Low Income"/>
    <s v="Low Income"/>
    <s v="Low Income"/>
    <n v="15747"/>
    <n v="3"/>
    <s v="Y"/>
    <x v="1"/>
    <n v="15"/>
    <n v="3"/>
    <n v="4"/>
    <n v="80"/>
    <n v="1"/>
    <n v="5"/>
    <x v="2"/>
    <n v="3"/>
    <s v="0-4 Years"/>
    <x v="3"/>
    <s v="0-4 Years"/>
    <x v="11"/>
    <s v="0-4 Years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n v="5765"/>
    <x v="0"/>
    <s v="Medium Income"/>
    <s v="Medium Income"/>
    <s v="Medium Income"/>
    <n v="17485"/>
    <n v="5"/>
    <s v="Y"/>
    <x v="1"/>
    <n v="11"/>
    <n v="3"/>
    <n v="1"/>
    <n v="80"/>
    <n v="0"/>
    <n v="7"/>
    <x v="0"/>
    <n v="4"/>
    <s v="5-9 Years"/>
    <x v="0"/>
    <s v="5-9 Years"/>
    <x v="8"/>
    <s v="5-9 Years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n v="4599"/>
    <x v="1"/>
    <s v="Low Income"/>
    <s v="Low Income"/>
    <s v="Low Income"/>
    <n v="7815"/>
    <n v="0"/>
    <s v="Y"/>
    <x v="0"/>
    <n v="23"/>
    <n v="4"/>
    <n v="3"/>
    <n v="80"/>
    <n v="0"/>
    <n v="16"/>
    <x v="4"/>
    <n v="2"/>
    <s v="15-24 Years"/>
    <x v="3"/>
    <s v="15-24 Years"/>
    <x v="15"/>
    <s v="15-24 Years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n v="2404"/>
    <x v="1"/>
    <s v="Low Income"/>
    <s v="Low Income"/>
    <s v="Low Income"/>
    <n v="16192"/>
    <n v="1"/>
    <s v="Y"/>
    <x v="1"/>
    <n v="13"/>
    <n v="3"/>
    <n v="1"/>
    <n v="80"/>
    <n v="1"/>
    <n v="1"/>
    <x v="2"/>
    <n v="3"/>
    <s v="0-4 Years"/>
    <x v="1"/>
    <s v="0-4 Years"/>
    <x v="6"/>
    <s v="0-4 Years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n v="3172"/>
    <x v="1"/>
    <s v="Low Income"/>
    <s v="Low Income"/>
    <s v="Low Income"/>
    <n v="16998"/>
    <n v="2"/>
    <s v="Y"/>
    <x v="0"/>
    <n v="11"/>
    <n v="3"/>
    <n v="3"/>
    <n v="80"/>
    <n v="0"/>
    <n v="4"/>
    <x v="2"/>
    <n v="2"/>
    <s v="0-4 Years"/>
    <x v="2"/>
    <s v="0-4 Years"/>
    <x v="2"/>
    <s v="0-4 Years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n v="2033"/>
    <x v="1"/>
    <s v="Low Income"/>
    <s v="Low Income"/>
    <s v="Low Income"/>
    <n v="7103"/>
    <n v="1"/>
    <s v="Y"/>
    <x v="1"/>
    <n v="13"/>
    <n v="3"/>
    <n v="3"/>
    <n v="80"/>
    <n v="1"/>
    <n v="1"/>
    <x v="2"/>
    <n v="2"/>
    <s v="0-4 Years"/>
    <x v="1"/>
    <s v="0-4 Years"/>
    <x v="6"/>
    <s v="0-4 Years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n v="10209"/>
    <x v="2"/>
    <s v="High Income"/>
    <s v="High Income"/>
    <s v="High Income"/>
    <n v="19719"/>
    <n v="5"/>
    <s v="Y"/>
    <x v="0"/>
    <n v="18"/>
    <n v="3"/>
    <n v="2"/>
    <n v="80"/>
    <n v="0"/>
    <n v="16"/>
    <x v="2"/>
    <n v="2"/>
    <s v="0-4 Years"/>
    <x v="2"/>
    <s v="0-4 Years"/>
    <x v="4"/>
    <s v="0-4 Years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n v="8620"/>
    <x v="0"/>
    <s v="Medium Income"/>
    <s v="Medium Income"/>
    <s v="Medium Income"/>
    <n v="23757"/>
    <n v="1"/>
    <s v="Y"/>
    <x v="1"/>
    <n v="14"/>
    <n v="3"/>
    <n v="3"/>
    <n v="80"/>
    <n v="2"/>
    <n v="10"/>
    <x v="1"/>
    <n v="3"/>
    <s v="10-14 Years"/>
    <x v="1"/>
    <s v="10-14 Years"/>
    <x v="1"/>
    <s v="10-14 Years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n v="2064"/>
    <x v="1"/>
    <s v="Low Income"/>
    <s v="Low Income"/>
    <s v="Low Income"/>
    <n v="15428"/>
    <n v="0"/>
    <s v="Y"/>
    <x v="1"/>
    <n v="21"/>
    <n v="4"/>
    <n v="1"/>
    <n v="80"/>
    <n v="1"/>
    <n v="6"/>
    <x v="0"/>
    <n v="3"/>
    <s v="5-9 Years"/>
    <x v="3"/>
    <s v="5-9 Years"/>
    <x v="8"/>
    <s v="5-9 Years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n v="4035"/>
    <x v="1"/>
    <s v="Low Income"/>
    <s v="Low Income"/>
    <s v="Low Income"/>
    <n v="16143"/>
    <n v="0"/>
    <s v="Y"/>
    <x v="0"/>
    <n v="16"/>
    <n v="3"/>
    <n v="2"/>
    <n v="80"/>
    <n v="0"/>
    <n v="4"/>
    <x v="2"/>
    <n v="2"/>
    <s v="0-4 Years"/>
    <x v="1"/>
    <s v="0-4 Years"/>
    <x v="11"/>
    <s v="0-4 Years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n v="3838"/>
    <x v="1"/>
    <s v="Low Income"/>
    <s v="Low Income"/>
    <s v="Low Income"/>
    <n v="8192"/>
    <n v="8"/>
    <s v="Y"/>
    <x v="1"/>
    <n v="11"/>
    <n v="3"/>
    <n v="4"/>
    <n v="80"/>
    <n v="0"/>
    <n v="8"/>
    <x v="0"/>
    <n v="5"/>
    <s v="5-9 Years"/>
    <x v="1"/>
    <s v="5-9 Years"/>
    <x v="8"/>
    <s v="5-9 Years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n v="4591"/>
    <x v="1"/>
    <s v="Low Income"/>
    <s v="Low Income"/>
    <s v="Low Income"/>
    <n v="24200"/>
    <n v="3"/>
    <s v="Y"/>
    <x v="0"/>
    <n v="17"/>
    <n v="3"/>
    <n v="3"/>
    <n v="80"/>
    <n v="1"/>
    <n v="11"/>
    <x v="0"/>
    <n v="4"/>
    <s v="5-9 Years"/>
    <x v="2"/>
    <s v="5-9 Years"/>
    <x v="8"/>
    <s v="5-9 Years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n v="2561"/>
    <x v="1"/>
    <s v="Low Income"/>
    <s v="Low Income"/>
    <s v="Low Income"/>
    <n v="5355"/>
    <n v="7"/>
    <s v="Y"/>
    <x v="1"/>
    <n v="11"/>
    <n v="3"/>
    <n v="3"/>
    <n v="80"/>
    <n v="0"/>
    <n v="8"/>
    <x v="2"/>
    <n v="2"/>
    <s v="0-4 Years"/>
    <x v="2"/>
    <s v="0-4 Years"/>
    <x v="2"/>
    <s v="0-4 Years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n v="1563"/>
    <x v="1"/>
    <s v="Low Income"/>
    <s v="Low Income"/>
    <s v="Low Income"/>
    <n v="12530"/>
    <n v="1"/>
    <s v="Y"/>
    <x v="1"/>
    <n v="14"/>
    <n v="3"/>
    <n v="4"/>
    <n v="80"/>
    <n v="1"/>
    <n v="1"/>
    <x v="2"/>
    <n v="2"/>
    <s v="0-4 Years"/>
    <x v="0"/>
    <s v="0-4 Years"/>
    <x v="6"/>
    <s v="0-4 Years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n v="4898"/>
    <x v="1"/>
    <s v="Low Income"/>
    <s v="Low Income"/>
    <s v="Low Income"/>
    <n v="11827"/>
    <n v="0"/>
    <s v="Y"/>
    <x v="1"/>
    <n v="14"/>
    <n v="3"/>
    <n v="4"/>
    <n v="80"/>
    <n v="0"/>
    <n v="5"/>
    <x v="2"/>
    <n v="5"/>
    <s v="0-4 Years"/>
    <x v="1"/>
    <s v="0-4 Years"/>
    <x v="9"/>
    <s v="0-4 Years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n v="4789"/>
    <x v="1"/>
    <s v="Low Income"/>
    <s v="Low Income"/>
    <s v="Low Income"/>
    <n v="23070"/>
    <n v="4"/>
    <s v="Y"/>
    <x v="1"/>
    <n v="25"/>
    <n v="4"/>
    <n v="1"/>
    <n v="80"/>
    <n v="1"/>
    <n v="10"/>
    <x v="2"/>
    <n v="3"/>
    <s v="0-4 Years"/>
    <x v="1"/>
    <s v="0-4 Years"/>
    <x v="11"/>
    <s v="0-4 Years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n v="3180"/>
    <x v="1"/>
    <s v="Low Income"/>
    <s v="Low Income"/>
    <s v="Low Income"/>
    <n v="4668"/>
    <n v="0"/>
    <s v="Y"/>
    <x v="1"/>
    <n v="13"/>
    <n v="3"/>
    <n v="3"/>
    <n v="80"/>
    <n v="3"/>
    <n v="4"/>
    <x v="2"/>
    <n v="3"/>
    <s v="0-4 Years"/>
    <x v="1"/>
    <s v="0-4 Years"/>
    <x v="11"/>
    <s v="0-4 Years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n v="6549"/>
    <x v="0"/>
    <s v="Medium Income"/>
    <s v="Medium Income"/>
    <s v="Medium Income"/>
    <n v="3173"/>
    <n v="1"/>
    <s v="Y"/>
    <x v="1"/>
    <n v="14"/>
    <n v="3"/>
    <n v="2"/>
    <n v="80"/>
    <n v="2"/>
    <n v="8"/>
    <x v="0"/>
    <n v="2"/>
    <s v="5-9 Years"/>
    <x v="2"/>
    <s v="5-9 Years"/>
    <x v="3"/>
    <s v="5-9 Years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n v="6388"/>
    <x v="0"/>
    <s v="Medium Income"/>
    <s v="Medium Income"/>
    <s v="Medium Income"/>
    <n v="22049"/>
    <n v="2"/>
    <s v="Y"/>
    <x v="0"/>
    <n v="17"/>
    <n v="3"/>
    <n v="1"/>
    <n v="80"/>
    <n v="0"/>
    <n v="14"/>
    <x v="2"/>
    <n v="6"/>
    <s v="0-4 Years"/>
    <x v="1"/>
    <s v="0-4 Years"/>
    <x v="2"/>
    <s v="0-4 Years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n v="11244"/>
    <x v="2"/>
    <s v="High Income"/>
    <s v="High Income"/>
    <s v="High Income"/>
    <n v="21072"/>
    <n v="2"/>
    <s v="Y"/>
    <x v="1"/>
    <n v="25"/>
    <n v="4"/>
    <n v="2"/>
    <n v="80"/>
    <n v="0"/>
    <n v="10"/>
    <x v="0"/>
    <n v="5"/>
    <s v="5-9 Years"/>
    <x v="3"/>
    <s v="5-9 Years"/>
    <x v="8"/>
    <s v="5-9 Years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n v="16032"/>
    <x v="2"/>
    <s v="High Income"/>
    <s v="High Income"/>
    <s v="High Income"/>
    <n v="24456"/>
    <n v="3"/>
    <s v="Y"/>
    <x v="1"/>
    <n v="20"/>
    <n v="4"/>
    <n v="1"/>
    <n v="80"/>
    <n v="1"/>
    <n v="26"/>
    <x v="1"/>
    <n v="2"/>
    <s v="10-14 Years"/>
    <x v="1"/>
    <s v="10-14 Years"/>
    <x v="13"/>
    <s v="10-14 Years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n v="2362"/>
    <x v="1"/>
    <s v="Low Income"/>
    <s v="Low Income"/>
    <s v="Low Income"/>
    <n v="7568"/>
    <n v="6"/>
    <s v="Y"/>
    <x v="1"/>
    <n v="13"/>
    <n v="3"/>
    <n v="3"/>
    <n v="80"/>
    <n v="0"/>
    <n v="11"/>
    <x v="0"/>
    <n v="2"/>
    <s v="5-9 Years"/>
    <x v="0"/>
    <s v="5-9 Years"/>
    <x v="7"/>
    <s v="5-9 Years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n v="16328"/>
    <x v="2"/>
    <s v="High Income"/>
    <s v="High Income"/>
    <s v="High Income"/>
    <n v="22074"/>
    <n v="3"/>
    <s v="Y"/>
    <x v="1"/>
    <n v="13"/>
    <n v="3"/>
    <n v="3"/>
    <n v="80"/>
    <n v="1"/>
    <n v="24"/>
    <x v="4"/>
    <n v="1"/>
    <s v="15-24 Years"/>
    <x v="3"/>
    <s v="15-24 Years"/>
    <x v="23"/>
    <s v="15-24 Years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n v="8376"/>
    <x v="0"/>
    <s v="Medium Income"/>
    <s v="Medium Income"/>
    <s v="Medium Income"/>
    <n v="9150"/>
    <n v="4"/>
    <s v="Y"/>
    <x v="1"/>
    <n v="18"/>
    <n v="3"/>
    <n v="4"/>
    <n v="80"/>
    <n v="0"/>
    <n v="9"/>
    <x v="2"/>
    <n v="3"/>
    <s v="0-4 Years"/>
    <x v="1"/>
    <s v="0-4 Years"/>
    <x v="4"/>
    <s v="0-4 Years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n v="16606"/>
    <x v="2"/>
    <s v="High Income"/>
    <s v="High Income"/>
    <s v="High Income"/>
    <n v="11380"/>
    <n v="8"/>
    <s v="Y"/>
    <x v="1"/>
    <n v="12"/>
    <n v="3"/>
    <n v="4"/>
    <n v="80"/>
    <n v="1"/>
    <n v="23"/>
    <x v="1"/>
    <n v="2"/>
    <s v="10-14 Years"/>
    <x v="3"/>
    <s v="10-14 Years"/>
    <x v="20"/>
    <s v="10-14 Years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n v="8606"/>
    <x v="0"/>
    <s v="Medium Income"/>
    <s v="Medium Income"/>
    <s v="Medium Income"/>
    <n v="21195"/>
    <n v="1"/>
    <s v="Y"/>
    <x v="1"/>
    <n v="19"/>
    <n v="3"/>
    <n v="4"/>
    <n v="80"/>
    <n v="0"/>
    <n v="11"/>
    <x v="1"/>
    <n v="3"/>
    <s v="10-14 Years"/>
    <x v="0"/>
    <s v="10-14 Years"/>
    <x v="19"/>
    <s v="10-14 Years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n v="2272"/>
    <x v="1"/>
    <s v="Low Income"/>
    <s v="Low Income"/>
    <s v="Low Income"/>
    <n v="24812"/>
    <n v="0"/>
    <s v="Y"/>
    <x v="1"/>
    <n v="14"/>
    <n v="3"/>
    <n v="2"/>
    <n v="80"/>
    <n v="0"/>
    <n v="5"/>
    <x v="2"/>
    <n v="2"/>
    <s v="0-4 Years"/>
    <x v="1"/>
    <s v="0-4 Years"/>
    <x v="9"/>
    <s v="0-4 Years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n v="2018"/>
    <x v="1"/>
    <s v="Low Income"/>
    <s v="Low Income"/>
    <s v="Low Income"/>
    <n v="21831"/>
    <n v="3"/>
    <s v="Y"/>
    <x v="1"/>
    <n v="14"/>
    <n v="3"/>
    <n v="2"/>
    <n v="80"/>
    <n v="0"/>
    <n v="15"/>
    <x v="0"/>
    <n v="3"/>
    <s v="5-9 Years"/>
    <x v="0"/>
    <s v="5-9 Years"/>
    <x v="8"/>
    <s v="5-9 Years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n v="7083"/>
    <x v="0"/>
    <s v="Medium Income"/>
    <s v="Medium Income"/>
    <s v="Medium Income"/>
    <n v="12288"/>
    <n v="1"/>
    <s v="Y"/>
    <x v="0"/>
    <n v="14"/>
    <n v="3"/>
    <n v="4"/>
    <n v="80"/>
    <n v="0"/>
    <n v="10"/>
    <x v="1"/>
    <n v="3"/>
    <s v="10-14 Years"/>
    <x v="1"/>
    <s v="10-14 Years"/>
    <x v="1"/>
    <s v="10-14 Years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n v="4084"/>
    <x v="1"/>
    <s v="Low Income"/>
    <s v="Low Income"/>
    <s v="Low Income"/>
    <n v="4156"/>
    <n v="1"/>
    <s v="Y"/>
    <x v="1"/>
    <n v="12"/>
    <n v="3"/>
    <n v="1"/>
    <n v="80"/>
    <n v="0"/>
    <n v="7"/>
    <x v="0"/>
    <n v="2"/>
    <s v="5-9 Years"/>
    <x v="0"/>
    <s v="5-9 Years"/>
    <x v="5"/>
    <s v="5-9 Years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n v="14411"/>
    <x v="2"/>
    <s v="High Income"/>
    <s v="High Income"/>
    <s v="High Income"/>
    <n v="24450"/>
    <n v="1"/>
    <s v="Y"/>
    <x v="0"/>
    <n v="13"/>
    <n v="3"/>
    <n v="4"/>
    <n v="80"/>
    <n v="0"/>
    <n v="32"/>
    <x v="3"/>
    <n v="2"/>
    <s v="25+ Years"/>
    <x v="1"/>
    <s v="25+ Years"/>
    <x v="32"/>
    <s v="25+ Years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n v="2308"/>
    <x v="1"/>
    <s v="Low Income"/>
    <s v="Low Income"/>
    <s v="Low Income"/>
    <n v="4944"/>
    <n v="0"/>
    <s v="Y"/>
    <x v="0"/>
    <n v="25"/>
    <n v="4"/>
    <n v="2"/>
    <n v="80"/>
    <n v="1"/>
    <n v="12"/>
    <x v="1"/>
    <n v="4"/>
    <s v="10-14 Years"/>
    <x v="1"/>
    <s v="10-14 Years"/>
    <x v="19"/>
    <s v="10-14 Years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n v="4841"/>
    <x v="1"/>
    <s v="Low Income"/>
    <s v="Low Income"/>
    <s v="Low Income"/>
    <n v="24052"/>
    <n v="4"/>
    <s v="Y"/>
    <x v="1"/>
    <n v="14"/>
    <n v="3"/>
    <n v="2"/>
    <n v="80"/>
    <n v="1"/>
    <n v="4"/>
    <x v="2"/>
    <n v="3"/>
    <s v="0-4 Years"/>
    <x v="1"/>
    <s v="0-4 Years"/>
    <x v="6"/>
    <s v="0-4 Years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n v="4285"/>
    <x v="1"/>
    <s v="Low Income"/>
    <s v="Low Income"/>
    <s v="Low Income"/>
    <n v="3031"/>
    <n v="1"/>
    <s v="Y"/>
    <x v="1"/>
    <n v="17"/>
    <n v="3"/>
    <n v="1"/>
    <n v="80"/>
    <n v="0"/>
    <n v="10"/>
    <x v="1"/>
    <n v="2"/>
    <s v="10-14 Years"/>
    <x v="1"/>
    <s v="10-14 Years"/>
    <x v="1"/>
    <s v="10-14 Years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n v="9715"/>
    <x v="0"/>
    <s v="Medium Income"/>
    <s v="Medium Income"/>
    <s v="Medium Income"/>
    <n v="7288"/>
    <n v="3"/>
    <s v="Y"/>
    <x v="1"/>
    <n v="13"/>
    <n v="3"/>
    <n v="3"/>
    <n v="80"/>
    <n v="1"/>
    <n v="9"/>
    <x v="0"/>
    <n v="3"/>
    <s v="5-9 Years"/>
    <x v="1"/>
    <s v="5-9 Years"/>
    <x v="5"/>
    <s v="5-9 Years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n v="4320"/>
    <x v="1"/>
    <s v="Low Income"/>
    <s v="Low Income"/>
    <s v="Low Income"/>
    <n v="24152"/>
    <n v="1"/>
    <s v="Y"/>
    <x v="1"/>
    <n v="13"/>
    <n v="3"/>
    <n v="4"/>
    <n v="80"/>
    <n v="0"/>
    <n v="5"/>
    <x v="0"/>
    <n v="2"/>
    <s v="5-9 Years"/>
    <x v="1"/>
    <s v="5-9 Years"/>
    <x v="8"/>
    <s v="5-9 Years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n v="2132"/>
    <x v="1"/>
    <s v="Low Income"/>
    <s v="Low Income"/>
    <s v="Low Income"/>
    <n v="4585"/>
    <n v="4"/>
    <s v="Y"/>
    <x v="1"/>
    <n v="20"/>
    <n v="4"/>
    <n v="4"/>
    <n v="80"/>
    <n v="1"/>
    <n v="8"/>
    <x v="0"/>
    <n v="3"/>
    <s v="5-9 Years"/>
    <x v="1"/>
    <s v="5-9 Years"/>
    <x v="8"/>
    <s v="5-9 Years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n v="10124"/>
    <x v="2"/>
    <s v="High Income"/>
    <s v="High Income"/>
    <s v="High Income"/>
    <n v="18611"/>
    <n v="2"/>
    <s v="Y"/>
    <x v="0"/>
    <n v="14"/>
    <n v="3"/>
    <n v="3"/>
    <n v="80"/>
    <n v="1"/>
    <n v="24"/>
    <x v="4"/>
    <n v="3"/>
    <s v="15-24 Years"/>
    <x v="0"/>
    <s v="15-24 Years"/>
    <x v="23"/>
    <s v="15-24 Years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n v="5473"/>
    <x v="0"/>
    <s v="Medium Income"/>
    <s v="Medium Income"/>
    <s v="Medium Income"/>
    <n v="19345"/>
    <n v="0"/>
    <s v="Y"/>
    <x v="1"/>
    <n v="12"/>
    <n v="3"/>
    <n v="4"/>
    <n v="80"/>
    <n v="0"/>
    <n v="9"/>
    <x v="0"/>
    <n v="5"/>
    <s v="5-9 Years"/>
    <x v="3"/>
    <s v="5-9 Years"/>
    <x v="3"/>
    <s v="5-9 Years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n v="5207"/>
    <x v="0"/>
    <s v="Medium Income"/>
    <s v="Medium Income"/>
    <s v="Medium Income"/>
    <n v="22949"/>
    <n v="1"/>
    <s v="Y"/>
    <x v="0"/>
    <n v="12"/>
    <n v="3"/>
    <n v="2"/>
    <n v="80"/>
    <n v="1"/>
    <n v="15"/>
    <x v="4"/>
    <n v="3"/>
    <s v="15-24 Years"/>
    <x v="1"/>
    <s v="15-24 Years"/>
    <x v="15"/>
    <s v="15-24 Years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n v="16437"/>
    <x v="2"/>
    <s v="High Income"/>
    <s v="High Income"/>
    <s v="High Income"/>
    <n v="17381"/>
    <n v="1"/>
    <s v="Y"/>
    <x v="0"/>
    <n v="21"/>
    <n v="4"/>
    <n v="4"/>
    <n v="80"/>
    <n v="0"/>
    <n v="21"/>
    <x v="4"/>
    <n v="2"/>
    <s v="15-24 Years"/>
    <x v="1"/>
    <s v="15-24 Years"/>
    <x v="17"/>
    <s v="15-24 Years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n v="2296"/>
    <x v="1"/>
    <s v="Low Income"/>
    <s v="Low Income"/>
    <s v="Low Income"/>
    <n v="10036"/>
    <n v="0"/>
    <s v="Y"/>
    <x v="1"/>
    <n v="14"/>
    <n v="3"/>
    <n v="2"/>
    <n v="80"/>
    <n v="3"/>
    <n v="2"/>
    <x v="2"/>
    <n v="3"/>
    <s v="0-4 Years"/>
    <x v="1"/>
    <s v="0-4 Years"/>
    <x v="6"/>
    <s v="0-4 Years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n v="4069"/>
    <x v="1"/>
    <s v="Low Income"/>
    <s v="Low Income"/>
    <s v="Low Income"/>
    <n v="8841"/>
    <n v="3"/>
    <s v="Y"/>
    <x v="0"/>
    <n v="18"/>
    <n v="3"/>
    <n v="3"/>
    <n v="80"/>
    <n v="0"/>
    <n v="8"/>
    <x v="2"/>
    <n v="2"/>
    <s v="0-4 Years"/>
    <x v="1"/>
    <s v="0-4 Years"/>
    <x v="4"/>
    <s v="0-4 Years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n v="7441"/>
    <x v="0"/>
    <s v="Medium Income"/>
    <s v="Medium Income"/>
    <s v="Medium Income"/>
    <n v="20933"/>
    <n v="1"/>
    <s v="Y"/>
    <x v="1"/>
    <n v="12"/>
    <n v="3"/>
    <n v="1"/>
    <n v="80"/>
    <n v="3"/>
    <n v="10"/>
    <x v="1"/>
    <n v="4"/>
    <s v="10-14 Years"/>
    <x v="1"/>
    <s v="10-14 Years"/>
    <x v="1"/>
    <s v="10-14 Years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n v="2430"/>
    <x v="1"/>
    <s v="Low Income"/>
    <s v="Low Income"/>
    <s v="Low Income"/>
    <n v="26204"/>
    <n v="0"/>
    <s v="Y"/>
    <x v="1"/>
    <n v="23"/>
    <n v="4"/>
    <n v="1"/>
    <n v="80"/>
    <n v="2"/>
    <n v="6"/>
    <x v="0"/>
    <n v="5"/>
    <s v="5-9 Years"/>
    <x v="1"/>
    <s v="5-9 Years"/>
    <x v="8"/>
    <s v="5-9 Years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n v="5878"/>
    <x v="0"/>
    <s v="Medium Income"/>
    <s v="Medium Income"/>
    <s v="Medium Income"/>
    <n v="15624"/>
    <n v="3"/>
    <s v="Y"/>
    <x v="1"/>
    <n v="12"/>
    <n v="3"/>
    <n v="1"/>
    <n v="80"/>
    <n v="1"/>
    <n v="12"/>
    <x v="0"/>
    <n v="2"/>
    <s v="5-9 Years"/>
    <x v="1"/>
    <s v="5-9 Years"/>
    <x v="5"/>
    <s v="5-9 Years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n v="2644"/>
    <x v="1"/>
    <s v="Low Income"/>
    <s v="Low Income"/>
    <s v="Low Income"/>
    <n v="17001"/>
    <n v="3"/>
    <s v="Y"/>
    <x v="0"/>
    <n v="21"/>
    <n v="4"/>
    <n v="4"/>
    <n v="80"/>
    <n v="0"/>
    <n v="7"/>
    <x v="2"/>
    <n v="3"/>
    <s v="0-4 Years"/>
    <x v="2"/>
    <s v="0-4 Years"/>
    <x v="11"/>
    <s v="0-4 Years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n v="6439"/>
    <x v="0"/>
    <s v="Medium Income"/>
    <s v="Medium Income"/>
    <s v="Medium Income"/>
    <n v="13693"/>
    <n v="8"/>
    <s v="Y"/>
    <x v="1"/>
    <n v="14"/>
    <n v="3"/>
    <n v="3"/>
    <n v="80"/>
    <n v="1"/>
    <n v="18"/>
    <x v="0"/>
    <n v="2"/>
    <s v="5-9 Years"/>
    <x v="1"/>
    <s v="5-9 Years"/>
    <x v="3"/>
    <s v="5-9 Years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n v="2451"/>
    <x v="1"/>
    <s v="Low Income"/>
    <s v="Low Income"/>
    <s v="Low Income"/>
    <n v="22376"/>
    <n v="6"/>
    <s v="Y"/>
    <x v="1"/>
    <n v="18"/>
    <n v="3"/>
    <n v="1"/>
    <n v="80"/>
    <n v="2"/>
    <n v="5"/>
    <x v="2"/>
    <n v="2"/>
    <s v="0-4 Years"/>
    <x v="2"/>
    <s v="0-4 Years"/>
    <x v="6"/>
    <s v="0-4 Years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n v="6392"/>
    <x v="0"/>
    <s v="Medium Income"/>
    <s v="Medium Income"/>
    <s v="Medium Income"/>
    <n v="10589"/>
    <n v="2"/>
    <s v="Y"/>
    <x v="1"/>
    <n v="13"/>
    <n v="3"/>
    <n v="4"/>
    <n v="80"/>
    <n v="1"/>
    <n v="8"/>
    <x v="2"/>
    <n v="6"/>
    <s v="0-4 Years"/>
    <x v="0"/>
    <s v="0-4 Years"/>
    <x v="4"/>
    <s v="0-4 Years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n v="9714"/>
    <x v="0"/>
    <s v="Medium Income"/>
    <s v="Medium Income"/>
    <s v="Medium Income"/>
    <n v="5323"/>
    <n v="1"/>
    <s v="Y"/>
    <x v="1"/>
    <n v="11"/>
    <n v="3"/>
    <n v="4"/>
    <n v="80"/>
    <n v="1"/>
    <n v="10"/>
    <x v="1"/>
    <n v="4"/>
    <s v="10-14 Years"/>
    <x v="1"/>
    <s v="10-14 Years"/>
    <x v="1"/>
    <s v="10-14 Years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n v="6077"/>
    <x v="0"/>
    <s v="Medium Income"/>
    <s v="Medium Income"/>
    <s v="Medium Income"/>
    <n v="14814"/>
    <n v="3"/>
    <s v="Y"/>
    <x v="1"/>
    <n v="11"/>
    <n v="3"/>
    <n v="3"/>
    <n v="80"/>
    <n v="0"/>
    <n v="10"/>
    <x v="0"/>
    <n v="2"/>
    <s v="5-9 Years"/>
    <x v="1"/>
    <s v="5-9 Years"/>
    <x v="0"/>
    <s v="5-9 Years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n v="2450"/>
    <x v="1"/>
    <s v="Low Income"/>
    <s v="Low Income"/>
    <s v="Low Income"/>
    <n v="21731"/>
    <n v="1"/>
    <s v="Y"/>
    <x v="1"/>
    <n v="19"/>
    <n v="3"/>
    <n v="2"/>
    <n v="80"/>
    <n v="0"/>
    <n v="3"/>
    <x v="2"/>
    <n v="3"/>
    <s v="0-4 Years"/>
    <x v="1"/>
    <s v="0-4 Years"/>
    <x v="11"/>
    <s v="0-4 Years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n v="9250"/>
    <x v="0"/>
    <s v="Medium Income"/>
    <s v="Medium Income"/>
    <s v="Medium Income"/>
    <n v="17799"/>
    <n v="3"/>
    <s v="Y"/>
    <x v="1"/>
    <n v="12"/>
    <n v="3"/>
    <n v="2"/>
    <n v="80"/>
    <n v="1"/>
    <n v="9"/>
    <x v="2"/>
    <n v="3"/>
    <s v="0-4 Years"/>
    <x v="1"/>
    <s v="0-4 Years"/>
    <x v="9"/>
    <s v="0-4 Years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n v="2074"/>
    <x v="1"/>
    <s v="Low Income"/>
    <s v="Low Income"/>
    <s v="Low Income"/>
    <n v="26619"/>
    <n v="1"/>
    <s v="Y"/>
    <x v="0"/>
    <n v="12"/>
    <n v="3"/>
    <n v="4"/>
    <n v="80"/>
    <n v="1"/>
    <n v="1"/>
    <x v="2"/>
    <n v="2"/>
    <s v="0-4 Years"/>
    <x v="1"/>
    <s v="0-4 Years"/>
    <x v="6"/>
    <s v="0-4 Years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n v="10169"/>
    <x v="2"/>
    <s v="High Income"/>
    <s v="High Income"/>
    <s v="High Income"/>
    <n v="14618"/>
    <n v="0"/>
    <s v="Y"/>
    <x v="1"/>
    <n v="16"/>
    <n v="3"/>
    <n v="2"/>
    <n v="80"/>
    <n v="1"/>
    <n v="34"/>
    <x v="3"/>
    <n v="4"/>
    <s v="25+ Years"/>
    <x v="1"/>
    <s v="25+ Years"/>
    <x v="26"/>
    <s v="25+ Years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n v="4855"/>
    <x v="1"/>
    <s v="Low Income"/>
    <s v="Low Income"/>
    <s v="Low Income"/>
    <n v="7653"/>
    <n v="4"/>
    <s v="Y"/>
    <x v="1"/>
    <n v="11"/>
    <n v="3"/>
    <n v="1"/>
    <n v="80"/>
    <n v="2"/>
    <n v="7"/>
    <x v="0"/>
    <n v="2"/>
    <s v="5-9 Years"/>
    <x v="1"/>
    <s v="5-9 Years"/>
    <x v="8"/>
    <s v="5-9 Years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n v="4087"/>
    <x v="1"/>
    <s v="Low Income"/>
    <s v="Low Income"/>
    <s v="Low Income"/>
    <n v="25174"/>
    <n v="4"/>
    <s v="Y"/>
    <x v="1"/>
    <n v="14"/>
    <n v="3"/>
    <n v="2"/>
    <n v="80"/>
    <n v="1"/>
    <n v="9"/>
    <x v="0"/>
    <n v="3"/>
    <s v="5-9 Years"/>
    <x v="2"/>
    <s v="5-9 Years"/>
    <x v="0"/>
    <s v="5-9 Years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n v="2367"/>
    <x v="1"/>
    <s v="Low Income"/>
    <s v="Low Income"/>
    <s v="Low Income"/>
    <n v="16530"/>
    <n v="8"/>
    <s v="Y"/>
    <x v="1"/>
    <n v="12"/>
    <n v="3"/>
    <n v="4"/>
    <n v="80"/>
    <n v="1"/>
    <n v="10"/>
    <x v="0"/>
    <n v="3"/>
    <s v="5-9 Years"/>
    <x v="2"/>
    <s v="5-9 Years"/>
    <x v="3"/>
    <s v="5-9 Years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n v="2972"/>
    <x v="1"/>
    <s v="Low Income"/>
    <s v="Low Income"/>
    <s v="Low Income"/>
    <n v="22061"/>
    <n v="1"/>
    <s v="Y"/>
    <x v="1"/>
    <n v="13"/>
    <n v="3"/>
    <n v="3"/>
    <n v="80"/>
    <n v="0"/>
    <n v="1"/>
    <x v="2"/>
    <n v="4"/>
    <s v="0-4 Years"/>
    <x v="0"/>
    <s v="0-4 Years"/>
    <x v="6"/>
    <s v="0-4 Years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n v="19586"/>
    <x v="2"/>
    <s v="High Income"/>
    <s v="High Income"/>
    <s v="High Income"/>
    <n v="23037"/>
    <n v="1"/>
    <s v="Y"/>
    <x v="1"/>
    <n v="21"/>
    <n v="4"/>
    <n v="3"/>
    <n v="80"/>
    <n v="1"/>
    <n v="36"/>
    <x v="3"/>
    <n v="3"/>
    <s v="25+ Years"/>
    <x v="1"/>
    <s v="25+ Years"/>
    <x v="28"/>
    <s v="25+ Years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n v="5484"/>
    <x v="0"/>
    <s v="Medium Income"/>
    <s v="Medium Income"/>
    <s v="Medium Income"/>
    <n v="13008"/>
    <n v="9"/>
    <s v="Y"/>
    <x v="1"/>
    <n v="17"/>
    <n v="3"/>
    <n v="2"/>
    <n v="80"/>
    <n v="1"/>
    <n v="9"/>
    <x v="2"/>
    <n v="3"/>
    <s v="0-4 Years"/>
    <x v="2"/>
    <s v="0-4 Years"/>
    <x v="4"/>
    <s v="0-4 Years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n v="2061"/>
    <x v="1"/>
    <s v="Low Income"/>
    <s v="Low Income"/>
    <s v="Low Income"/>
    <n v="11133"/>
    <n v="1"/>
    <s v="Y"/>
    <x v="1"/>
    <n v="21"/>
    <n v="4"/>
    <n v="1"/>
    <n v="80"/>
    <n v="0"/>
    <n v="1"/>
    <x v="2"/>
    <n v="5"/>
    <s v="0-4 Years"/>
    <x v="1"/>
    <s v="0-4 Years"/>
    <x v="6"/>
    <s v="0-4 Years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n v="9924"/>
    <x v="0"/>
    <s v="Medium Income"/>
    <s v="Medium Income"/>
    <s v="Medium Income"/>
    <n v="12355"/>
    <n v="0"/>
    <s v="Y"/>
    <x v="1"/>
    <n v="11"/>
    <n v="3"/>
    <n v="4"/>
    <n v="80"/>
    <n v="1"/>
    <n v="10"/>
    <x v="0"/>
    <n v="3"/>
    <s v="5-9 Years"/>
    <x v="1"/>
    <s v="5-9 Years"/>
    <x v="7"/>
    <s v="5-9 Years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n v="4198"/>
    <x v="1"/>
    <s v="Low Income"/>
    <s v="Low Income"/>
    <s v="Low Income"/>
    <n v="16379"/>
    <n v="2"/>
    <s v="Y"/>
    <x v="1"/>
    <n v="12"/>
    <n v="3"/>
    <n v="2"/>
    <n v="80"/>
    <n v="0"/>
    <n v="8"/>
    <x v="2"/>
    <n v="5"/>
    <s v="0-4 Years"/>
    <x v="3"/>
    <s v="0-4 Years"/>
    <x v="11"/>
    <s v="0-4 Years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n v="6815"/>
    <x v="0"/>
    <s v="Medium Income"/>
    <s v="Medium Income"/>
    <s v="Medium Income"/>
    <n v="21447"/>
    <n v="6"/>
    <s v="Y"/>
    <x v="1"/>
    <n v="13"/>
    <n v="3"/>
    <n v="1"/>
    <n v="80"/>
    <n v="0"/>
    <n v="15"/>
    <x v="2"/>
    <n v="5"/>
    <s v="0-4 Years"/>
    <x v="1"/>
    <s v="0-4 Years"/>
    <x v="6"/>
    <s v="0-4 Years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n v="4723"/>
    <x v="1"/>
    <s v="Low Income"/>
    <s v="Low Income"/>
    <s v="Low Income"/>
    <n v="16213"/>
    <n v="1"/>
    <s v="Y"/>
    <x v="0"/>
    <n v="18"/>
    <n v="3"/>
    <n v="4"/>
    <n v="80"/>
    <n v="0"/>
    <n v="10"/>
    <x v="1"/>
    <n v="3"/>
    <s v="10-14 Years"/>
    <x v="1"/>
    <s v="10-14 Years"/>
    <x v="1"/>
    <s v="10-14 Years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n v="6142"/>
    <x v="0"/>
    <s v="Medium Income"/>
    <s v="Medium Income"/>
    <s v="Medium Income"/>
    <n v="4223"/>
    <n v="3"/>
    <s v="Y"/>
    <x v="0"/>
    <n v="16"/>
    <n v="3"/>
    <n v="3"/>
    <n v="80"/>
    <n v="0"/>
    <n v="10"/>
    <x v="0"/>
    <n v="4"/>
    <s v="5-9 Years"/>
    <x v="1"/>
    <s v="5-9 Years"/>
    <x v="8"/>
    <s v="5-9 Years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n v="8237"/>
    <x v="0"/>
    <s v="Medium Income"/>
    <s v="Medium Income"/>
    <s v="Medium Income"/>
    <n v="4658"/>
    <n v="2"/>
    <s v="Y"/>
    <x v="1"/>
    <n v="11"/>
    <n v="3"/>
    <n v="1"/>
    <n v="80"/>
    <n v="1"/>
    <n v="11"/>
    <x v="0"/>
    <n v="3"/>
    <s v="5-9 Years"/>
    <x v="1"/>
    <s v="5-9 Years"/>
    <x v="5"/>
    <s v="5-9 Years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n v="8853"/>
    <x v="0"/>
    <s v="Medium Income"/>
    <s v="Medium Income"/>
    <s v="Medium Income"/>
    <n v="24483"/>
    <n v="1"/>
    <s v="Y"/>
    <x v="1"/>
    <n v="19"/>
    <n v="3"/>
    <n v="4"/>
    <n v="80"/>
    <n v="1"/>
    <n v="6"/>
    <x v="0"/>
    <n v="0"/>
    <s v="5-9 Years"/>
    <x v="3"/>
    <s v="5-9 Years"/>
    <x v="0"/>
    <s v="5-9 Years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n v="19331"/>
    <x v="2"/>
    <s v="High Income"/>
    <s v="High Income"/>
    <s v="High Income"/>
    <n v="19519"/>
    <n v="4"/>
    <s v="Y"/>
    <x v="0"/>
    <n v="16"/>
    <n v="3"/>
    <n v="3"/>
    <n v="80"/>
    <n v="1"/>
    <n v="27"/>
    <x v="2"/>
    <n v="2"/>
    <s v="0-4 Years"/>
    <x v="1"/>
    <s v="0-4 Years"/>
    <x v="6"/>
    <s v="0-4 Years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n v="2073"/>
    <x v="1"/>
    <s v="Low Income"/>
    <s v="Low Income"/>
    <s v="Low Income"/>
    <n v="12826"/>
    <n v="2"/>
    <s v="Y"/>
    <x v="1"/>
    <n v="16"/>
    <n v="3"/>
    <n v="4"/>
    <n v="80"/>
    <n v="1"/>
    <n v="4"/>
    <x v="2"/>
    <n v="2"/>
    <s v="0-4 Years"/>
    <x v="1"/>
    <s v="0-4 Years"/>
    <x v="4"/>
    <s v="0-4 Years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n v="5562"/>
    <x v="0"/>
    <s v="Medium Income"/>
    <s v="Medium Income"/>
    <s v="Medium Income"/>
    <n v="19711"/>
    <n v="3"/>
    <s v="Y"/>
    <x v="0"/>
    <n v="13"/>
    <n v="3"/>
    <n v="4"/>
    <n v="80"/>
    <n v="1"/>
    <n v="9"/>
    <x v="2"/>
    <n v="3"/>
    <s v="0-4 Years"/>
    <x v="1"/>
    <s v="0-4 Years"/>
    <x v="11"/>
    <s v="0-4 Years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n v="19613"/>
    <x v="2"/>
    <s v="High Income"/>
    <s v="High Income"/>
    <s v="High Income"/>
    <n v="26362"/>
    <n v="8"/>
    <s v="Y"/>
    <x v="1"/>
    <n v="22"/>
    <n v="4"/>
    <n v="4"/>
    <n v="80"/>
    <n v="0"/>
    <n v="24"/>
    <x v="2"/>
    <n v="2"/>
    <s v="0-4 Years"/>
    <x v="1"/>
    <s v="0-4 Years"/>
    <x v="6"/>
    <s v="0-4 Years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n v="3407"/>
    <x v="1"/>
    <s v="Low Income"/>
    <s v="Low Income"/>
    <s v="Low Income"/>
    <n v="25348"/>
    <n v="1"/>
    <s v="Y"/>
    <x v="1"/>
    <n v="17"/>
    <n v="3"/>
    <n v="4"/>
    <n v="80"/>
    <n v="2"/>
    <n v="10"/>
    <x v="1"/>
    <n v="3"/>
    <s v="10-14 Years"/>
    <x v="2"/>
    <s v="10-14 Years"/>
    <x v="1"/>
    <s v="10-14 Years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n v="5063"/>
    <x v="0"/>
    <s v="Medium Income"/>
    <s v="Medium Income"/>
    <s v="Medium Income"/>
    <n v="15332"/>
    <n v="1"/>
    <s v="Y"/>
    <x v="1"/>
    <n v="14"/>
    <n v="3"/>
    <n v="2"/>
    <n v="80"/>
    <n v="1"/>
    <n v="8"/>
    <x v="0"/>
    <n v="3"/>
    <s v="5-9 Years"/>
    <x v="2"/>
    <s v="5-9 Years"/>
    <x v="3"/>
    <s v="5-9 Years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n v="4639"/>
    <x v="1"/>
    <s v="Low Income"/>
    <s v="Low Income"/>
    <s v="Low Income"/>
    <n v="11262"/>
    <n v="1"/>
    <s v="Y"/>
    <x v="1"/>
    <n v="15"/>
    <n v="3"/>
    <n v="3"/>
    <n v="80"/>
    <n v="1"/>
    <n v="5"/>
    <x v="0"/>
    <n v="2"/>
    <s v="5-9 Years"/>
    <x v="1"/>
    <s v="5-9 Years"/>
    <x v="8"/>
    <s v="5-9 Years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n v="4876"/>
    <x v="1"/>
    <s v="Low Income"/>
    <s v="Low Income"/>
    <s v="Low Income"/>
    <n v="5855"/>
    <n v="5"/>
    <s v="Y"/>
    <x v="1"/>
    <n v="12"/>
    <n v="3"/>
    <n v="3"/>
    <n v="80"/>
    <n v="1"/>
    <n v="8"/>
    <x v="0"/>
    <n v="0"/>
    <s v="5-9 Years"/>
    <x v="1"/>
    <s v="5-9 Years"/>
    <x v="0"/>
    <s v="5-9 Years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n v="2690"/>
    <x v="1"/>
    <s v="Low Income"/>
    <s v="Low Income"/>
    <s v="Low Income"/>
    <n v="7713"/>
    <n v="1"/>
    <s v="Y"/>
    <x v="1"/>
    <n v="18"/>
    <n v="3"/>
    <n v="4"/>
    <n v="80"/>
    <n v="1"/>
    <n v="1"/>
    <x v="2"/>
    <n v="5"/>
    <s v="0-4 Years"/>
    <x v="2"/>
    <s v="0-4 Years"/>
    <x v="6"/>
    <s v="0-4 Years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n v="17567"/>
    <x v="2"/>
    <s v="High Income"/>
    <s v="High Income"/>
    <s v="High Income"/>
    <n v="3156"/>
    <n v="1"/>
    <s v="Y"/>
    <x v="1"/>
    <n v="15"/>
    <n v="3"/>
    <n v="2"/>
    <n v="80"/>
    <n v="0"/>
    <n v="27"/>
    <x v="3"/>
    <n v="5"/>
    <s v="25+ Years"/>
    <x v="0"/>
    <s v="25+ Years"/>
    <x v="34"/>
    <s v="25+ Years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n v="2408"/>
    <x v="1"/>
    <s v="Low Income"/>
    <s v="Low Income"/>
    <s v="Low Income"/>
    <n v="7324"/>
    <n v="1"/>
    <s v="Y"/>
    <x v="0"/>
    <n v="17"/>
    <n v="3"/>
    <n v="3"/>
    <n v="80"/>
    <n v="3"/>
    <n v="1"/>
    <x v="2"/>
    <n v="3"/>
    <s v="0-4 Years"/>
    <x v="1"/>
    <s v="0-4 Years"/>
    <x v="6"/>
    <s v="0-4 Years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n v="2814"/>
    <x v="1"/>
    <s v="Low Income"/>
    <s v="Low Income"/>
    <s v="Low Income"/>
    <n v="10293"/>
    <n v="1"/>
    <s v="Y"/>
    <x v="0"/>
    <n v="14"/>
    <n v="3"/>
    <n v="2"/>
    <n v="80"/>
    <n v="0"/>
    <n v="4"/>
    <x v="2"/>
    <n v="2"/>
    <s v="0-4 Years"/>
    <x v="2"/>
    <s v="0-4 Years"/>
    <x v="9"/>
    <s v="0-4 Years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n v="11245"/>
    <x v="2"/>
    <s v="High Income"/>
    <s v="High Income"/>
    <s v="High Income"/>
    <n v="20689"/>
    <n v="2"/>
    <s v="Y"/>
    <x v="0"/>
    <n v="15"/>
    <n v="3"/>
    <n v="3"/>
    <n v="80"/>
    <n v="1"/>
    <n v="32"/>
    <x v="3"/>
    <n v="3"/>
    <s v="25+ Years"/>
    <x v="1"/>
    <s v="25+ Years"/>
    <x v="35"/>
    <s v="25+ Years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n v="3312"/>
    <x v="1"/>
    <s v="Low Income"/>
    <s v="Low Income"/>
    <s v="Low Income"/>
    <n v="18783"/>
    <n v="3"/>
    <s v="Y"/>
    <x v="1"/>
    <n v="17"/>
    <n v="3"/>
    <n v="4"/>
    <n v="80"/>
    <n v="2"/>
    <n v="6"/>
    <x v="2"/>
    <n v="3"/>
    <s v="0-4 Years"/>
    <x v="1"/>
    <s v="0-4 Years"/>
    <x v="11"/>
    <s v="0-4 Years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n v="19049"/>
    <x v="2"/>
    <s v="High Income"/>
    <s v="High Income"/>
    <s v="High Income"/>
    <n v="3549"/>
    <n v="0"/>
    <s v="Y"/>
    <x v="0"/>
    <n v="14"/>
    <n v="3"/>
    <n v="4"/>
    <n v="80"/>
    <n v="1"/>
    <n v="23"/>
    <x v="4"/>
    <n v="4"/>
    <s v="15-24 Years"/>
    <x v="2"/>
    <s v="15-24 Years"/>
    <x v="14"/>
    <s v="15-24 Years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n v="2141"/>
    <x v="1"/>
    <s v="Low Income"/>
    <s v="Low Income"/>
    <s v="Low Income"/>
    <n v="5348"/>
    <n v="1"/>
    <s v="Y"/>
    <x v="1"/>
    <n v="12"/>
    <n v="3"/>
    <n v="2"/>
    <n v="80"/>
    <n v="1"/>
    <n v="6"/>
    <x v="0"/>
    <n v="3"/>
    <s v="5-9 Years"/>
    <x v="2"/>
    <s v="5-9 Years"/>
    <x v="0"/>
    <s v="5-9 Years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n v="5769"/>
    <x v="0"/>
    <s v="Medium Income"/>
    <s v="Medium Income"/>
    <s v="Medium Income"/>
    <n v="23447"/>
    <n v="1"/>
    <s v="Y"/>
    <x v="0"/>
    <n v="14"/>
    <n v="3"/>
    <n v="1"/>
    <n v="80"/>
    <n v="0"/>
    <n v="10"/>
    <x v="1"/>
    <n v="3"/>
    <s v="10-14 Years"/>
    <x v="1"/>
    <s v="10-14 Years"/>
    <x v="1"/>
    <s v="10-14 Years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n v="4385"/>
    <x v="1"/>
    <s v="Low Income"/>
    <s v="Low Income"/>
    <s v="Low Income"/>
    <n v="24162"/>
    <n v="1"/>
    <s v="Y"/>
    <x v="1"/>
    <n v="15"/>
    <n v="3"/>
    <n v="1"/>
    <n v="80"/>
    <n v="1"/>
    <n v="10"/>
    <x v="1"/>
    <n v="2"/>
    <s v="10-14 Years"/>
    <x v="1"/>
    <s v="10-14 Years"/>
    <x v="1"/>
    <s v="10-14 Years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n v="5332"/>
    <x v="0"/>
    <s v="Medium Income"/>
    <s v="Medium Income"/>
    <s v="Medium Income"/>
    <n v="21602"/>
    <n v="7"/>
    <s v="Y"/>
    <x v="1"/>
    <n v="13"/>
    <n v="3"/>
    <n v="4"/>
    <n v="80"/>
    <n v="0"/>
    <n v="10"/>
    <x v="0"/>
    <n v="3"/>
    <s v="5-9 Years"/>
    <x v="1"/>
    <s v="5-9 Years"/>
    <x v="8"/>
    <s v="5-9 Years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n v="4663"/>
    <x v="1"/>
    <s v="Low Income"/>
    <s v="Low Income"/>
    <s v="Low Income"/>
    <n v="12421"/>
    <n v="9"/>
    <s v="Y"/>
    <x v="0"/>
    <n v="12"/>
    <n v="3"/>
    <n v="2"/>
    <n v="80"/>
    <n v="2"/>
    <n v="7"/>
    <x v="2"/>
    <n v="2"/>
    <s v="0-4 Years"/>
    <x v="1"/>
    <s v="0-4 Years"/>
    <x v="11"/>
    <s v="0-4 Years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n v="4724"/>
    <x v="1"/>
    <s v="Low Income"/>
    <s v="Low Income"/>
    <s v="Low Income"/>
    <n v="17000"/>
    <n v="1"/>
    <s v="Y"/>
    <x v="1"/>
    <n v="13"/>
    <n v="3"/>
    <n v="1"/>
    <n v="80"/>
    <n v="1"/>
    <n v="9"/>
    <x v="0"/>
    <n v="3"/>
    <s v="5-9 Years"/>
    <x v="1"/>
    <s v="5-9 Years"/>
    <x v="7"/>
    <s v="5-9 Years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n v="3211"/>
    <x v="1"/>
    <s v="Low Income"/>
    <s v="Low Income"/>
    <s v="Low Income"/>
    <n v="22102"/>
    <n v="1"/>
    <s v="Y"/>
    <x v="1"/>
    <n v="14"/>
    <n v="3"/>
    <n v="4"/>
    <n v="80"/>
    <n v="1"/>
    <n v="10"/>
    <x v="0"/>
    <n v="3"/>
    <s v="5-9 Years"/>
    <x v="2"/>
    <s v="5-9 Years"/>
    <x v="7"/>
    <s v="5-9 Years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n v="5377"/>
    <x v="0"/>
    <s v="Medium Income"/>
    <s v="Medium Income"/>
    <s v="Medium Income"/>
    <n v="3835"/>
    <n v="2"/>
    <s v="Y"/>
    <x v="1"/>
    <n v="13"/>
    <n v="3"/>
    <n v="4"/>
    <n v="80"/>
    <n v="3"/>
    <n v="10"/>
    <x v="0"/>
    <n v="3"/>
    <s v="5-9 Years"/>
    <x v="1"/>
    <s v="5-9 Years"/>
    <x v="5"/>
    <s v="5-9 Years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n v="4066"/>
    <x v="1"/>
    <s v="Low Income"/>
    <s v="Low Income"/>
    <s v="Low Income"/>
    <n v="16290"/>
    <n v="1"/>
    <s v="Y"/>
    <x v="1"/>
    <n v="11"/>
    <n v="3"/>
    <n v="1"/>
    <n v="80"/>
    <n v="2"/>
    <n v="7"/>
    <x v="0"/>
    <n v="3"/>
    <s v="5-9 Years"/>
    <x v="1"/>
    <s v="5-9 Years"/>
    <x v="5"/>
    <s v="5-9 Years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n v="5208"/>
    <x v="0"/>
    <s v="Medium Income"/>
    <s v="Medium Income"/>
    <s v="Medium Income"/>
    <n v="26312"/>
    <n v="1"/>
    <s v="Y"/>
    <x v="1"/>
    <n v="11"/>
    <n v="3"/>
    <n v="4"/>
    <n v="80"/>
    <n v="0"/>
    <n v="16"/>
    <x v="4"/>
    <n v="2"/>
    <s v="15-24 Years"/>
    <x v="1"/>
    <s v="15-24 Years"/>
    <x v="22"/>
    <s v="15-24 Years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n v="4877"/>
    <x v="1"/>
    <s v="Low Income"/>
    <s v="Low Income"/>
    <s v="Low Income"/>
    <n v="20460"/>
    <n v="0"/>
    <s v="Y"/>
    <x v="1"/>
    <n v="21"/>
    <n v="4"/>
    <n v="2"/>
    <n v="80"/>
    <n v="1"/>
    <n v="6"/>
    <x v="0"/>
    <n v="5"/>
    <s v="5-9 Years"/>
    <x v="2"/>
    <s v="5-9 Years"/>
    <x v="8"/>
    <s v="5-9 Years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n v="3117"/>
    <x v="1"/>
    <s v="Low Income"/>
    <s v="Low Income"/>
    <s v="Low Income"/>
    <n v="26009"/>
    <n v="1"/>
    <s v="Y"/>
    <x v="1"/>
    <n v="18"/>
    <n v="3"/>
    <n v="3"/>
    <n v="80"/>
    <n v="0"/>
    <n v="3"/>
    <x v="2"/>
    <n v="2"/>
    <s v="0-4 Years"/>
    <x v="1"/>
    <s v="0-4 Years"/>
    <x v="4"/>
    <s v="0-4 Years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n v="1569"/>
    <x v="1"/>
    <s v="Low Income"/>
    <s v="Low Income"/>
    <s v="Low Income"/>
    <n v="18420"/>
    <n v="1"/>
    <s v="Y"/>
    <x v="0"/>
    <n v="12"/>
    <n v="3"/>
    <n v="3"/>
    <n v="80"/>
    <n v="0"/>
    <n v="0"/>
    <x v="2"/>
    <n v="2"/>
    <s v="0-4 Years"/>
    <x v="3"/>
    <s v="0-4 Years"/>
    <x v="2"/>
    <s v="0-4 Years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n v="19658"/>
    <x v="2"/>
    <s v="High Income"/>
    <s v="High Income"/>
    <s v="High Income"/>
    <n v="5220"/>
    <n v="3"/>
    <s v="Y"/>
    <x v="1"/>
    <n v="11"/>
    <n v="3"/>
    <n v="3"/>
    <n v="80"/>
    <n v="1"/>
    <n v="27"/>
    <x v="0"/>
    <n v="2"/>
    <s v="5-9 Years"/>
    <x v="1"/>
    <s v="5-9 Years"/>
    <x v="8"/>
    <s v="5-9 Years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n v="3069"/>
    <x v="1"/>
    <s v="Low Income"/>
    <s v="Low Income"/>
    <s v="Low Income"/>
    <n v="10302"/>
    <n v="0"/>
    <s v="Y"/>
    <x v="1"/>
    <n v="15"/>
    <n v="3"/>
    <n v="4"/>
    <n v="80"/>
    <n v="1"/>
    <n v="11"/>
    <x v="1"/>
    <n v="3"/>
    <s v="10-14 Years"/>
    <x v="1"/>
    <s v="10-14 Years"/>
    <x v="1"/>
    <s v="10-14 Years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n v="10435"/>
    <x v="2"/>
    <s v="High Income"/>
    <s v="High Income"/>
    <s v="High Income"/>
    <n v="25800"/>
    <n v="1"/>
    <s v="Y"/>
    <x v="1"/>
    <n v="13"/>
    <n v="3"/>
    <n v="4"/>
    <n v="80"/>
    <n v="2"/>
    <n v="18"/>
    <x v="4"/>
    <n v="2"/>
    <s v="15-24 Years"/>
    <x v="1"/>
    <s v="15-24 Years"/>
    <x v="29"/>
    <s v="15-24 Years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n v="4148"/>
    <x v="1"/>
    <s v="Low Income"/>
    <s v="Low Income"/>
    <s v="Low Income"/>
    <n v="12250"/>
    <n v="1"/>
    <s v="Y"/>
    <x v="1"/>
    <n v="12"/>
    <n v="3"/>
    <n v="4"/>
    <n v="80"/>
    <n v="1"/>
    <n v="15"/>
    <x v="1"/>
    <n v="5"/>
    <s v="10-14 Years"/>
    <x v="1"/>
    <s v="10-14 Years"/>
    <x v="13"/>
    <s v="10-14 Years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n v="5768"/>
    <x v="0"/>
    <s v="Medium Income"/>
    <s v="Medium Income"/>
    <s v="Medium Income"/>
    <n v="26493"/>
    <n v="3"/>
    <s v="Y"/>
    <x v="1"/>
    <n v="17"/>
    <n v="3"/>
    <n v="1"/>
    <n v="80"/>
    <n v="3"/>
    <n v="9"/>
    <x v="2"/>
    <n v="2"/>
    <s v="0-4 Years"/>
    <x v="2"/>
    <s v="0-4 Years"/>
    <x v="9"/>
    <s v="0-4 Years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n v="5042"/>
    <x v="0"/>
    <s v="Medium Income"/>
    <s v="Medium Income"/>
    <s v="Medium Income"/>
    <n v="3140"/>
    <n v="0"/>
    <s v="Y"/>
    <x v="1"/>
    <n v="13"/>
    <n v="3"/>
    <n v="4"/>
    <n v="80"/>
    <n v="0"/>
    <n v="10"/>
    <x v="0"/>
    <n v="2"/>
    <s v="5-9 Years"/>
    <x v="0"/>
    <s v="5-9 Years"/>
    <x v="7"/>
    <s v="5-9 Years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n v="5770"/>
    <x v="0"/>
    <s v="Medium Income"/>
    <s v="Medium Income"/>
    <s v="Medium Income"/>
    <n v="5388"/>
    <n v="1"/>
    <s v="Y"/>
    <x v="1"/>
    <n v="19"/>
    <n v="3"/>
    <n v="1"/>
    <n v="80"/>
    <n v="2"/>
    <n v="10"/>
    <x v="1"/>
    <n v="3"/>
    <s v="10-14 Years"/>
    <x v="1"/>
    <s v="10-14 Years"/>
    <x v="1"/>
    <s v="10-14 Years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n v="7756"/>
    <x v="0"/>
    <s v="Medium Income"/>
    <s v="Medium Income"/>
    <s v="Medium Income"/>
    <n v="14199"/>
    <n v="3"/>
    <s v="Y"/>
    <x v="0"/>
    <n v="19"/>
    <n v="3"/>
    <n v="4"/>
    <n v="80"/>
    <n v="1"/>
    <n v="10"/>
    <x v="0"/>
    <n v="6"/>
    <s v="5-9 Years"/>
    <x v="3"/>
    <s v="5-9 Years"/>
    <x v="8"/>
    <s v="5-9 Years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n v="10306"/>
    <x v="2"/>
    <s v="High Income"/>
    <s v="High Income"/>
    <s v="High Income"/>
    <n v="21530"/>
    <n v="9"/>
    <s v="Y"/>
    <x v="1"/>
    <n v="17"/>
    <n v="3"/>
    <n v="3"/>
    <n v="80"/>
    <n v="0"/>
    <n v="15"/>
    <x v="1"/>
    <n v="3"/>
    <s v="10-14 Years"/>
    <x v="1"/>
    <s v="10-14 Years"/>
    <x v="20"/>
    <s v="10-14 Years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n v="3936"/>
    <x v="1"/>
    <s v="Low Income"/>
    <s v="Low Income"/>
    <s v="Low Income"/>
    <n v="9953"/>
    <n v="1"/>
    <s v="Y"/>
    <x v="1"/>
    <n v="11"/>
    <n v="3"/>
    <n v="1"/>
    <n v="80"/>
    <n v="1"/>
    <n v="8"/>
    <x v="0"/>
    <n v="2"/>
    <s v="5-9 Years"/>
    <x v="0"/>
    <s v="5-9 Years"/>
    <x v="3"/>
    <s v="5-9 Years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n v="7945"/>
    <x v="0"/>
    <s v="Medium Income"/>
    <s v="Medium Income"/>
    <s v="Medium Income"/>
    <n v="19948"/>
    <n v="6"/>
    <s v="Y"/>
    <x v="0"/>
    <n v="15"/>
    <n v="3"/>
    <n v="4"/>
    <n v="80"/>
    <n v="0"/>
    <n v="18"/>
    <x v="2"/>
    <n v="2"/>
    <s v="0-4 Years"/>
    <x v="2"/>
    <s v="0-4 Years"/>
    <x v="9"/>
    <s v="0-4 Years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n v="5743"/>
    <x v="0"/>
    <s v="Medium Income"/>
    <s v="Medium Income"/>
    <s v="Medium Income"/>
    <n v="10503"/>
    <n v="4"/>
    <s v="Y"/>
    <x v="0"/>
    <n v="11"/>
    <n v="3"/>
    <n v="3"/>
    <n v="80"/>
    <n v="0"/>
    <n v="14"/>
    <x v="1"/>
    <n v="3"/>
    <s v="10-14 Years"/>
    <x v="1"/>
    <s v="10-14 Years"/>
    <x v="1"/>
    <s v="10-14 Years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n v="15202"/>
    <x v="2"/>
    <s v="High Income"/>
    <s v="High Income"/>
    <s v="High Income"/>
    <n v="5602"/>
    <n v="2"/>
    <s v="Y"/>
    <x v="1"/>
    <n v="25"/>
    <n v="4"/>
    <n v="2"/>
    <n v="80"/>
    <n v="1"/>
    <n v="23"/>
    <x v="2"/>
    <n v="3"/>
    <s v="0-4 Years"/>
    <x v="1"/>
    <s v="0-4 Years"/>
    <x v="4"/>
    <s v="0-4 Years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n v="5440"/>
    <x v="0"/>
    <s v="Medium Income"/>
    <s v="Medium Income"/>
    <s v="Medium Income"/>
    <n v="22098"/>
    <n v="6"/>
    <s v="Y"/>
    <x v="0"/>
    <n v="14"/>
    <n v="3"/>
    <n v="4"/>
    <n v="80"/>
    <n v="2"/>
    <n v="7"/>
    <x v="2"/>
    <n v="2"/>
    <s v="0-4 Years"/>
    <x v="2"/>
    <s v="0-4 Years"/>
    <x v="4"/>
    <s v="0-4 Years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n v="3760"/>
    <x v="1"/>
    <s v="Low Income"/>
    <s v="Low Income"/>
    <s v="Low Income"/>
    <n v="17218"/>
    <n v="1"/>
    <s v="Y"/>
    <x v="0"/>
    <n v="13"/>
    <n v="3"/>
    <n v="3"/>
    <n v="80"/>
    <n v="0"/>
    <n v="6"/>
    <x v="0"/>
    <n v="2"/>
    <s v="5-9 Years"/>
    <x v="1"/>
    <s v="5-9 Years"/>
    <x v="0"/>
    <s v="5-9 Years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n v="3517"/>
    <x v="1"/>
    <s v="Low Income"/>
    <s v="Low Income"/>
    <s v="Low Income"/>
    <n v="22490"/>
    <n v="7"/>
    <s v="Y"/>
    <x v="1"/>
    <n v="17"/>
    <n v="3"/>
    <n v="1"/>
    <n v="80"/>
    <n v="0"/>
    <n v="5"/>
    <x v="2"/>
    <n v="0"/>
    <s v="0-4 Years"/>
    <x v="1"/>
    <s v="0-4 Years"/>
    <x v="11"/>
    <s v="0-4 Years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n v="2580"/>
    <x v="1"/>
    <s v="Low Income"/>
    <s v="Low Income"/>
    <s v="Low Income"/>
    <n v="6297"/>
    <n v="2"/>
    <s v="Y"/>
    <x v="1"/>
    <n v="13"/>
    <n v="3"/>
    <n v="3"/>
    <n v="80"/>
    <n v="0"/>
    <n v="6"/>
    <x v="2"/>
    <n v="0"/>
    <s v="0-4 Years"/>
    <x v="2"/>
    <s v="0-4 Years"/>
    <x v="9"/>
    <s v="0-4 Years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n v="2166"/>
    <x v="1"/>
    <s v="Low Income"/>
    <s v="Low Income"/>
    <s v="Low Income"/>
    <n v="3339"/>
    <n v="3"/>
    <s v="Y"/>
    <x v="0"/>
    <n v="14"/>
    <n v="3"/>
    <n v="2"/>
    <n v="80"/>
    <n v="0"/>
    <n v="10"/>
    <x v="2"/>
    <n v="3"/>
    <s v="0-4 Years"/>
    <x v="0"/>
    <s v="0-4 Years"/>
    <x v="9"/>
    <s v="0-4 Years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n v="5869"/>
    <x v="0"/>
    <s v="Medium Income"/>
    <s v="Medium Income"/>
    <s v="Medium Income"/>
    <n v="23413"/>
    <n v="9"/>
    <s v="Y"/>
    <x v="1"/>
    <n v="11"/>
    <n v="3"/>
    <n v="3"/>
    <n v="80"/>
    <n v="0"/>
    <n v="8"/>
    <x v="0"/>
    <n v="2"/>
    <s v="5-9 Years"/>
    <x v="1"/>
    <s v="5-9 Years"/>
    <x v="8"/>
    <s v="5-9 Years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n v="8008"/>
    <x v="0"/>
    <s v="Medium Income"/>
    <s v="Medium Income"/>
    <s v="Medium Income"/>
    <n v="22792"/>
    <n v="4"/>
    <s v="Y"/>
    <x v="1"/>
    <n v="12"/>
    <n v="3"/>
    <n v="3"/>
    <n v="80"/>
    <n v="2"/>
    <n v="9"/>
    <x v="2"/>
    <n v="6"/>
    <s v="0-4 Years"/>
    <x v="1"/>
    <s v="0-4 Years"/>
    <x v="11"/>
    <s v="0-4 Years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n v="5206"/>
    <x v="0"/>
    <s v="Medium Income"/>
    <s v="Medium Income"/>
    <s v="Medium Income"/>
    <n v="4973"/>
    <n v="1"/>
    <s v="Y"/>
    <x v="1"/>
    <n v="17"/>
    <n v="3"/>
    <n v="3"/>
    <n v="80"/>
    <n v="2"/>
    <n v="7"/>
    <x v="0"/>
    <n v="6"/>
    <s v="5-9 Years"/>
    <x v="1"/>
    <s v="5-9 Years"/>
    <x v="5"/>
    <s v="5-9 Years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n v="5295"/>
    <x v="0"/>
    <s v="Medium Income"/>
    <s v="Medium Income"/>
    <s v="Medium Income"/>
    <n v="7693"/>
    <n v="4"/>
    <s v="Y"/>
    <x v="1"/>
    <n v="21"/>
    <n v="4"/>
    <n v="3"/>
    <n v="80"/>
    <n v="0"/>
    <n v="7"/>
    <x v="0"/>
    <n v="3"/>
    <s v="5-9 Years"/>
    <x v="1"/>
    <s v="5-9 Years"/>
    <x v="8"/>
    <s v="5-9 Years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n v="16413"/>
    <x v="2"/>
    <s v="High Income"/>
    <s v="High Income"/>
    <s v="High Income"/>
    <n v="3498"/>
    <n v="3"/>
    <s v="Y"/>
    <x v="1"/>
    <n v="16"/>
    <n v="3"/>
    <n v="2"/>
    <n v="80"/>
    <n v="2"/>
    <n v="27"/>
    <x v="2"/>
    <n v="2"/>
    <s v="0-4 Years"/>
    <x v="1"/>
    <s v="0-4 Years"/>
    <x v="9"/>
    <s v="0-4 Years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n v="13269"/>
    <x v="2"/>
    <s v="High Income"/>
    <s v="High Income"/>
    <s v="High Income"/>
    <n v="21981"/>
    <n v="5"/>
    <s v="Y"/>
    <x v="1"/>
    <n v="15"/>
    <n v="3"/>
    <n v="3"/>
    <n v="80"/>
    <n v="3"/>
    <n v="19"/>
    <x v="1"/>
    <n v="3"/>
    <s v="10-14 Years"/>
    <x v="1"/>
    <s v="10-14 Years"/>
    <x v="13"/>
    <s v="10-14 Years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n v="2783"/>
    <x v="1"/>
    <s v="Low Income"/>
    <s v="Low Income"/>
    <s v="Low Income"/>
    <n v="13251"/>
    <n v="1"/>
    <s v="Y"/>
    <x v="1"/>
    <n v="19"/>
    <n v="3"/>
    <n v="1"/>
    <n v="80"/>
    <n v="0"/>
    <n v="2"/>
    <x v="2"/>
    <n v="3"/>
    <s v="0-4 Years"/>
    <x v="1"/>
    <s v="0-4 Years"/>
    <x v="4"/>
    <s v="0-4 Years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n v="5433"/>
    <x v="0"/>
    <s v="Medium Income"/>
    <s v="Medium Income"/>
    <s v="Medium Income"/>
    <n v="19332"/>
    <n v="1"/>
    <s v="Y"/>
    <x v="1"/>
    <n v="12"/>
    <n v="3"/>
    <n v="3"/>
    <n v="80"/>
    <n v="1"/>
    <n v="11"/>
    <x v="1"/>
    <n v="2"/>
    <s v="10-14 Years"/>
    <x v="1"/>
    <s v="10-14 Years"/>
    <x v="19"/>
    <s v="10-14 Years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n v="2013"/>
    <x v="1"/>
    <s v="Low Income"/>
    <s v="Low Income"/>
    <s v="Low Income"/>
    <n v="10950"/>
    <n v="2"/>
    <s v="Y"/>
    <x v="1"/>
    <n v="11"/>
    <n v="3"/>
    <n v="3"/>
    <n v="80"/>
    <n v="0"/>
    <n v="15"/>
    <x v="2"/>
    <n v="4"/>
    <s v="0-4 Years"/>
    <x v="1"/>
    <s v="0-4 Years"/>
    <x v="9"/>
    <s v="0-4 Years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n v="13966"/>
    <x v="2"/>
    <s v="High Income"/>
    <s v="High Income"/>
    <s v="High Income"/>
    <n v="11652"/>
    <n v="2"/>
    <s v="Y"/>
    <x v="0"/>
    <n v="19"/>
    <n v="3"/>
    <n v="2"/>
    <n v="80"/>
    <n v="1"/>
    <n v="30"/>
    <x v="4"/>
    <n v="3"/>
    <s v="15-24 Years"/>
    <x v="1"/>
    <s v="15-24 Years"/>
    <x v="15"/>
    <s v="15-24 Years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n v="4374"/>
    <x v="1"/>
    <s v="Low Income"/>
    <s v="Low Income"/>
    <s v="Low Income"/>
    <n v="15411"/>
    <n v="0"/>
    <s v="Y"/>
    <x v="1"/>
    <n v="15"/>
    <n v="3"/>
    <n v="3"/>
    <n v="80"/>
    <n v="0"/>
    <n v="4"/>
    <x v="2"/>
    <n v="6"/>
    <s v="0-4 Years"/>
    <x v="1"/>
    <s v="0-4 Years"/>
    <x v="11"/>
    <s v="0-4 Years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n v="6842"/>
    <x v="0"/>
    <s v="Medium Income"/>
    <s v="Medium Income"/>
    <s v="Medium Income"/>
    <n v="26308"/>
    <n v="6"/>
    <s v="Y"/>
    <x v="1"/>
    <n v="20"/>
    <n v="4"/>
    <n v="1"/>
    <n v="80"/>
    <n v="1"/>
    <n v="13"/>
    <x v="0"/>
    <n v="3"/>
    <s v="5-9 Years"/>
    <x v="1"/>
    <s v="5-9 Years"/>
    <x v="8"/>
    <s v="5-9 Years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n v="17426"/>
    <x v="2"/>
    <s v="High Income"/>
    <s v="High Income"/>
    <s v="High Income"/>
    <n v="18685"/>
    <n v="3"/>
    <s v="Y"/>
    <x v="1"/>
    <n v="25"/>
    <n v="4"/>
    <n v="3"/>
    <n v="80"/>
    <n v="1"/>
    <n v="36"/>
    <x v="1"/>
    <n v="6"/>
    <s v="10-14 Years"/>
    <x v="1"/>
    <s v="10-14 Years"/>
    <x v="1"/>
    <s v="10-14 Years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n v="17603"/>
    <x v="2"/>
    <s v="High Income"/>
    <s v="High Income"/>
    <s v="High Income"/>
    <n v="3525"/>
    <n v="1"/>
    <s v="Y"/>
    <x v="1"/>
    <n v="24"/>
    <n v="4"/>
    <n v="1"/>
    <n v="80"/>
    <n v="1"/>
    <n v="14"/>
    <x v="1"/>
    <n v="3"/>
    <s v="10-14 Years"/>
    <x v="1"/>
    <s v="10-14 Years"/>
    <x v="13"/>
    <s v="10-14 Years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n v="4581"/>
    <x v="1"/>
    <s v="Low Income"/>
    <s v="Low Income"/>
    <s v="Low Income"/>
    <n v="10414"/>
    <n v="3"/>
    <s v="Y"/>
    <x v="0"/>
    <n v="24"/>
    <n v="4"/>
    <n v="1"/>
    <n v="80"/>
    <n v="0"/>
    <n v="13"/>
    <x v="1"/>
    <n v="2"/>
    <s v="10-14 Years"/>
    <x v="3"/>
    <s v="10-14 Years"/>
    <x v="19"/>
    <s v="10-14 Years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n v="4735"/>
    <x v="1"/>
    <s v="Low Income"/>
    <s v="Low Income"/>
    <s v="Low Income"/>
    <n v="9867"/>
    <n v="7"/>
    <s v="Y"/>
    <x v="1"/>
    <n v="15"/>
    <n v="3"/>
    <n v="4"/>
    <n v="80"/>
    <n v="2"/>
    <n v="19"/>
    <x v="1"/>
    <n v="4"/>
    <s v="10-14 Years"/>
    <x v="3"/>
    <s v="10-14 Years"/>
    <x v="20"/>
    <s v="10-14 Years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n v="4187"/>
    <x v="1"/>
    <s v="Low Income"/>
    <s v="Low Income"/>
    <s v="Low Income"/>
    <n v="3356"/>
    <n v="1"/>
    <s v="Y"/>
    <x v="0"/>
    <n v="13"/>
    <n v="3"/>
    <n v="2"/>
    <n v="80"/>
    <n v="1"/>
    <n v="10"/>
    <x v="1"/>
    <n v="3"/>
    <s v="10-14 Years"/>
    <x v="2"/>
    <s v="10-14 Years"/>
    <x v="1"/>
    <s v="10-14 Years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n v="5505"/>
    <x v="0"/>
    <s v="Medium Income"/>
    <s v="Medium Income"/>
    <s v="Medium Income"/>
    <n v="3921"/>
    <n v="1"/>
    <s v="Y"/>
    <x v="1"/>
    <n v="14"/>
    <n v="3"/>
    <n v="3"/>
    <n v="80"/>
    <n v="2"/>
    <n v="6"/>
    <x v="0"/>
    <n v="5"/>
    <s v="5-9 Years"/>
    <x v="1"/>
    <s v="5-9 Years"/>
    <x v="0"/>
    <s v="5-9 Years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n v="5470"/>
    <x v="0"/>
    <s v="Medium Income"/>
    <s v="Medium Income"/>
    <s v="Medium Income"/>
    <n v="25518"/>
    <n v="0"/>
    <s v="Y"/>
    <x v="1"/>
    <n v="13"/>
    <n v="3"/>
    <n v="3"/>
    <n v="80"/>
    <n v="2"/>
    <n v="10"/>
    <x v="0"/>
    <n v="4"/>
    <s v="5-9 Years"/>
    <x v="2"/>
    <s v="5-9 Years"/>
    <x v="7"/>
    <s v="5-9 Years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n v="5476"/>
    <x v="0"/>
    <s v="Medium Income"/>
    <s v="Medium Income"/>
    <s v="Medium Income"/>
    <n v="22589"/>
    <n v="1"/>
    <s v="Y"/>
    <x v="1"/>
    <n v="11"/>
    <n v="3"/>
    <n v="1"/>
    <n v="80"/>
    <n v="2"/>
    <n v="10"/>
    <x v="1"/>
    <n v="2"/>
    <s v="10-14 Years"/>
    <x v="1"/>
    <s v="10-14 Years"/>
    <x v="1"/>
    <s v="10-14 Years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n v="2587"/>
    <x v="1"/>
    <s v="Low Income"/>
    <s v="Low Income"/>
    <s v="Low Income"/>
    <n v="24941"/>
    <n v="4"/>
    <s v="Y"/>
    <x v="0"/>
    <n v="16"/>
    <n v="3"/>
    <n v="2"/>
    <n v="80"/>
    <n v="1"/>
    <n v="17"/>
    <x v="2"/>
    <n v="2"/>
    <s v="0-4 Years"/>
    <x v="2"/>
    <s v="0-4 Years"/>
    <x v="4"/>
    <s v="0-4 Years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n v="2440"/>
    <x v="1"/>
    <s v="Low Income"/>
    <s v="Low Income"/>
    <s v="Low Income"/>
    <n v="23826"/>
    <n v="1"/>
    <s v="Y"/>
    <x v="1"/>
    <n v="22"/>
    <n v="4"/>
    <n v="2"/>
    <n v="80"/>
    <n v="0"/>
    <n v="4"/>
    <x v="2"/>
    <n v="3"/>
    <s v="0-4 Years"/>
    <x v="1"/>
    <s v="0-4 Years"/>
    <x v="9"/>
    <s v="0-4 Years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n v="15972"/>
    <x v="2"/>
    <s v="High Income"/>
    <s v="High Income"/>
    <s v="High Income"/>
    <n v="21086"/>
    <n v="6"/>
    <s v="Y"/>
    <x v="1"/>
    <n v="14"/>
    <n v="3"/>
    <n v="3"/>
    <n v="80"/>
    <n v="3"/>
    <n v="29"/>
    <x v="2"/>
    <n v="2"/>
    <s v="0-4 Years"/>
    <x v="1"/>
    <s v="0-4 Years"/>
    <x v="11"/>
    <s v="0-4 Years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n v="15379"/>
    <x v="2"/>
    <s v="High Income"/>
    <s v="High Income"/>
    <s v="High Income"/>
    <n v="22384"/>
    <n v="4"/>
    <s v="Y"/>
    <x v="1"/>
    <n v="14"/>
    <n v="3"/>
    <n v="1"/>
    <n v="80"/>
    <n v="0"/>
    <n v="23"/>
    <x v="0"/>
    <n v="2"/>
    <s v="5-9 Years"/>
    <x v="1"/>
    <s v="5-9 Years"/>
    <x v="3"/>
    <s v="5-9 Years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n v="7082"/>
    <x v="0"/>
    <s v="Medium Income"/>
    <s v="Medium Income"/>
    <s v="Medium Income"/>
    <n v="11591"/>
    <n v="3"/>
    <s v="Y"/>
    <x v="0"/>
    <n v="16"/>
    <n v="3"/>
    <n v="4"/>
    <n v="80"/>
    <n v="0"/>
    <n v="21"/>
    <x v="2"/>
    <n v="2"/>
    <s v="0-4 Years"/>
    <x v="1"/>
    <s v="0-4 Years"/>
    <x v="4"/>
    <s v="0-4 Years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n v="2728"/>
    <x v="1"/>
    <s v="Low Income"/>
    <s v="Low Income"/>
    <s v="Low Income"/>
    <n v="21082"/>
    <n v="1"/>
    <s v="Y"/>
    <x v="1"/>
    <n v="11"/>
    <n v="3"/>
    <n v="1"/>
    <n v="80"/>
    <n v="0"/>
    <n v="2"/>
    <x v="2"/>
    <n v="3"/>
    <s v="0-4 Years"/>
    <x v="1"/>
    <s v="0-4 Years"/>
    <x v="4"/>
    <s v="0-4 Years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n v="5368"/>
    <x v="0"/>
    <s v="Medium Income"/>
    <s v="Medium Income"/>
    <s v="Medium Income"/>
    <n v="16130"/>
    <n v="1"/>
    <s v="Y"/>
    <x v="0"/>
    <n v="25"/>
    <n v="4"/>
    <n v="3"/>
    <n v="80"/>
    <n v="1"/>
    <n v="7"/>
    <x v="0"/>
    <n v="2"/>
    <s v="5-9 Years"/>
    <x v="1"/>
    <s v="5-9 Years"/>
    <x v="0"/>
    <s v="5-9 Years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n v="5347"/>
    <x v="0"/>
    <s v="Medium Income"/>
    <s v="Medium Income"/>
    <s v="Medium Income"/>
    <n v="7419"/>
    <n v="6"/>
    <s v="Y"/>
    <x v="1"/>
    <n v="14"/>
    <n v="3"/>
    <n v="2"/>
    <n v="80"/>
    <n v="2"/>
    <n v="10"/>
    <x v="2"/>
    <n v="2"/>
    <s v="0-4 Years"/>
    <x v="2"/>
    <s v="0-4 Years"/>
    <x v="11"/>
    <s v="0-4 Years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n v="3195"/>
    <x v="1"/>
    <s v="Low Income"/>
    <s v="Low Income"/>
    <s v="Low Income"/>
    <n v="4167"/>
    <n v="4"/>
    <s v="Y"/>
    <x v="0"/>
    <n v="18"/>
    <n v="3"/>
    <n v="1"/>
    <n v="80"/>
    <n v="3"/>
    <n v="8"/>
    <x v="2"/>
    <n v="2"/>
    <s v="0-4 Years"/>
    <x v="1"/>
    <s v="0-4 Years"/>
    <x v="4"/>
    <s v="0-4 Years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n v="3989"/>
    <x v="1"/>
    <s v="Low Income"/>
    <s v="Low Income"/>
    <s v="Low Income"/>
    <n v="20586"/>
    <n v="1"/>
    <s v="Y"/>
    <x v="0"/>
    <n v="11"/>
    <n v="3"/>
    <n v="1"/>
    <n v="80"/>
    <n v="0"/>
    <n v="5"/>
    <x v="0"/>
    <n v="2"/>
    <s v="5-9 Years"/>
    <x v="1"/>
    <s v="5-9 Years"/>
    <x v="8"/>
    <s v="5-9 Years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n v="3306"/>
    <x v="1"/>
    <s v="Low Income"/>
    <s v="Low Income"/>
    <s v="Low Income"/>
    <n v="26176"/>
    <n v="7"/>
    <s v="Y"/>
    <x v="1"/>
    <n v="19"/>
    <n v="3"/>
    <n v="4"/>
    <n v="80"/>
    <n v="1"/>
    <n v="7"/>
    <x v="2"/>
    <n v="5"/>
    <s v="0-4 Years"/>
    <x v="2"/>
    <s v="0-4 Years"/>
    <x v="2"/>
    <s v="0-4 Years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n v="7005"/>
    <x v="0"/>
    <s v="Medium Income"/>
    <s v="Medium Income"/>
    <s v="Medium Income"/>
    <n v="3458"/>
    <n v="3"/>
    <s v="Y"/>
    <x v="1"/>
    <n v="15"/>
    <n v="3"/>
    <n v="3"/>
    <n v="80"/>
    <n v="0"/>
    <n v="11"/>
    <x v="2"/>
    <n v="2"/>
    <s v="0-4 Years"/>
    <x v="1"/>
    <s v="0-4 Years"/>
    <x v="9"/>
    <s v="0-4 Years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n v="2655"/>
    <x v="1"/>
    <s v="Low Income"/>
    <s v="Low Income"/>
    <s v="Low Income"/>
    <n v="11740"/>
    <n v="2"/>
    <s v="Y"/>
    <x v="0"/>
    <n v="11"/>
    <n v="3"/>
    <n v="3"/>
    <n v="80"/>
    <n v="2"/>
    <n v="19"/>
    <x v="0"/>
    <n v="3"/>
    <s v="5-9 Years"/>
    <x v="1"/>
    <s v="5-9 Years"/>
    <x v="7"/>
    <s v="5-9 Years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n v="1393"/>
    <x v="1"/>
    <s v="Low Income"/>
    <s v="Low Income"/>
    <s v="Low Income"/>
    <n v="24852"/>
    <n v="1"/>
    <s v="Y"/>
    <x v="1"/>
    <n v="12"/>
    <n v="3"/>
    <n v="1"/>
    <n v="80"/>
    <n v="0"/>
    <n v="1"/>
    <x v="2"/>
    <n v="2"/>
    <s v="0-4 Years"/>
    <x v="1"/>
    <s v="0-4 Years"/>
    <x v="6"/>
    <s v="0-4 Years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x v="0"/>
    <s v="Single"/>
    <n v="2570"/>
    <x v="1"/>
    <s v="Low Income"/>
    <s v="Low Income"/>
    <s v="Low Income"/>
    <n v="11925"/>
    <n v="1"/>
    <s v="Y"/>
    <x v="1"/>
    <n v="20"/>
    <n v="4"/>
    <n v="3"/>
    <n v="80"/>
    <n v="0"/>
    <n v="7"/>
    <x v="0"/>
    <n v="5"/>
    <s v="5-9 Years"/>
    <x v="1"/>
    <s v="5-9 Years"/>
    <x v="5"/>
    <s v="5-9 Years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n v="3537"/>
    <x v="1"/>
    <s v="Low Income"/>
    <s v="Low Income"/>
    <s v="Low Income"/>
    <n v="23737"/>
    <n v="5"/>
    <s v="Y"/>
    <x v="1"/>
    <n v="12"/>
    <n v="3"/>
    <n v="4"/>
    <n v="80"/>
    <n v="1"/>
    <n v="8"/>
    <x v="2"/>
    <n v="1"/>
    <s v="0-4 Years"/>
    <x v="1"/>
    <s v="0-4 Years"/>
    <x v="9"/>
    <s v="0-4 Years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n v="3986"/>
    <x v="1"/>
    <s v="Low Income"/>
    <s v="Low Income"/>
    <s v="Low Income"/>
    <n v="11912"/>
    <n v="1"/>
    <s v="Y"/>
    <x v="1"/>
    <n v="14"/>
    <n v="3"/>
    <n v="3"/>
    <n v="80"/>
    <n v="1"/>
    <n v="15"/>
    <x v="4"/>
    <n v="3"/>
    <s v="15-24 Years"/>
    <x v="3"/>
    <s v="15-24 Years"/>
    <x v="15"/>
    <s v="15-24 Years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n v="10883"/>
    <x v="2"/>
    <s v="High Income"/>
    <s v="High Income"/>
    <s v="High Income"/>
    <n v="20467"/>
    <n v="3"/>
    <s v="Y"/>
    <x v="1"/>
    <n v="20"/>
    <n v="4"/>
    <n v="3"/>
    <n v="80"/>
    <n v="1"/>
    <n v="19"/>
    <x v="2"/>
    <n v="2"/>
    <s v="0-4 Years"/>
    <x v="3"/>
    <s v="0-4 Years"/>
    <x v="6"/>
    <s v="0-4 Years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n v="2028"/>
    <x v="1"/>
    <s v="Low Income"/>
    <s v="Low Income"/>
    <s v="Low Income"/>
    <n v="13637"/>
    <n v="1"/>
    <s v="Y"/>
    <x v="1"/>
    <n v="18"/>
    <n v="3"/>
    <n v="4"/>
    <n v="80"/>
    <n v="3"/>
    <n v="14"/>
    <x v="1"/>
    <n v="6"/>
    <s v="10-14 Years"/>
    <x v="1"/>
    <s v="10-14 Years"/>
    <x v="13"/>
    <s v="10-14 Years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n v="9525"/>
    <x v="0"/>
    <s v="Medium Income"/>
    <s v="Medium Income"/>
    <s v="Medium Income"/>
    <n v="7677"/>
    <n v="1"/>
    <s v="Y"/>
    <x v="1"/>
    <n v="14"/>
    <n v="3"/>
    <n v="3"/>
    <n v="80"/>
    <n v="2"/>
    <n v="6"/>
    <x v="0"/>
    <n v="2"/>
    <s v="5-9 Years"/>
    <x v="2"/>
    <s v="5-9 Years"/>
    <x v="0"/>
    <s v="5-9 Years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n v="2929"/>
    <x v="1"/>
    <s v="Low Income"/>
    <s v="Low Income"/>
    <s v="Low Income"/>
    <n v="20338"/>
    <n v="1"/>
    <s v="Y"/>
    <x v="1"/>
    <n v="12"/>
    <n v="3"/>
    <n v="2"/>
    <n v="80"/>
    <n v="0"/>
    <n v="10"/>
    <x v="1"/>
    <n v="3"/>
    <s v="10-14 Years"/>
    <x v="1"/>
    <s v="10-14 Years"/>
    <x v="1"/>
    <s v="10-14 Years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n v="2275"/>
    <x v="1"/>
    <s v="Low Income"/>
    <s v="Low Income"/>
    <s v="Low Income"/>
    <n v="25103"/>
    <n v="1"/>
    <s v="Y"/>
    <x v="0"/>
    <n v="21"/>
    <n v="4"/>
    <n v="2"/>
    <n v="80"/>
    <n v="1"/>
    <n v="3"/>
    <x v="2"/>
    <n v="2"/>
    <s v="0-4 Years"/>
    <x v="1"/>
    <s v="0-4 Years"/>
    <x v="11"/>
    <s v="0-4 Years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n v="7879"/>
    <x v="0"/>
    <s v="Medium Income"/>
    <s v="Medium Income"/>
    <s v="Medium Income"/>
    <n v="14810"/>
    <n v="1"/>
    <s v="Y"/>
    <x v="0"/>
    <n v="19"/>
    <n v="3"/>
    <n v="2"/>
    <n v="80"/>
    <n v="1"/>
    <n v="9"/>
    <x v="0"/>
    <n v="2"/>
    <s v="5-9 Years"/>
    <x v="1"/>
    <s v="5-9 Years"/>
    <x v="3"/>
    <s v="5-9 Years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n v="4930"/>
    <x v="1"/>
    <s v="Low Income"/>
    <s v="Low Income"/>
    <s v="Low Income"/>
    <n v="13970"/>
    <n v="0"/>
    <s v="Y"/>
    <x v="0"/>
    <n v="14"/>
    <n v="3"/>
    <n v="3"/>
    <n v="80"/>
    <n v="0"/>
    <n v="6"/>
    <x v="0"/>
    <n v="2"/>
    <s v="5-9 Years"/>
    <x v="3"/>
    <s v="5-9 Years"/>
    <x v="8"/>
    <s v="5-9 Years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n v="7847"/>
    <x v="0"/>
    <s v="Medium Income"/>
    <s v="Medium Income"/>
    <s v="Medium Income"/>
    <n v="6069"/>
    <n v="1"/>
    <s v="Y"/>
    <x v="0"/>
    <n v="17"/>
    <n v="3"/>
    <n v="1"/>
    <n v="80"/>
    <n v="1"/>
    <n v="10"/>
    <x v="1"/>
    <n v="3"/>
    <s v="10-14 Years"/>
    <x v="1"/>
    <s v="10-14 Years"/>
    <x v="1"/>
    <s v="10-14 Years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n v="4401"/>
    <x v="1"/>
    <s v="Low Income"/>
    <s v="Low Income"/>
    <s v="Low Income"/>
    <n v="17616"/>
    <n v="1"/>
    <s v="Y"/>
    <x v="1"/>
    <n v="16"/>
    <n v="3"/>
    <n v="4"/>
    <n v="80"/>
    <n v="1"/>
    <n v="5"/>
    <x v="0"/>
    <n v="1"/>
    <s v="5-9 Years"/>
    <x v="1"/>
    <s v="5-9 Years"/>
    <x v="8"/>
    <s v="5-9 Years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n v="9241"/>
    <x v="0"/>
    <s v="Medium Income"/>
    <s v="Medium Income"/>
    <s v="Medium Income"/>
    <n v="15869"/>
    <n v="1"/>
    <s v="Y"/>
    <x v="1"/>
    <n v="12"/>
    <n v="3"/>
    <n v="2"/>
    <n v="80"/>
    <n v="0"/>
    <n v="10"/>
    <x v="1"/>
    <n v="3"/>
    <s v="10-14 Years"/>
    <x v="1"/>
    <s v="10-14 Years"/>
    <x v="1"/>
    <s v="10-14 Years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n v="2974"/>
    <x v="1"/>
    <s v="Low Income"/>
    <s v="Low Income"/>
    <s v="Low Income"/>
    <n v="25412"/>
    <n v="9"/>
    <s v="Y"/>
    <x v="1"/>
    <n v="17"/>
    <n v="3"/>
    <n v="3"/>
    <n v="80"/>
    <n v="1"/>
    <n v="9"/>
    <x v="0"/>
    <n v="2"/>
    <s v="5-9 Years"/>
    <x v="1"/>
    <s v="5-9 Years"/>
    <x v="8"/>
    <s v="5-9 Years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n v="4502"/>
    <x v="1"/>
    <s v="Low Income"/>
    <s v="Low Income"/>
    <s v="Low Income"/>
    <n v="7439"/>
    <n v="3"/>
    <s v="Y"/>
    <x v="1"/>
    <n v="15"/>
    <n v="3"/>
    <n v="3"/>
    <n v="80"/>
    <n v="0"/>
    <n v="17"/>
    <x v="1"/>
    <n v="2"/>
    <s v="10-14 Years"/>
    <x v="2"/>
    <s v="10-14 Years"/>
    <x v="20"/>
    <s v="10-14 Years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n v="10748"/>
    <x v="2"/>
    <s v="High Income"/>
    <s v="High Income"/>
    <s v="High Income"/>
    <n v="3395"/>
    <n v="3"/>
    <s v="Y"/>
    <x v="1"/>
    <n v="23"/>
    <n v="4"/>
    <n v="4"/>
    <n v="80"/>
    <n v="1"/>
    <n v="25"/>
    <x v="4"/>
    <n v="3"/>
    <s v="15-24 Years"/>
    <x v="2"/>
    <s v="15-24 Years"/>
    <x v="36"/>
    <s v="15-24 Years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n v="1555"/>
    <x v="1"/>
    <s v="Low Income"/>
    <s v="Low Income"/>
    <s v="Low Income"/>
    <n v="11585"/>
    <n v="1"/>
    <s v="Y"/>
    <x v="1"/>
    <n v="11"/>
    <n v="3"/>
    <n v="3"/>
    <n v="80"/>
    <n v="1"/>
    <n v="1"/>
    <x v="2"/>
    <n v="2"/>
    <s v="0-4 Years"/>
    <x v="1"/>
    <s v="0-4 Years"/>
    <x v="6"/>
    <s v="0-4 Years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n v="12936"/>
    <x v="2"/>
    <s v="High Income"/>
    <s v="High Income"/>
    <s v="High Income"/>
    <n v="24164"/>
    <n v="7"/>
    <s v="Y"/>
    <x v="1"/>
    <n v="11"/>
    <n v="3"/>
    <n v="3"/>
    <n v="80"/>
    <n v="0"/>
    <n v="25"/>
    <x v="4"/>
    <n v="3"/>
    <s v="15-24 Years"/>
    <x v="0"/>
    <s v="15-24 Years"/>
    <x v="36"/>
    <s v="15-24 Years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n v="2305"/>
    <x v="1"/>
    <s v="Low Income"/>
    <s v="Low Income"/>
    <s v="Low Income"/>
    <n v="6217"/>
    <n v="1"/>
    <s v="Y"/>
    <x v="1"/>
    <n v="15"/>
    <n v="3"/>
    <n v="3"/>
    <n v="80"/>
    <n v="3"/>
    <n v="3"/>
    <x v="2"/>
    <n v="3"/>
    <s v="0-4 Years"/>
    <x v="3"/>
    <s v="0-4 Years"/>
    <x v="11"/>
    <s v="0-4 Years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n v="16704"/>
    <x v="2"/>
    <s v="High Income"/>
    <s v="High Income"/>
    <s v="High Income"/>
    <n v="17119"/>
    <n v="1"/>
    <s v="Y"/>
    <x v="1"/>
    <n v="11"/>
    <n v="3"/>
    <n v="3"/>
    <n v="80"/>
    <n v="0"/>
    <n v="21"/>
    <x v="4"/>
    <n v="2"/>
    <s v="15-24 Years"/>
    <x v="1"/>
    <s v="15-24 Years"/>
    <x v="17"/>
    <s v="15-24 Years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n v="3433"/>
    <x v="1"/>
    <s v="Low Income"/>
    <s v="Low Income"/>
    <s v="Low Income"/>
    <n v="17360"/>
    <n v="6"/>
    <s v="Y"/>
    <x v="1"/>
    <n v="13"/>
    <n v="3"/>
    <n v="1"/>
    <n v="80"/>
    <n v="1"/>
    <n v="10"/>
    <x v="0"/>
    <n v="3"/>
    <s v="5-9 Years"/>
    <x v="2"/>
    <s v="5-9 Years"/>
    <x v="8"/>
    <s v="5-9 Years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n v="3477"/>
    <x v="1"/>
    <s v="Low Income"/>
    <s v="Low Income"/>
    <s v="Low Income"/>
    <n v="18103"/>
    <n v="1"/>
    <s v="Y"/>
    <x v="1"/>
    <n v="14"/>
    <n v="3"/>
    <n v="4"/>
    <n v="80"/>
    <n v="1"/>
    <n v="6"/>
    <x v="0"/>
    <n v="2"/>
    <s v="5-9 Years"/>
    <x v="3"/>
    <s v="5-9 Years"/>
    <x v="8"/>
    <s v="5-9 Years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n v="6430"/>
    <x v="0"/>
    <s v="Medium Income"/>
    <s v="Medium Income"/>
    <s v="Medium Income"/>
    <n v="20794"/>
    <n v="6"/>
    <s v="Y"/>
    <x v="1"/>
    <n v="19"/>
    <n v="3"/>
    <n v="2"/>
    <n v="80"/>
    <n v="1"/>
    <n v="10"/>
    <x v="2"/>
    <n v="4"/>
    <s v="0-4 Years"/>
    <x v="1"/>
    <s v="0-4 Years"/>
    <x v="11"/>
    <s v="0-4 Years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n v="6516"/>
    <x v="0"/>
    <s v="Medium Income"/>
    <s v="Medium Income"/>
    <s v="Medium Income"/>
    <n v="5041"/>
    <n v="2"/>
    <s v="Y"/>
    <x v="0"/>
    <n v="16"/>
    <n v="3"/>
    <n v="2"/>
    <n v="80"/>
    <n v="1"/>
    <n v="18"/>
    <x v="2"/>
    <n v="3"/>
    <s v="0-4 Years"/>
    <x v="1"/>
    <s v="0-4 Years"/>
    <x v="6"/>
    <s v="0-4 Years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n v="3907"/>
    <x v="1"/>
    <s v="Low Income"/>
    <s v="Low Income"/>
    <s v="Low Income"/>
    <n v="3622"/>
    <n v="1"/>
    <s v="Y"/>
    <x v="1"/>
    <n v="13"/>
    <n v="3"/>
    <n v="2"/>
    <n v="80"/>
    <n v="3"/>
    <n v="6"/>
    <x v="0"/>
    <n v="2"/>
    <s v="5-9 Years"/>
    <x v="3"/>
    <s v="5-9 Years"/>
    <x v="0"/>
    <s v="5-9 Years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n v="5562"/>
    <x v="0"/>
    <s v="Medium Income"/>
    <s v="Medium Income"/>
    <s v="Medium Income"/>
    <n v="9697"/>
    <n v="6"/>
    <s v="Y"/>
    <x v="1"/>
    <n v="14"/>
    <n v="3"/>
    <n v="4"/>
    <n v="80"/>
    <n v="0"/>
    <n v="19"/>
    <x v="1"/>
    <n v="3"/>
    <s v="10-14 Years"/>
    <x v="1"/>
    <s v="10-14 Years"/>
    <x v="1"/>
    <s v="10-14 Years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n v="6883"/>
    <x v="0"/>
    <s v="Medium Income"/>
    <s v="Medium Income"/>
    <s v="Medium Income"/>
    <n v="5151"/>
    <n v="2"/>
    <s v="Y"/>
    <x v="1"/>
    <n v="16"/>
    <n v="3"/>
    <n v="2"/>
    <n v="80"/>
    <n v="1"/>
    <n v="17"/>
    <x v="0"/>
    <n v="3"/>
    <s v="5-9 Years"/>
    <x v="1"/>
    <s v="5-9 Years"/>
    <x v="5"/>
    <s v="5-9 Years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n v="2862"/>
    <x v="1"/>
    <s v="Low Income"/>
    <s v="Low Income"/>
    <s v="Low Income"/>
    <n v="3811"/>
    <n v="1"/>
    <s v="Y"/>
    <x v="1"/>
    <n v="12"/>
    <n v="3"/>
    <n v="2"/>
    <n v="80"/>
    <n v="1"/>
    <n v="10"/>
    <x v="1"/>
    <n v="2"/>
    <s v="10-14 Years"/>
    <x v="2"/>
    <s v="10-14 Years"/>
    <x v="1"/>
    <s v="10-14 Years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n v="4978"/>
    <x v="1"/>
    <s v="Low Income"/>
    <s v="Low Income"/>
    <s v="Low Income"/>
    <n v="3536"/>
    <n v="7"/>
    <s v="Y"/>
    <x v="1"/>
    <n v="11"/>
    <n v="3"/>
    <n v="4"/>
    <n v="80"/>
    <n v="1"/>
    <n v="4"/>
    <x v="2"/>
    <n v="3"/>
    <s v="0-4 Years"/>
    <x v="0"/>
    <s v="0-4 Years"/>
    <x v="6"/>
    <s v="0-4 Years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n v="10368"/>
    <x v="2"/>
    <s v="High Income"/>
    <s v="High Income"/>
    <s v="High Income"/>
    <n v="5596"/>
    <n v="4"/>
    <s v="Y"/>
    <x v="0"/>
    <n v="12"/>
    <n v="3"/>
    <n v="2"/>
    <n v="80"/>
    <n v="1"/>
    <n v="13"/>
    <x v="1"/>
    <n v="5"/>
    <s v="10-14 Years"/>
    <x v="2"/>
    <s v="10-14 Years"/>
    <x v="1"/>
    <s v="10-14 Years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n v="6134"/>
    <x v="0"/>
    <s v="Medium Income"/>
    <s v="Medium Income"/>
    <s v="Medium Income"/>
    <n v="8658"/>
    <n v="5"/>
    <s v="Y"/>
    <x v="0"/>
    <n v="13"/>
    <n v="3"/>
    <n v="2"/>
    <n v="80"/>
    <n v="3"/>
    <n v="16"/>
    <x v="2"/>
    <n v="3"/>
    <s v="0-4 Years"/>
    <x v="1"/>
    <s v="0-4 Years"/>
    <x v="4"/>
    <s v="0-4 Years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n v="6735"/>
    <x v="0"/>
    <s v="Medium Income"/>
    <s v="Medium Income"/>
    <s v="Medium Income"/>
    <n v="12147"/>
    <n v="6"/>
    <s v="Y"/>
    <x v="1"/>
    <n v="15"/>
    <n v="3"/>
    <n v="2"/>
    <n v="80"/>
    <n v="0"/>
    <n v="10"/>
    <x v="2"/>
    <n v="2"/>
    <s v="0-4 Years"/>
    <x v="1"/>
    <s v="0-4 Years"/>
    <x v="2"/>
    <s v="0-4 Years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n v="3295"/>
    <x v="1"/>
    <s v="Low Income"/>
    <s v="Low Income"/>
    <s v="Low Income"/>
    <n v="12862"/>
    <n v="1"/>
    <s v="Y"/>
    <x v="1"/>
    <n v="13"/>
    <n v="3"/>
    <n v="3"/>
    <n v="80"/>
    <n v="0"/>
    <n v="3"/>
    <x v="2"/>
    <n v="3"/>
    <s v="0-4 Years"/>
    <x v="0"/>
    <s v="0-4 Years"/>
    <x v="11"/>
    <s v="0-4 Years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n v="5238"/>
    <x v="0"/>
    <s v="Medium Income"/>
    <s v="Medium Income"/>
    <s v="Medium Income"/>
    <n v="6670"/>
    <n v="2"/>
    <s v="Y"/>
    <x v="1"/>
    <n v="20"/>
    <n v="4"/>
    <n v="4"/>
    <n v="80"/>
    <n v="0"/>
    <n v="9"/>
    <x v="0"/>
    <n v="3"/>
    <s v="5-9 Years"/>
    <x v="2"/>
    <s v="5-9 Years"/>
    <x v="8"/>
    <s v="5-9 Years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n v="6472"/>
    <x v="0"/>
    <s v="Medium Income"/>
    <s v="Medium Income"/>
    <s v="Medium Income"/>
    <n v="8989"/>
    <n v="1"/>
    <s v="Y"/>
    <x v="0"/>
    <n v="15"/>
    <n v="3"/>
    <n v="4"/>
    <n v="80"/>
    <n v="1"/>
    <n v="9"/>
    <x v="0"/>
    <n v="2"/>
    <s v="5-9 Years"/>
    <x v="1"/>
    <s v="5-9 Years"/>
    <x v="7"/>
    <s v="5-9 Years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n v="9610"/>
    <x v="0"/>
    <s v="Medium Income"/>
    <s v="Medium Income"/>
    <s v="Medium Income"/>
    <n v="3840"/>
    <n v="3"/>
    <s v="Y"/>
    <x v="1"/>
    <n v="13"/>
    <n v="3"/>
    <n v="3"/>
    <n v="80"/>
    <n v="1"/>
    <n v="10"/>
    <x v="2"/>
    <n v="2"/>
    <s v="0-4 Years"/>
    <x v="0"/>
    <s v="0-4 Years"/>
    <x v="9"/>
    <s v="0-4 Years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n v="19833"/>
    <x v="2"/>
    <s v="High Income"/>
    <s v="High Income"/>
    <s v="High Income"/>
    <n v="4349"/>
    <n v="1"/>
    <s v="Y"/>
    <x v="1"/>
    <n v="14"/>
    <n v="3"/>
    <n v="2"/>
    <n v="80"/>
    <n v="0"/>
    <n v="21"/>
    <x v="4"/>
    <n v="3"/>
    <s v="15-24 Years"/>
    <x v="2"/>
    <s v="15-24 Years"/>
    <x v="17"/>
    <s v="15-24 Years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n v="9756"/>
    <x v="0"/>
    <s v="Medium Income"/>
    <s v="Medium Income"/>
    <s v="Medium Income"/>
    <n v="6595"/>
    <n v="4"/>
    <s v="Y"/>
    <x v="1"/>
    <n v="21"/>
    <n v="4"/>
    <n v="3"/>
    <n v="80"/>
    <n v="2"/>
    <n v="9"/>
    <x v="0"/>
    <n v="2"/>
    <s v="5-9 Years"/>
    <x v="3"/>
    <s v="5-9 Years"/>
    <x v="8"/>
    <s v="5-9 Years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n v="4968"/>
    <x v="1"/>
    <s v="Low Income"/>
    <s v="Low Income"/>
    <s v="Low Income"/>
    <n v="26427"/>
    <n v="0"/>
    <s v="Y"/>
    <x v="1"/>
    <n v="16"/>
    <n v="3"/>
    <n v="4"/>
    <n v="80"/>
    <n v="0"/>
    <n v="10"/>
    <x v="0"/>
    <n v="2"/>
    <s v="5-9 Years"/>
    <x v="1"/>
    <s v="5-9 Years"/>
    <x v="7"/>
    <s v="5-9 Years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n v="2145"/>
    <x v="1"/>
    <s v="Low Income"/>
    <s v="Low Income"/>
    <s v="Low Income"/>
    <n v="2097"/>
    <n v="0"/>
    <s v="Y"/>
    <x v="1"/>
    <n v="14"/>
    <n v="3"/>
    <n v="4"/>
    <n v="80"/>
    <n v="1"/>
    <n v="3"/>
    <x v="2"/>
    <n v="2"/>
    <s v="0-4 Years"/>
    <x v="1"/>
    <s v="0-4 Years"/>
    <x v="4"/>
    <s v="0-4 Years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n v="2180"/>
    <x v="1"/>
    <s v="Low Income"/>
    <s v="Low Income"/>
    <s v="Low Income"/>
    <n v="9732"/>
    <n v="6"/>
    <s v="Y"/>
    <x v="1"/>
    <n v="11"/>
    <n v="3"/>
    <n v="3"/>
    <n v="80"/>
    <n v="1"/>
    <n v="6"/>
    <x v="2"/>
    <n v="0"/>
    <s v="0-4 Years"/>
    <x v="2"/>
    <s v="0-4 Years"/>
    <x v="9"/>
    <s v="0-4 Years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n v="8346"/>
    <x v="0"/>
    <s v="Medium Income"/>
    <s v="Medium Income"/>
    <s v="Medium Income"/>
    <n v="20943"/>
    <n v="1"/>
    <s v="Y"/>
    <x v="1"/>
    <n v="19"/>
    <n v="3"/>
    <n v="3"/>
    <n v="80"/>
    <n v="1"/>
    <n v="6"/>
    <x v="0"/>
    <n v="3"/>
    <s v="5-9 Years"/>
    <x v="1"/>
    <s v="5-9 Years"/>
    <x v="8"/>
    <s v="5-9 Years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n v="3445"/>
    <x v="1"/>
    <s v="Low Income"/>
    <s v="Low Income"/>
    <s v="Low Income"/>
    <n v="6152"/>
    <n v="1"/>
    <s v="Y"/>
    <x v="1"/>
    <n v="11"/>
    <n v="3"/>
    <n v="3"/>
    <n v="80"/>
    <n v="0"/>
    <n v="6"/>
    <x v="0"/>
    <n v="5"/>
    <s v="5-9 Years"/>
    <x v="2"/>
    <s v="5-9 Years"/>
    <x v="0"/>
    <s v="5-9 Years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n v="2760"/>
    <x v="1"/>
    <s v="Low Income"/>
    <s v="Low Income"/>
    <s v="Low Income"/>
    <n v="14630"/>
    <n v="1"/>
    <s v="Y"/>
    <x v="1"/>
    <n v="13"/>
    <n v="3"/>
    <n v="3"/>
    <n v="80"/>
    <n v="0"/>
    <n v="2"/>
    <x v="2"/>
    <n v="3"/>
    <s v="0-4 Years"/>
    <x v="1"/>
    <s v="0-4 Years"/>
    <x v="4"/>
    <s v="0-4 Years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n v="6294"/>
    <x v="0"/>
    <s v="Medium Income"/>
    <s v="Medium Income"/>
    <s v="Medium Income"/>
    <n v="23060"/>
    <n v="8"/>
    <s v="Y"/>
    <x v="0"/>
    <n v="12"/>
    <n v="3"/>
    <n v="4"/>
    <n v="80"/>
    <n v="0"/>
    <n v="10"/>
    <x v="2"/>
    <n v="5"/>
    <s v="0-4 Years"/>
    <x v="3"/>
    <s v="0-4 Years"/>
    <x v="11"/>
    <s v="0-4 Years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n v="7140"/>
    <x v="0"/>
    <s v="Medium Income"/>
    <s v="Medium Income"/>
    <s v="Medium Income"/>
    <n v="3088"/>
    <n v="2"/>
    <s v="Y"/>
    <x v="1"/>
    <n v="11"/>
    <n v="3"/>
    <n v="1"/>
    <n v="80"/>
    <n v="1"/>
    <n v="12"/>
    <x v="0"/>
    <n v="2"/>
    <s v="5-9 Years"/>
    <x v="1"/>
    <s v="5-9 Years"/>
    <x v="5"/>
    <s v="5-9 Years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n v="2932"/>
    <x v="1"/>
    <s v="Low Income"/>
    <s v="Low Income"/>
    <s v="Low Income"/>
    <n v="5586"/>
    <n v="0"/>
    <s v="Y"/>
    <x v="0"/>
    <n v="14"/>
    <n v="3"/>
    <n v="1"/>
    <n v="80"/>
    <n v="3"/>
    <n v="6"/>
    <x v="0"/>
    <n v="3"/>
    <s v="5-9 Years"/>
    <x v="1"/>
    <s v="5-9 Years"/>
    <x v="8"/>
    <s v="5-9 Years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n v="5147"/>
    <x v="0"/>
    <s v="Medium Income"/>
    <s v="Medium Income"/>
    <s v="Medium Income"/>
    <n v="10697"/>
    <n v="8"/>
    <s v="Y"/>
    <x v="1"/>
    <n v="15"/>
    <n v="3"/>
    <n v="4"/>
    <n v="80"/>
    <n v="0"/>
    <n v="13"/>
    <x v="1"/>
    <n v="2"/>
    <s v="10-14 Years"/>
    <x v="2"/>
    <s v="10-14 Years"/>
    <x v="19"/>
    <s v="10-14 Years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n v="4507"/>
    <x v="1"/>
    <s v="Low Income"/>
    <s v="Low Income"/>
    <s v="Low Income"/>
    <n v="8191"/>
    <n v="3"/>
    <s v="Y"/>
    <x v="1"/>
    <n v="12"/>
    <n v="3"/>
    <n v="3"/>
    <n v="80"/>
    <n v="0"/>
    <n v="8"/>
    <x v="0"/>
    <n v="1"/>
    <s v="5-9 Years"/>
    <x v="3"/>
    <s v="5-9 Years"/>
    <x v="8"/>
    <s v="5-9 Years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n v="8564"/>
    <x v="0"/>
    <s v="Medium Income"/>
    <s v="Medium Income"/>
    <s v="Medium Income"/>
    <n v="10092"/>
    <n v="2"/>
    <s v="Y"/>
    <x v="0"/>
    <n v="20"/>
    <n v="4"/>
    <n v="3"/>
    <n v="80"/>
    <n v="0"/>
    <n v="11"/>
    <x v="2"/>
    <n v="2"/>
    <s v="0-4 Years"/>
    <x v="2"/>
    <s v="0-4 Years"/>
    <x v="2"/>
    <s v="0-4 Years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n v="2468"/>
    <x v="1"/>
    <s v="Low Income"/>
    <s v="Low Income"/>
    <s v="Low Income"/>
    <n v="15963"/>
    <n v="4"/>
    <s v="Y"/>
    <x v="1"/>
    <n v="14"/>
    <n v="3"/>
    <n v="2"/>
    <n v="80"/>
    <n v="1"/>
    <n v="9"/>
    <x v="0"/>
    <n v="4"/>
    <s v="5-9 Years"/>
    <x v="2"/>
    <s v="5-9 Years"/>
    <x v="0"/>
    <s v="5-9 Years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n v="8161"/>
    <x v="0"/>
    <s v="Medium Income"/>
    <s v="Medium Income"/>
    <s v="Medium Income"/>
    <n v="19002"/>
    <n v="2"/>
    <s v="Y"/>
    <x v="1"/>
    <n v="13"/>
    <n v="3"/>
    <n v="1"/>
    <n v="80"/>
    <n v="3"/>
    <n v="10"/>
    <x v="2"/>
    <n v="2"/>
    <s v="0-4 Years"/>
    <x v="1"/>
    <s v="0-4 Years"/>
    <x v="6"/>
    <s v="0-4 Years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n v="2109"/>
    <x v="1"/>
    <s v="Low Income"/>
    <s v="Low Income"/>
    <s v="Low Income"/>
    <n v="10007"/>
    <n v="1"/>
    <s v="Y"/>
    <x v="1"/>
    <n v="13"/>
    <n v="3"/>
    <n v="3"/>
    <n v="80"/>
    <n v="1"/>
    <n v="1"/>
    <x v="2"/>
    <n v="2"/>
    <s v="0-4 Years"/>
    <x v="1"/>
    <s v="0-4 Years"/>
    <x v="6"/>
    <s v="0-4 Years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n v="5294"/>
    <x v="0"/>
    <s v="Medium Income"/>
    <s v="Medium Income"/>
    <s v="Medium Income"/>
    <n v="9128"/>
    <n v="3"/>
    <s v="Y"/>
    <x v="1"/>
    <n v="16"/>
    <n v="3"/>
    <n v="3"/>
    <n v="80"/>
    <n v="1"/>
    <n v="10"/>
    <x v="0"/>
    <n v="3"/>
    <s v="5-9 Years"/>
    <x v="1"/>
    <s v="5-9 Years"/>
    <x v="5"/>
    <s v="5-9 Years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n v="2718"/>
    <x v="1"/>
    <s v="Low Income"/>
    <s v="Low Income"/>
    <s v="Low Income"/>
    <n v="17674"/>
    <n v="2"/>
    <s v="Y"/>
    <x v="1"/>
    <n v="14"/>
    <n v="3"/>
    <n v="2"/>
    <n v="80"/>
    <n v="0"/>
    <n v="12"/>
    <x v="0"/>
    <n v="3"/>
    <s v="5-9 Years"/>
    <x v="1"/>
    <s v="5-9 Years"/>
    <x v="5"/>
    <s v="5-9 Years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n v="5811"/>
    <x v="0"/>
    <s v="Medium Income"/>
    <s v="Medium Income"/>
    <s v="Medium Income"/>
    <n v="24539"/>
    <n v="3"/>
    <s v="Y"/>
    <x v="0"/>
    <n v="16"/>
    <n v="3"/>
    <n v="3"/>
    <n v="80"/>
    <n v="1"/>
    <n v="15"/>
    <x v="2"/>
    <n v="2"/>
    <s v="0-4 Years"/>
    <x v="1"/>
    <s v="0-4 Years"/>
    <x v="6"/>
    <s v="0-4 Years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n v="2437"/>
    <x v="1"/>
    <s v="Low Income"/>
    <s v="Low Income"/>
    <s v="Low Income"/>
    <n v="15587"/>
    <n v="9"/>
    <s v="Y"/>
    <x v="0"/>
    <n v="16"/>
    <n v="3"/>
    <n v="4"/>
    <n v="80"/>
    <n v="1"/>
    <n v="6"/>
    <x v="2"/>
    <n v="4"/>
    <s v="0-4 Years"/>
    <x v="1"/>
    <s v="0-4 Years"/>
    <x v="6"/>
    <s v="0-4 Years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n v="2766"/>
    <x v="1"/>
    <s v="Low Income"/>
    <s v="Low Income"/>
    <s v="Low Income"/>
    <n v="8952"/>
    <n v="8"/>
    <s v="Y"/>
    <x v="1"/>
    <n v="22"/>
    <n v="4"/>
    <n v="2"/>
    <n v="80"/>
    <n v="3"/>
    <n v="7"/>
    <x v="0"/>
    <n v="6"/>
    <s v="5-9 Years"/>
    <x v="2"/>
    <s v="5-9 Years"/>
    <x v="8"/>
    <s v="5-9 Years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n v="19038"/>
    <x v="2"/>
    <s v="High Income"/>
    <s v="High Income"/>
    <s v="High Income"/>
    <n v="19805"/>
    <n v="8"/>
    <s v="Y"/>
    <x v="1"/>
    <n v="12"/>
    <n v="3"/>
    <n v="2"/>
    <n v="80"/>
    <n v="3"/>
    <n v="34"/>
    <x v="2"/>
    <n v="2"/>
    <s v="0-4 Years"/>
    <x v="1"/>
    <s v="0-4 Years"/>
    <x v="6"/>
    <s v="0-4 Years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n v="3055"/>
    <x v="1"/>
    <s v="Low Income"/>
    <s v="Low Income"/>
    <s v="Low Income"/>
    <n v="6194"/>
    <n v="5"/>
    <s v="Y"/>
    <x v="1"/>
    <n v="15"/>
    <n v="3"/>
    <n v="4"/>
    <n v="80"/>
    <n v="2"/>
    <n v="11"/>
    <x v="0"/>
    <n v="2"/>
    <s v="5-9 Years"/>
    <x v="2"/>
    <s v="5-9 Years"/>
    <x v="7"/>
    <s v="5-9 Years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n v="2289"/>
    <x v="1"/>
    <s v="Low Income"/>
    <s v="Low Income"/>
    <s v="Low Income"/>
    <n v="20520"/>
    <n v="1"/>
    <s v="Y"/>
    <x v="1"/>
    <n v="20"/>
    <n v="4"/>
    <n v="2"/>
    <n v="80"/>
    <n v="2"/>
    <n v="5"/>
    <x v="0"/>
    <n v="2"/>
    <s v="5-9 Years"/>
    <x v="1"/>
    <s v="5-9 Years"/>
    <x v="8"/>
    <s v="5-9 Years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n v="4001"/>
    <x v="1"/>
    <s v="Low Income"/>
    <s v="Low Income"/>
    <s v="Low Income"/>
    <n v="12313"/>
    <n v="1"/>
    <s v="Y"/>
    <x v="0"/>
    <n v="14"/>
    <n v="3"/>
    <n v="3"/>
    <n v="80"/>
    <n v="1"/>
    <n v="15"/>
    <x v="4"/>
    <n v="3"/>
    <s v="15-24 Years"/>
    <x v="1"/>
    <s v="15-24 Years"/>
    <x v="15"/>
    <s v="15-24 Years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n v="12965"/>
    <x v="2"/>
    <s v="High Income"/>
    <s v="High Income"/>
    <s v="High Income"/>
    <n v="22308"/>
    <n v="4"/>
    <s v="Y"/>
    <x v="0"/>
    <n v="20"/>
    <n v="4"/>
    <n v="4"/>
    <n v="80"/>
    <n v="3"/>
    <n v="27"/>
    <x v="2"/>
    <n v="2"/>
    <s v="0-4 Years"/>
    <x v="2"/>
    <s v="0-4 Years"/>
    <x v="11"/>
    <s v="0-4 Years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n v="3539"/>
    <x v="1"/>
    <s v="Low Income"/>
    <s v="Low Income"/>
    <s v="Low Income"/>
    <n v="5033"/>
    <n v="0"/>
    <s v="Y"/>
    <x v="1"/>
    <n v="13"/>
    <n v="3"/>
    <n v="2"/>
    <n v="80"/>
    <n v="0"/>
    <n v="10"/>
    <x v="0"/>
    <n v="5"/>
    <s v="5-9 Years"/>
    <x v="1"/>
    <s v="5-9 Years"/>
    <x v="7"/>
    <s v="5-9 Years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n v="6029"/>
    <x v="0"/>
    <s v="Medium Income"/>
    <s v="Medium Income"/>
    <s v="Medium Income"/>
    <n v="25353"/>
    <n v="5"/>
    <s v="Y"/>
    <x v="1"/>
    <n v="12"/>
    <n v="3"/>
    <n v="1"/>
    <n v="80"/>
    <n v="0"/>
    <n v="6"/>
    <x v="2"/>
    <n v="3"/>
    <s v="0-4 Years"/>
    <x v="1"/>
    <s v="0-4 Years"/>
    <x v="4"/>
    <s v="0-4 Years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n v="2679"/>
    <x v="1"/>
    <s v="Low Income"/>
    <s v="Low Income"/>
    <s v="Low Income"/>
    <n v="4567"/>
    <n v="1"/>
    <s v="Y"/>
    <x v="1"/>
    <n v="13"/>
    <n v="3"/>
    <n v="2"/>
    <n v="80"/>
    <n v="0"/>
    <n v="1"/>
    <x v="2"/>
    <n v="3"/>
    <s v="0-4 Years"/>
    <x v="1"/>
    <s v="0-4 Years"/>
    <x v="6"/>
    <s v="0-4 Years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n v="3702"/>
    <x v="1"/>
    <s v="Low Income"/>
    <s v="Low Income"/>
    <s v="Low Income"/>
    <n v="16376"/>
    <n v="1"/>
    <s v="Y"/>
    <x v="1"/>
    <n v="11"/>
    <n v="3"/>
    <n v="2"/>
    <n v="80"/>
    <n v="1"/>
    <n v="5"/>
    <x v="0"/>
    <n v="3"/>
    <s v="5-9 Years"/>
    <x v="1"/>
    <s v="5-9 Years"/>
    <x v="8"/>
    <s v="5-9 Years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n v="2398"/>
    <x v="1"/>
    <s v="Low Income"/>
    <s v="Low Income"/>
    <s v="Low Income"/>
    <n v="15999"/>
    <n v="1"/>
    <s v="Y"/>
    <x v="0"/>
    <n v="17"/>
    <n v="3"/>
    <n v="3"/>
    <n v="80"/>
    <n v="0"/>
    <n v="1"/>
    <x v="2"/>
    <n v="6"/>
    <s v="0-4 Years"/>
    <x v="1"/>
    <s v="0-4 Years"/>
    <x v="6"/>
    <s v="0-4 Years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n v="5468"/>
    <x v="0"/>
    <s v="Medium Income"/>
    <s v="Medium Income"/>
    <s v="Medium Income"/>
    <n v="13402"/>
    <n v="1"/>
    <s v="Y"/>
    <x v="1"/>
    <n v="14"/>
    <n v="3"/>
    <n v="1"/>
    <n v="80"/>
    <n v="2"/>
    <n v="13"/>
    <x v="1"/>
    <n v="3"/>
    <s v="10-14 Years"/>
    <x v="1"/>
    <s v="10-14 Years"/>
    <x v="12"/>
    <s v="10-14 Years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n v="13116"/>
    <x v="2"/>
    <s v="High Income"/>
    <s v="High Income"/>
    <s v="High Income"/>
    <n v="22984"/>
    <n v="2"/>
    <s v="Y"/>
    <x v="1"/>
    <n v="11"/>
    <n v="3"/>
    <n v="4"/>
    <n v="80"/>
    <n v="0"/>
    <n v="15"/>
    <x v="2"/>
    <n v="2"/>
    <s v="0-4 Years"/>
    <x v="1"/>
    <s v="0-4 Years"/>
    <x v="4"/>
    <s v="0-4 Years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n v="4189"/>
    <x v="1"/>
    <s v="Low Income"/>
    <s v="Low Income"/>
    <s v="Low Income"/>
    <n v="8800"/>
    <n v="1"/>
    <s v="Y"/>
    <x v="1"/>
    <n v="14"/>
    <n v="3"/>
    <n v="1"/>
    <n v="80"/>
    <n v="2"/>
    <n v="5"/>
    <x v="0"/>
    <n v="2"/>
    <s v="5-9 Years"/>
    <x v="1"/>
    <s v="5-9 Years"/>
    <x v="8"/>
    <s v="5-9 Years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n v="19328"/>
    <x v="2"/>
    <s v="High Income"/>
    <s v="High Income"/>
    <s v="High Income"/>
    <n v="14218"/>
    <n v="7"/>
    <s v="Y"/>
    <x v="0"/>
    <n v="17"/>
    <n v="3"/>
    <n v="3"/>
    <n v="80"/>
    <n v="1"/>
    <n v="24"/>
    <x v="2"/>
    <n v="3"/>
    <s v="0-4 Years"/>
    <x v="1"/>
    <s v="0-4 Years"/>
    <x v="4"/>
    <s v="0-4 Years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n v="8321"/>
    <x v="0"/>
    <s v="Medium Income"/>
    <s v="Medium Income"/>
    <s v="Medium Income"/>
    <n v="25949"/>
    <n v="7"/>
    <s v="Y"/>
    <x v="0"/>
    <n v="13"/>
    <n v="3"/>
    <n v="4"/>
    <n v="80"/>
    <n v="1"/>
    <n v="15"/>
    <x v="1"/>
    <n v="1"/>
    <s v="10-14 Years"/>
    <x v="1"/>
    <s v="10-14 Years"/>
    <x v="12"/>
    <s v="10-14 Years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n v="2342"/>
    <x v="1"/>
    <s v="Low Income"/>
    <s v="Low Income"/>
    <s v="Low Income"/>
    <n v="11092"/>
    <n v="1"/>
    <s v="Y"/>
    <x v="0"/>
    <n v="12"/>
    <n v="3"/>
    <n v="3"/>
    <n v="80"/>
    <n v="3"/>
    <n v="6"/>
    <x v="0"/>
    <n v="2"/>
    <s v="5-9 Years"/>
    <x v="2"/>
    <s v="5-9 Years"/>
    <x v="8"/>
    <s v="5-9 Years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n v="4071"/>
    <x v="1"/>
    <s v="Low Income"/>
    <s v="Low Income"/>
    <s v="Low Income"/>
    <n v="12832"/>
    <n v="2"/>
    <s v="Y"/>
    <x v="1"/>
    <n v="13"/>
    <n v="3"/>
    <n v="3"/>
    <n v="80"/>
    <n v="0"/>
    <n v="19"/>
    <x v="1"/>
    <n v="4"/>
    <s v="10-14 Years"/>
    <x v="2"/>
    <s v="10-14 Years"/>
    <x v="1"/>
    <s v="10-14 Years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n v="5813"/>
    <x v="0"/>
    <s v="Medium Income"/>
    <s v="Medium Income"/>
    <s v="Medium Income"/>
    <n v="13492"/>
    <n v="1"/>
    <s v="Y"/>
    <x v="0"/>
    <n v="18"/>
    <n v="3"/>
    <n v="4"/>
    <n v="80"/>
    <n v="0"/>
    <n v="10"/>
    <x v="1"/>
    <n v="2"/>
    <s v="10-14 Years"/>
    <x v="1"/>
    <s v="10-14 Years"/>
    <x v="1"/>
    <s v="10-14 Years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n v="3143"/>
    <x v="1"/>
    <s v="Low Income"/>
    <s v="Low Income"/>
    <s v="Low Income"/>
    <n v="6076"/>
    <n v="6"/>
    <s v="Y"/>
    <x v="1"/>
    <n v="19"/>
    <n v="3"/>
    <n v="2"/>
    <n v="80"/>
    <n v="1"/>
    <n v="14"/>
    <x v="1"/>
    <n v="1"/>
    <s v="10-14 Years"/>
    <x v="1"/>
    <s v="10-14 Years"/>
    <x v="1"/>
    <s v="10-14 Years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n v="2044"/>
    <x v="1"/>
    <s v="Low Income"/>
    <s v="Low Income"/>
    <s v="Low Income"/>
    <n v="5531"/>
    <n v="1"/>
    <s v="Y"/>
    <x v="1"/>
    <n v="11"/>
    <n v="3"/>
    <n v="3"/>
    <n v="80"/>
    <n v="1"/>
    <n v="5"/>
    <x v="0"/>
    <n v="6"/>
    <s v="5-9 Years"/>
    <x v="3"/>
    <s v="5-9 Years"/>
    <x v="8"/>
    <s v="5-9 Years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n v="13464"/>
    <x v="2"/>
    <s v="High Income"/>
    <s v="High Income"/>
    <s v="High Income"/>
    <n v="7914"/>
    <n v="7"/>
    <s v="Y"/>
    <x v="1"/>
    <n v="21"/>
    <n v="4"/>
    <n v="3"/>
    <n v="80"/>
    <n v="0"/>
    <n v="9"/>
    <x v="2"/>
    <n v="3"/>
    <s v="0-4 Years"/>
    <x v="1"/>
    <s v="0-4 Years"/>
    <x v="9"/>
    <s v="0-4 Years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n v="7991"/>
    <x v="0"/>
    <s v="Medium Income"/>
    <s v="Medium Income"/>
    <s v="Medium Income"/>
    <n v="25166"/>
    <n v="8"/>
    <s v="Y"/>
    <x v="1"/>
    <n v="15"/>
    <n v="3"/>
    <n v="3"/>
    <n v="80"/>
    <n v="0"/>
    <n v="6"/>
    <x v="2"/>
    <n v="3"/>
    <s v="0-4 Years"/>
    <x v="1"/>
    <s v="0-4 Years"/>
    <x v="4"/>
    <s v="0-4 Years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n v="3377"/>
    <x v="1"/>
    <s v="Low Income"/>
    <s v="Low Income"/>
    <s v="Low Income"/>
    <n v="25605"/>
    <n v="4"/>
    <s v="Y"/>
    <x v="1"/>
    <n v="17"/>
    <n v="3"/>
    <n v="4"/>
    <n v="80"/>
    <n v="1"/>
    <n v="7"/>
    <x v="2"/>
    <n v="5"/>
    <s v="0-4 Years"/>
    <x v="2"/>
    <s v="0-4 Years"/>
    <x v="9"/>
    <s v="0-4 Years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n v="5538"/>
    <x v="0"/>
    <s v="Medium Income"/>
    <s v="Medium Income"/>
    <s v="Medium Income"/>
    <n v="5696"/>
    <n v="5"/>
    <s v="Y"/>
    <x v="1"/>
    <n v="18"/>
    <n v="3"/>
    <n v="3"/>
    <n v="80"/>
    <n v="2"/>
    <n v="10"/>
    <x v="2"/>
    <n v="2"/>
    <s v="0-4 Years"/>
    <x v="2"/>
    <s v="0-4 Years"/>
    <x v="2"/>
    <s v="0-4 Years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n v="5762"/>
    <x v="0"/>
    <s v="Medium Income"/>
    <s v="Medium Income"/>
    <s v="Medium Income"/>
    <n v="24442"/>
    <n v="2"/>
    <s v="Y"/>
    <x v="1"/>
    <n v="14"/>
    <n v="3"/>
    <n v="3"/>
    <n v="80"/>
    <n v="1"/>
    <n v="15"/>
    <x v="0"/>
    <n v="6"/>
    <s v="5-9 Years"/>
    <x v="1"/>
    <s v="5-9 Years"/>
    <x v="5"/>
    <s v="5-9 Years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n v="2592"/>
    <x v="1"/>
    <s v="Low Income"/>
    <s v="Low Income"/>
    <s v="Low Income"/>
    <n v="7129"/>
    <n v="5"/>
    <s v="Y"/>
    <x v="1"/>
    <n v="13"/>
    <n v="3"/>
    <n v="4"/>
    <n v="80"/>
    <n v="3"/>
    <n v="13"/>
    <x v="1"/>
    <n v="3"/>
    <s v="10-14 Years"/>
    <x v="1"/>
    <s v="10-14 Years"/>
    <x v="19"/>
    <s v="10-14 Years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n v="5346"/>
    <x v="0"/>
    <s v="Medium Income"/>
    <s v="Medium Income"/>
    <s v="Medium Income"/>
    <n v="6208"/>
    <n v="4"/>
    <s v="Y"/>
    <x v="1"/>
    <n v="17"/>
    <n v="3"/>
    <n v="3"/>
    <n v="80"/>
    <n v="1"/>
    <n v="11"/>
    <x v="0"/>
    <n v="3"/>
    <s v="5-9 Years"/>
    <x v="2"/>
    <s v="5-9 Years"/>
    <x v="5"/>
    <s v="5-9 Years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n v="4213"/>
    <x v="1"/>
    <s v="Low Income"/>
    <s v="Low Income"/>
    <s v="Low Income"/>
    <n v="4992"/>
    <n v="1"/>
    <s v="Y"/>
    <x v="1"/>
    <n v="15"/>
    <n v="3"/>
    <n v="2"/>
    <n v="80"/>
    <n v="0"/>
    <n v="10"/>
    <x v="1"/>
    <n v="4"/>
    <s v="10-14 Years"/>
    <x v="0"/>
    <s v="10-14 Years"/>
    <x v="1"/>
    <s v="10-14 Years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n v="4127"/>
    <x v="1"/>
    <s v="Low Income"/>
    <s v="Low Income"/>
    <s v="Low Income"/>
    <n v="19188"/>
    <n v="2"/>
    <s v="Y"/>
    <x v="1"/>
    <n v="18"/>
    <n v="3"/>
    <n v="4"/>
    <n v="80"/>
    <n v="1"/>
    <n v="7"/>
    <x v="2"/>
    <n v="6"/>
    <s v="0-4 Years"/>
    <x v="1"/>
    <s v="0-4 Years"/>
    <x v="4"/>
    <s v="0-4 Years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n v="2438"/>
    <x v="1"/>
    <s v="Low Income"/>
    <s v="Low Income"/>
    <s v="Low Income"/>
    <n v="24978"/>
    <n v="4"/>
    <s v="Y"/>
    <x v="1"/>
    <n v="13"/>
    <n v="3"/>
    <n v="3"/>
    <n v="80"/>
    <n v="0"/>
    <n v="7"/>
    <x v="2"/>
    <n v="2"/>
    <s v="0-4 Years"/>
    <x v="2"/>
    <s v="0-4 Years"/>
    <x v="11"/>
    <s v="0-4 Years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n v="6870"/>
    <x v="0"/>
    <s v="Medium Income"/>
    <s v="Medium Income"/>
    <s v="Medium Income"/>
    <n v="15530"/>
    <n v="3"/>
    <s v="Y"/>
    <x v="1"/>
    <n v="12"/>
    <n v="3"/>
    <n v="1"/>
    <n v="80"/>
    <n v="0"/>
    <n v="11"/>
    <x v="2"/>
    <n v="3"/>
    <s v="0-4 Years"/>
    <x v="0"/>
    <s v="0-4 Years"/>
    <x v="11"/>
    <s v="0-4 Years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n v="10447"/>
    <x v="2"/>
    <s v="High Income"/>
    <s v="High Income"/>
    <s v="High Income"/>
    <n v="26458"/>
    <n v="0"/>
    <s v="Y"/>
    <x v="0"/>
    <n v="13"/>
    <n v="3"/>
    <n v="4"/>
    <n v="80"/>
    <n v="1"/>
    <n v="23"/>
    <x v="4"/>
    <n v="3"/>
    <s v="15-24 Years"/>
    <x v="3"/>
    <s v="15-24 Years"/>
    <x v="14"/>
    <s v="15-24 Years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n v="9667"/>
    <x v="0"/>
    <s v="Medium Income"/>
    <s v="Medium Income"/>
    <s v="Medium Income"/>
    <n v="2739"/>
    <n v="9"/>
    <s v="Y"/>
    <x v="1"/>
    <n v="14"/>
    <n v="3"/>
    <n v="2"/>
    <n v="80"/>
    <n v="0"/>
    <n v="9"/>
    <x v="0"/>
    <n v="3"/>
    <s v="5-9 Years"/>
    <x v="1"/>
    <s v="5-9 Years"/>
    <x v="5"/>
    <s v="5-9 Years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n v="2148"/>
    <x v="1"/>
    <s v="Low Income"/>
    <s v="Low Income"/>
    <s v="Low Income"/>
    <n v="6889"/>
    <n v="0"/>
    <s v="Y"/>
    <x v="0"/>
    <n v="11"/>
    <n v="3"/>
    <n v="3"/>
    <n v="80"/>
    <n v="0"/>
    <n v="6"/>
    <x v="0"/>
    <n v="3"/>
    <s v="5-9 Years"/>
    <x v="1"/>
    <s v="5-9 Years"/>
    <x v="8"/>
    <s v="5-9 Years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n v="8926"/>
    <x v="0"/>
    <s v="Medium Income"/>
    <s v="Medium Income"/>
    <s v="Medium Income"/>
    <n v="10842"/>
    <n v="4"/>
    <s v="Y"/>
    <x v="1"/>
    <n v="22"/>
    <n v="4"/>
    <n v="4"/>
    <n v="80"/>
    <n v="1"/>
    <n v="13"/>
    <x v="0"/>
    <n v="2"/>
    <s v="5-9 Years"/>
    <x v="3"/>
    <s v="5-9 Years"/>
    <x v="7"/>
    <s v="5-9 Years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n v="6513"/>
    <x v="0"/>
    <s v="Medium Income"/>
    <s v="Medium Income"/>
    <s v="Medium Income"/>
    <n v="9060"/>
    <n v="4"/>
    <s v="Y"/>
    <x v="1"/>
    <n v="17"/>
    <n v="3"/>
    <n v="4"/>
    <n v="80"/>
    <n v="1"/>
    <n v="12"/>
    <x v="0"/>
    <n v="3"/>
    <s v="5-9 Years"/>
    <x v="1"/>
    <s v="5-9 Years"/>
    <x v="8"/>
    <s v="5-9 Years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n v="6799"/>
    <x v="0"/>
    <s v="Medium Income"/>
    <s v="Medium Income"/>
    <s v="Medium Income"/>
    <n v="22128"/>
    <n v="1"/>
    <s v="Y"/>
    <x v="1"/>
    <n v="21"/>
    <n v="4"/>
    <n v="3"/>
    <n v="80"/>
    <n v="2"/>
    <n v="10"/>
    <x v="1"/>
    <n v="5"/>
    <s v="10-14 Years"/>
    <x v="1"/>
    <s v="10-14 Years"/>
    <x v="1"/>
    <s v="10-14 Years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n v="16291"/>
    <x v="2"/>
    <s v="High Income"/>
    <s v="High Income"/>
    <s v="High Income"/>
    <n v="22577"/>
    <n v="4"/>
    <s v="Y"/>
    <x v="1"/>
    <n v="22"/>
    <n v="4"/>
    <n v="4"/>
    <n v="80"/>
    <n v="1"/>
    <n v="37"/>
    <x v="4"/>
    <n v="0"/>
    <s v="15-24 Years"/>
    <x v="2"/>
    <s v="15-24 Years"/>
    <x v="22"/>
    <s v="15-24 Years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n v="2705"/>
    <x v="1"/>
    <s v="Low Income"/>
    <s v="Low Income"/>
    <s v="Low Income"/>
    <n v="9696"/>
    <n v="0"/>
    <s v="Y"/>
    <x v="1"/>
    <n v="16"/>
    <n v="3"/>
    <n v="2"/>
    <n v="80"/>
    <n v="1"/>
    <n v="6"/>
    <x v="0"/>
    <n v="2"/>
    <s v="5-9 Years"/>
    <x v="3"/>
    <s v="5-9 Years"/>
    <x v="8"/>
    <s v="5-9 Years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n v="10333"/>
    <x v="2"/>
    <s v="High Income"/>
    <s v="High Income"/>
    <s v="High Income"/>
    <n v="19271"/>
    <n v="8"/>
    <s v="Y"/>
    <x v="0"/>
    <n v="12"/>
    <n v="3"/>
    <n v="3"/>
    <n v="80"/>
    <n v="1"/>
    <n v="28"/>
    <x v="4"/>
    <n v="4"/>
    <s v="15-24 Years"/>
    <x v="1"/>
    <s v="15-24 Years"/>
    <x v="14"/>
    <s v="15-24 Years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n v="4448"/>
    <x v="1"/>
    <s v="Low Income"/>
    <s v="Low Income"/>
    <s v="Low Income"/>
    <n v="10748"/>
    <n v="2"/>
    <s v="Y"/>
    <x v="1"/>
    <n v="12"/>
    <n v="3"/>
    <n v="2"/>
    <n v="80"/>
    <n v="1"/>
    <n v="15"/>
    <x v="0"/>
    <n v="3"/>
    <s v="5-9 Years"/>
    <x v="1"/>
    <s v="5-9 Years"/>
    <x v="5"/>
    <s v="5-9 Years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n v="6854"/>
    <x v="0"/>
    <s v="Medium Income"/>
    <s v="Medium Income"/>
    <s v="Medium Income"/>
    <n v="15696"/>
    <n v="4"/>
    <s v="Y"/>
    <x v="1"/>
    <n v="15"/>
    <n v="3"/>
    <n v="2"/>
    <n v="80"/>
    <n v="1"/>
    <n v="14"/>
    <x v="0"/>
    <n v="2"/>
    <s v="5-9 Years"/>
    <x v="2"/>
    <s v="5-9 Years"/>
    <x v="5"/>
    <s v="5-9 Years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n v="9637"/>
    <x v="0"/>
    <s v="Medium Income"/>
    <s v="Medium Income"/>
    <s v="Medium Income"/>
    <n v="8277"/>
    <n v="2"/>
    <s v="Y"/>
    <x v="1"/>
    <n v="14"/>
    <n v="3"/>
    <n v="4"/>
    <n v="80"/>
    <n v="2"/>
    <n v="9"/>
    <x v="2"/>
    <n v="3"/>
    <s v="0-4 Years"/>
    <x v="1"/>
    <s v="0-4 Years"/>
    <x v="11"/>
    <s v="0-4 Years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n v="3591"/>
    <x v="1"/>
    <s v="Low Income"/>
    <s v="Low Income"/>
    <s v="Low Income"/>
    <n v="12719"/>
    <n v="1"/>
    <s v="Y"/>
    <x v="1"/>
    <n v="25"/>
    <n v="4"/>
    <n v="3"/>
    <n v="80"/>
    <n v="1"/>
    <n v="3"/>
    <x v="2"/>
    <n v="3"/>
    <s v="0-4 Years"/>
    <x v="1"/>
    <s v="0-4 Years"/>
    <x v="11"/>
    <s v="0-4 Years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n v="5405"/>
    <x v="0"/>
    <s v="Medium Income"/>
    <s v="Medium Income"/>
    <s v="Medium Income"/>
    <n v="4244"/>
    <n v="2"/>
    <s v="Y"/>
    <x v="0"/>
    <n v="20"/>
    <n v="4"/>
    <n v="1"/>
    <n v="80"/>
    <n v="2"/>
    <n v="20"/>
    <x v="2"/>
    <n v="4"/>
    <s v="0-4 Years"/>
    <x v="2"/>
    <s v="0-4 Years"/>
    <x v="9"/>
    <s v="0-4 Years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n v="4684"/>
    <x v="1"/>
    <s v="Low Income"/>
    <s v="Low Income"/>
    <s v="Low Income"/>
    <n v="9125"/>
    <n v="1"/>
    <s v="Y"/>
    <x v="1"/>
    <n v="13"/>
    <n v="3"/>
    <n v="1"/>
    <n v="80"/>
    <n v="0"/>
    <n v="5"/>
    <x v="0"/>
    <n v="4"/>
    <s v="5-9 Years"/>
    <x v="1"/>
    <s v="5-9 Years"/>
    <x v="8"/>
    <s v="5-9 Years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n v="15787"/>
    <x v="2"/>
    <s v="High Income"/>
    <s v="High Income"/>
    <s v="High Income"/>
    <n v="21624"/>
    <n v="2"/>
    <s v="Y"/>
    <x v="0"/>
    <n v="14"/>
    <n v="3"/>
    <n v="2"/>
    <n v="80"/>
    <n v="0"/>
    <n v="23"/>
    <x v="2"/>
    <n v="3"/>
    <s v="0-4 Years"/>
    <x v="1"/>
    <s v="0-4 Years"/>
    <x v="4"/>
    <s v="0-4 Years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n v="1514"/>
    <x v="1"/>
    <s v="Low Income"/>
    <s v="Low Income"/>
    <s v="Low Income"/>
    <n v="8018"/>
    <n v="1"/>
    <s v="Y"/>
    <x v="1"/>
    <n v="16"/>
    <n v="3"/>
    <n v="3"/>
    <n v="80"/>
    <n v="0"/>
    <n v="0"/>
    <x v="2"/>
    <n v="4"/>
    <s v="0-4 Years"/>
    <x v="0"/>
    <s v="0-4 Years"/>
    <x v="2"/>
    <s v="0-4 Years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n v="2956"/>
    <x v="1"/>
    <s v="Low Income"/>
    <s v="Low Income"/>
    <s v="Low Income"/>
    <n v="21495"/>
    <n v="0"/>
    <s v="Y"/>
    <x v="1"/>
    <n v="17"/>
    <n v="3"/>
    <n v="3"/>
    <n v="80"/>
    <n v="0"/>
    <n v="2"/>
    <x v="2"/>
    <n v="4"/>
    <s v="0-4 Years"/>
    <x v="1"/>
    <s v="0-4 Years"/>
    <x v="6"/>
    <s v="0-4 Years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n v="2335"/>
    <x v="1"/>
    <s v="Low Income"/>
    <s v="Low Income"/>
    <s v="Low Income"/>
    <n v="3157"/>
    <n v="4"/>
    <s v="Y"/>
    <x v="0"/>
    <n v="15"/>
    <n v="3"/>
    <n v="4"/>
    <n v="80"/>
    <n v="3"/>
    <n v="4"/>
    <x v="2"/>
    <n v="3"/>
    <s v="0-4 Years"/>
    <x v="1"/>
    <s v="0-4 Years"/>
    <x v="4"/>
    <s v="0-4 Years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n v="5154"/>
    <x v="0"/>
    <s v="Medium Income"/>
    <s v="Medium Income"/>
    <s v="Medium Income"/>
    <n v="19665"/>
    <n v="4"/>
    <s v="Y"/>
    <x v="1"/>
    <n v="22"/>
    <n v="4"/>
    <n v="2"/>
    <n v="80"/>
    <n v="2"/>
    <n v="10"/>
    <x v="0"/>
    <n v="3"/>
    <s v="5-9 Years"/>
    <x v="3"/>
    <s v="5-9 Years"/>
    <x v="3"/>
    <s v="5-9 Years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n v="6962"/>
    <x v="0"/>
    <s v="Medium Income"/>
    <s v="Medium Income"/>
    <s v="Medium Income"/>
    <n v="19573"/>
    <n v="4"/>
    <s v="Y"/>
    <x v="0"/>
    <n v="22"/>
    <n v="4"/>
    <n v="4"/>
    <n v="80"/>
    <n v="1"/>
    <n v="15"/>
    <x v="2"/>
    <n v="2"/>
    <s v="0-4 Years"/>
    <x v="1"/>
    <s v="0-4 Years"/>
    <x v="6"/>
    <s v="0-4 Years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n v="5675"/>
    <x v="0"/>
    <s v="Medium Income"/>
    <s v="Medium Income"/>
    <s v="Medium Income"/>
    <n v="19246"/>
    <n v="1"/>
    <s v="Y"/>
    <x v="1"/>
    <n v="20"/>
    <n v="4"/>
    <n v="3"/>
    <n v="80"/>
    <n v="1"/>
    <n v="7"/>
    <x v="0"/>
    <n v="5"/>
    <s v="5-9 Years"/>
    <x v="1"/>
    <s v="5-9 Years"/>
    <x v="5"/>
    <s v="5-9 Years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n v="2379"/>
    <x v="1"/>
    <s v="Low Income"/>
    <s v="Low Income"/>
    <s v="Low Income"/>
    <n v="19826"/>
    <n v="0"/>
    <s v="Y"/>
    <x v="0"/>
    <n v="14"/>
    <n v="3"/>
    <n v="3"/>
    <n v="80"/>
    <n v="0"/>
    <n v="6"/>
    <x v="0"/>
    <n v="3"/>
    <s v="5-9 Years"/>
    <x v="2"/>
    <s v="5-9 Years"/>
    <x v="8"/>
    <s v="5-9 Years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n v="3812"/>
    <x v="1"/>
    <s v="Low Income"/>
    <s v="Low Income"/>
    <s v="Low Income"/>
    <n v="7003"/>
    <n v="1"/>
    <s v="Y"/>
    <x v="1"/>
    <n v="13"/>
    <n v="3"/>
    <n v="2"/>
    <n v="80"/>
    <n v="0"/>
    <n v="11"/>
    <x v="1"/>
    <n v="3"/>
    <s v="10-14 Years"/>
    <x v="3"/>
    <s v="10-14 Years"/>
    <x v="19"/>
    <s v="10-14 Years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n v="4648"/>
    <x v="1"/>
    <s v="Low Income"/>
    <s v="Low Income"/>
    <s v="Low Income"/>
    <n v="26075"/>
    <n v="8"/>
    <s v="Y"/>
    <x v="1"/>
    <n v="13"/>
    <n v="3"/>
    <n v="3"/>
    <n v="80"/>
    <n v="0"/>
    <n v="4"/>
    <x v="2"/>
    <n v="2"/>
    <s v="0-4 Years"/>
    <x v="3"/>
    <s v="0-4 Years"/>
    <x v="2"/>
    <s v="0-4 Years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n v="2936"/>
    <x v="1"/>
    <s v="Low Income"/>
    <s v="Low Income"/>
    <s v="Low Income"/>
    <n v="6161"/>
    <n v="3"/>
    <s v="Y"/>
    <x v="1"/>
    <n v="22"/>
    <n v="4"/>
    <n v="2"/>
    <n v="80"/>
    <n v="2"/>
    <n v="10"/>
    <x v="0"/>
    <n v="1"/>
    <s v="5-9 Years"/>
    <x v="2"/>
    <s v="5-9 Years"/>
    <x v="0"/>
    <s v="5-9 Years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n v="2105"/>
    <x v="1"/>
    <s v="Low Income"/>
    <s v="Low Income"/>
    <s v="Low Income"/>
    <n v="5411"/>
    <n v="4"/>
    <s v="Y"/>
    <x v="1"/>
    <n v="12"/>
    <n v="3"/>
    <n v="3"/>
    <n v="80"/>
    <n v="0"/>
    <n v="7"/>
    <x v="2"/>
    <n v="2"/>
    <s v="0-4 Years"/>
    <x v="1"/>
    <s v="0-4 Years"/>
    <x v="4"/>
    <s v="0-4 Years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n v="8578"/>
    <x v="0"/>
    <s v="Medium Income"/>
    <s v="Medium Income"/>
    <s v="Medium Income"/>
    <n v="19989"/>
    <n v="3"/>
    <s v="Y"/>
    <x v="1"/>
    <n v="14"/>
    <n v="3"/>
    <n v="3"/>
    <n v="80"/>
    <n v="1"/>
    <n v="12"/>
    <x v="0"/>
    <n v="4"/>
    <s v="5-9 Years"/>
    <x v="2"/>
    <s v="5-9 Years"/>
    <x v="7"/>
    <s v="5-9 Years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n v="2706"/>
    <x v="1"/>
    <s v="Low Income"/>
    <s v="Low Income"/>
    <s v="Low Income"/>
    <n v="10494"/>
    <n v="1"/>
    <s v="Y"/>
    <x v="1"/>
    <n v="15"/>
    <n v="3"/>
    <n v="2"/>
    <n v="80"/>
    <n v="1"/>
    <n v="3"/>
    <x v="2"/>
    <n v="2"/>
    <s v="0-4 Years"/>
    <x v="1"/>
    <s v="0-4 Years"/>
    <x v="11"/>
    <s v="0-4 Years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n v="6384"/>
    <x v="0"/>
    <s v="Medium Income"/>
    <s v="Medium Income"/>
    <s v="Medium Income"/>
    <n v="21143"/>
    <n v="8"/>
    <s v="Y"/>
    <x v="1"/>
    <n v="17"/>
    <n v="3"/>
    <n v="4"/>
    <n v="80"/>
    <n v="2"/>
    <n v="11"/>
    <x v="0"/>
    <n v="3"/>
    <s v="5-9 Years"/>
    <x v="1"/>
    <s v="5-9 Years"/>
    <x v="5"/>
    <s v="5-9 Years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n v="3968"/>
    <x v="1"/>
    <s v="Low Income"/>
    <s v="Low Income"/>
    <s v="Low Income"/>
    <n v="13624"/>
    <n v="4"/>
    <s v="Y"/>
    <x v="1"/>
    <n v="13"/>
    <n v="3"/>
    <n v="4"/>
    <n v="80"/>
    <n v="0"/>
    <n v="8"/>
    <x v="2"/>
    <n v="3"/>
    <s v="0-4 Years"/>
    <x v="1"/>
    <s v="0-4 Years"/>
    <x v="2"/>
    <s v="0-4 Years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n v="9907"/>
    <x v="0"/>
    <s v="Medium Income"/>
    <s v="Medium Income"/>
    <s v="Medium Income"/>
    <n v="26186"/>
    <n v="7"/>
    <s v="Y"/>
    <x v="0"/>
    <n v="12"/>
    <n v="3"/>
    <n v="3"/>
    <n v="80"/>
    <n v="0"/>
    <n v="7"/>
    <x v="2"/>
    <n v="3"/>
    <s v="0-4 Years"/>
    <x v="2"/>
    <s v="0-4 Years"/>
    <x v="4"/>
    <s v="0-4 Years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n v="13225"/>
    <x v="2"/>
    <s v="High Income"/>
    <s v="High Income"/>
    <s v="High Income"/>
    <n v="7739"/>
    <n v="2"/>
    <s v="Y"/>
    <x v="1"/>
    <n v="12"/>
    <n v="3"/>
    <n v="4"/>
    <n v="80"/>
    <n v="1"/>
    <n v="25"/>
    <x v="4"/>
    <n v="5"/>
    <s v="15-24 Years"/>
    <x v="1"/>
    <s v="15-24 Years"/>
    <x v="27"/>
    <s v="15-24 Years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n v="3540"/>
    <x v="1"/>
    <s v="Low Income"/>
    <s v="Low Income"/>
    <s v="Low Income"/>
    <n v="7018"/>
    <n v="1"/>
    <s v="Y"/>
    <x v="1"/>
    <n v="21"/>
    <n v="4"/>
    <n v="4"/>
    <n v="80"/>
    <n v="1"/>
    <n v="9"/>
    <x v="0"/>
    <n v="5"/>
    <s v="5-9 Years"/>
    <x v="1"/>
    <s v="5-9 Years"/>
    <x v="7"/>
    <s v="5-9 Years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n v="2804"/>
    <x v="1"/>
    <s v="Low Income"/>
    <s v="Low Income"/>
    <s v="Low Income"/>
    <n v="15434"/>
    <n v="1"/>
    <s v="Y"/>
    <x v="1"/>
    <n v="11"/>
    <n v="3"/>
    <n v="4"/>
    <n v="80"/>
    <n v="0"/>
    <n v="1"/>
    <x v="2"/>
    <n v="3"/>
    <s v="0-4 Years"/>
    <x v="1"/>
    <s v="0-4 Years"/>
    <x v="6"/>
    <s v="0-4 Years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n v="19392"/>
    <x v="2"/>
    <s v="High Income"/>
    <s v="High Income"/>
    <s v="High Income"/>
    <n v="22539"/>
    <n v="7"/>
    <s v="Y"/>
    <x v="1"/>
    <n v="13"/>
    <n v="3"/>
    <n v="4"/>
    <n v="80"/>
    <n v="0"/>
    <n v="21"/>
    <x v="4"/>
    <n v="2"/>
    <s v="15-24 Years"/>
    <x v="1"/>
    <s v="15-24 Years"/>
    <x v="22"/>
    <s v="15-24 Years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n v="19665"/>
    <x v="2"/>
    <s v="High Income"/>
    <s v="High Income"/>
    <s v="High Income"/>
    <n v="13583"/>
    <n v="4"/>
    <s v="Y"/>
    <x v="1"/>
    <n v="12"/>
    <n v="3"/>
    <n v="4"/>
    <n v="80"/>
    <n v="0"/>
    <n v="29"/>
    <x v="4"/>
    <n v="3"/>
    <s v="15-24 Years"/>
    <x v="1"/>
    <s v="15-24 Years"/>
    <x v="14"/>
    <s v="15-24 Years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n v="2439"/>
    <x v="1"/>
    <s v="Low Income"/>
    <s v="Low Income"/>
    <s v="Low Income"/>
    <n v="14753"/>
    <n v="1"/>
    <s v="Y"/>
    <x v="0"/>
    <n v="24"/>
    <n v="4"/>
    <n v="2"/>
    <n v="80"/>
    <n v="0"/>
    <n v="1"/>
    <x v="2"/>
    <n v="3"/>
    <s v="0-4 Years"/>
    <x v="2"/>
    <s v="0-4 Years"/>
    <x v="6"/>
    <s v="0-4 Years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n v="7314"/>
    <x v="0"/>
    <s v="Medium Income"/>
    <s v="Medium Income"/>
    <s v="Medium Income"/>
    <n v="14011"/>
    <n v="5"/>
    <s v="Y"/>
    <x v="1"/>
    <n v="21"/>
    <n v="4"/>
    <n v="3"/>
    <n v="80"/>
    <n v="3"/>
    <n v="14"/>
    <x v="0"/>
    <n v="2"/>
    <s v="5-9 Years"/>
    <x v="1"/>
    <s v="5-9 Years"/>
    <x v="3"/>
    <s v="5-9 Years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n v="4774"/>
    <x v="1"/>
    <s v="Low Income"/>
    <s v="Low Income"/>
    <s v="Low Income"/>
    <n v="23844"/>
    <n v="0"/>
    <s v="Y"/>
    <x v="1"/>
    <n v="19"/>
    <n v="3"/>
    <n v="4"/>
    <n v="80"/>
    <n v="1"/>
    <n v="8"/>
    <x v="0"/>
    <n v="2"/>
    <s v="5-9 Years"/>
    <x v="2"/>
    <s v="5-9 Years"/>
    <x v="5"/>
    <s v="5-9 Years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n v="3902"/>
    <x v="1"/>
    <s v="Low Income"/>
    <s v="Low Income"/>
    <s v="Low Income"/>
    <n v="5141"/>
    <n v="8"/>
    <s v="Y"/>
    <x v="1"/>
    <n v="14"/>
    <n v="3"/>
    <n v="2"/>
    <n v="80"/>
    <n v="3"/>
    <n v="7"/>
    <x v="2"/>
    <n v="2"/>
    <s v="0-4 Years"/>
    <x v="1"/>
    <s v="0-4 Years"/>
    <x v="4"/>
    <s v="0-4 Years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n v="2662"/>
    <x v="1"/>
    <s v="Low Income"/>
    <s v="Low Income"/>
    <s v="Low Income"/>
    <n v="7975"/>
    <n v="8"/>
    <s v="Y"/>
    <x v="1"/>
    <n v="20"/>
    <n v="4"/>
    <n v="2"/>
    <n v="80"/>
    <n v="1"/>
    <n v="19"/>
    <x v="0"/>
    <n v="2"/>
    <s v="5-9 Years"/>
    <x v="3"/>
    <s v="5-9 Years"/>
    <x v="8"/>
    <s v="5-9 Years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n v="2856"/>
    <x v="1"/>
    <s v="Low Income"/>
    <s v="Low Income"/>
    <s v="Low Income"/>
    <n v="3692"/>
    <n v="1"/>
    <s v="Y"/>
    <x v="1"/>
    <n v="19"/>
    <n v="3"/>
    <n v="4"/>
    <n v="80"/>
    <n v="1"/>
    <n v="1"/>
    <x v="2"/>
    <n v="3"/>
    <s v="0-4 Years"/>
    <x v="1"/>
    <s v="0-4 Years"/>
    <x v="6"/>
    <s v="0-4 Years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n v="1081"/>
    <x v="1"/>
    <s v="Low Income"/>
    <s v="Low Income"/>
    <s v="Low Income"/>
    <n v="16019"/>
    <n v="1"/>
    <s v="Y"/>
    <x v="1"/>
    <n v="13"/>
    <n v="3"/>
    <n v="3"/>
    <n v="80"/>
    <n v="0"/>
    <n v="1"/>
    <x v="2"/>
    <n v="3"/>
    <s v="0-4 Years"/>
    <x v="2"/>
    <s v="0-4 Years"/>
    <x v="6"/>
    <s v="0-4 Years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n v="2472"/>
    <x v="1"/>
    <s v="Low Income"/>
    <s v="Low Income"/>
    <s v="Low Income"/>
    <n v="26092"/>
    <n v="1"/>
    <s v="Y"/>
    <x v="0"/>
    <n v="23"/>
    <n v="4"/>
    <n v="1"/>
    <n v="80"/>
    <n v="0"/>
    <n v="1"/>
    <x v="2"/>
    <n v="2"/>
    <s v="0-4 Years"/>
    <x v="1"/>
    <s v="0-4 Years"/>
    <x v="6"/>
    <s v="0-4 Years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n v="5673"/>
    <x v="0"/>
    <s v="Medium Income"/>
    <s v="Medium Income"/>
    <s v="Medium Income"/>
    <n v="6060"/>
    <n v="1"/>
    <s v="Y"/>
    <x v="0"/>
    <n v="13"/>
    <n v="3"/>
    <n v="1"/>
    <n v="80"/>
    <n v="1"/>
    <n v="10"/>
    <x v="1"/>
    <n v="4"/>
    <s v="10-14 Years"/>
    <x v="1"/>
    <s v="10-14 Years"/>
    <x v="1"/>
    <s v="10-14 Years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n v="4197"/>
    <x v="1"/>
    <s v="Low Income"/>
    <s v="Low Income"/>
    <s v="Low Income"/>
    <n v="18624"/>
    <n v="1"/>
    <s v="Y"/>
    <x v="1"/>
    <n v="11"/>
    <n v="3"/>
    <n v="1"/>
    <n v="80"/>
    <n v="1"/>
    <n v="10"/>
    <x v="1"/>
    <n v="2"/>
    <s v="10-14 Years"/>
    <x v="1"/>
    <s v="10-14 Years"/>
    <x v="1"/>
    <s v="10-14 Years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n v="9713"/>
    <x v="0"/>
    <s v="Medium Income"/>
    <s v="Medium Income"/>
    <s v="Medium Income"/>
    <n v="24444"/>
    <n v="2"/>
    <s v="Y"/>
    <x v="0"/>
    <n v="13"/>
    <n v="3"/>
    <n v="4"/>
    <n v="80"/>
    <n v="3"/>
    <n v="9"/>
    <x v="0"/>
    <n v="3"/>
    <s v="5-9 Years"/>
    <x v="1"/>
    <s v="5-9 Years"/>
    <x v="8"/>
    <s v="5-9 Years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n v="2062"/>
    <x v="1"/>
    <s v="Low Income"/>
    <s v="Low Income"/>
    <s v="Low Income"/>
    <n v="19384"/>
    <n v="3"/>
    <s v="Y"/>
    <x v="1"/>
    <n v="14"/>
    <n v="3"/>
    <n v="2"/>
    <n v="80"/>
    <n v="0"/>
    <n v="11"/>
    <x v="2"/>
    <n v="2"/>
    <s v="0-4 Years"/>
    <x v="1"/>
    <s v="0-4 Years"/>
    <x v="11"/>
    <s v="0-4 Years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n v="4284"/>
    <x v="1"/>
    <s v="Low Income"/>
    <s v="Low Income"/>
    <s v="Low Income"/>
    <n v="13588"/>
    <n v="5"/>
    <s v="Y"/>
    <x v="0"/>
    <n v="22"/>
    <n v="4"/>
    <n v="3"/>
    <n v="80"/>
    <n v="1"/>
    <n v="16"/>
    <x v="0"/>
    <n v="2"/>
    <s v="5-9 Years"/>
    <x v="1"/>
    <s v="5-9 Years"/>
    <x v="8"/>
    <s v="5-9 Years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n v="4788"/>
    <x v="1"/>
    <s v="Low Income"/>
    <s v="Low Income"/>
    <s v="Low Income"/>
    <n v="25388"/>
    <n v="0"/>
    <s v="Y"/>
    <x v="0"/>
    <n v="11"/>
    <n v="3"/>
    <n v="4"/>
    <n v="80"/>
    <n v="0"/>
    <n v="4"/>
    <x v="2"/>
    <n v="2"/>
    <s v="0-4 Years"/>
    <x v="1"/>
    <s v="0-4 Years"/>
    <x v="11"/>
    <s v="0-4 Years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n v="5906"/>
    <x v="0"/>
    <s v="Medium Income"/>
    <s v="Medium Income"/>
    <s v="Medium Income"/>
    <n v="23888"/>
    <n v="0"/>
    <s v="Y"/>
    <x v="1"/>
    <n v="13"/>
    <n v="3"/>
    <n v="4"/>
    <n v="80"/>
    <n v="2"/>
    <n v="10"/>
    <x v="0"/>
    <n v="2"/>
    <s v="5-9 Years"/>
    <x v="2"/>
    <s v="5-9 Years"/>
    <x v="7"/>
    <s v="5-9 Years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n v="3886"/>
    <x v="1"/>
    <s v="Low Income"/>
    <s v="Low Income"/>
    <s v="Low Income"/>
    <n v="4223"/>
    <n v="1"/>
    <s v="Y"/>
    <x v="1"/>
    <n v="21"/>
    <n v="4"/>
    <n v="4"/>
    <n v="80"/>
    <n v="0"/>
    <n v="10"/>
    <x v="1"/>
    <n v="2"/>
    <s v="10-14 Years"/>
    <x v="2"/>
    <s v="10-14 Years"/>
    <x v="1"/>
    <s v="10-14 Years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n v="16823"/>
    <x v="2"/>
    <s v="High Income"/>
    <s v="High Income"/>
    <s v="High Income"/>
    <n v="18991"/>
    <n v="2"/>
    <s v="Y"/>
    <x v="1"/>
    <n v="11"/>
    <n v="3"/>
    <n v="1"/>
    <n v="80"/>
    <n v="1"/>
    <n v="22"/>
    <x v="4"/>
    <n v="3"/>
    <s v="15-24 Years"/>
    <x v="1"/>
    <s v="15-24 Years"/>
    <x v="27"/>
    <s v="15-24 Years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n v="2933"/>
    <x v="1"/>
    <s v="Low Income"/>
    <s v="Low Income"/>
    <s v="Low Income"/>
    <n v="14908"/>
    <n v="1"/>
    <s v="Y"/>
    <x v="0"/>
    <n v="13"/>
    <n v="3"/>
    <n v="3"/>
    <n v="80"/>
    <n v="1"/>
    <n v="1"/>
    <x v="2"/>
    <n v="3"/>
    <s v="0-4 Years"/>
    <x v="2"/>
    <s v="0-4 Years"/>
    <x v="6"/>
    <s v="0-4 Years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n v="6500"/>
    <x v="0"/>
    <s v="Medium Income"/>
    <s v="Medium Income"/>
    <s v="Medium Income"/>
    <n v="26997"/>
    <n v="0"/>
    <s v="Y"/>
    <x v="1"/>
    <n v="14"/>
    <n v="3"/>
    <n v="2"/>
    <n v="80"/>
    <n v="0"/>
    <n v="9"/>
    <x v="0"/>
    <n v="5"/>
    <s v="5-9 Years"/>
    <x v="2"/>
    <s v="5-9 Years"/>
    <x v="3"/>
    <s v="5-9 Years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n v="17174"/>
    <x v="2"/>
    <s v="High Income"/>
    <s v="High Income"/>
    <s v="High Income"/>
    <n v="2437"/>
    <n v="3"/>
    <s v="Y"/>
    <x v="1"/>
    <n v="11"/>
    <n v="3"/>
    <n v="2"/>
    <n v="80"/>
    <n v="1"/>
    <n v="24"/>
    <x v="4"/>
    <n v="3"/>
    <s v="15-24 Years"/>
    <x v="1"/>
    <s v="15-24 Years"/>
    <x v="14"/>
    <s v="15-24 Years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n v="5033"/>
    <x v="0"/>
    <s v="Medium Income"/>
    <s v="Medium Income"/>
    <s v="Medium Income"/>
    <n v="9364"/>
    <n v="2"/>
    <s v="Y"/>
    <x v="1"/>
    <n v="15"/>
    <n v="3"/>
    <n v="4"/>
    <n v="80"/>
    <n v="1"/>
    <n v="10"/>
    <x v="2"/>
    <n v="5"/>
    <s v="0-4 Years"/>
    <x v="1"/>
    <s v="0-4 Years"/>
    <x v="4"/>
    <s v="0-4 Years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n v="2307"/>
    <x v="1"/>
    <s v="Low Income"/>
    <s v="Low Income"/>
    <s v="Low Income"/>
    <n v="14460"/>
    <n v="1"/>
    <s v="Y"/>
    <x v="0"/>
    <n v="23"/>
    <n v="4"/>
    <n v="2"/>
    <n v="80"/>
    <n v="1"/>
    <n v="5"/>
    <x v="0"/>
    <n v="2"/>
    <s v="5-9 Years"/>
    <x v="1"/>
    <s v="5-9 Years"/>
    <x v="8"/>
    <s v="5-9 Years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n v="2587"/>
    <x v="1"/>
    <s v="Low Income"/>
    <s v="Low Income"/>
    <s v="Low Income"/>
    <n v="10261"/>
    <n v="1"/>
    <s v="Y"/>
    <x v="1"/>
    <n v="16"/>
    <n v="3"/>
    <n v="4"/>
    <n v="80"/>
    <n v="0"/>
    <n v="5"/>
    <x v="2"/>
    <n v="3"/>
    <s v="0-4 Years"/>
    <x v="1"/>
    <s v="0-4 Years"/>
    <x v="9"/>
    <s v="0-4 Years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n v="5507"/>
    <x v="0"/>
    <s v="Medium Income"/>
    <s v="Medium Income"/>
    <s v="Medium Income"/>
    <n v="16822"/>
    <n v="2"/>
    <s v="Y"/>
    <x v="1"/>
    <n v="16"/>
    <n v="3"/>
    <n v="3"/>
    <n v="80"/>
    <n v="2"/>
    <n v="12"/>
    <x v="2"/>
    <n v="1"/>
    <s v="0-4 Years"/>
    <x v="0"/>
    <s v="0-4 Years"/>
    <x v="9"/>
    <s v="0-4 Years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n v="4393"/>
    <x v="1"/>
    <s v="Low Income"/>
    <s v="Low Income"/>
    <s v="Low Income"/>
    <n v="26841"/>
    <n v="5"/>
    <s v="Y"/>
    <x v="1"/>
    <n v="21"/>
    <n v="4"/>
    <n v="3"/>
    <n v="80"/>
    <n v="1"/>
    <n v="14"/>
    <x v="0"/>
    <n v="3"/>
    <s v="5-9 Years"/>
    <x v="1"/>
    <s v="5-9 Years"/>
    <x v="8"/>
    <s v="5-9 Years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n v="13348"/>
    <x v="2"/>
    <s v="High Income"/>
    <s v="High Income"/>
    <s v="High Income"/>
    <n v="14842"/>
    <n v="9"/>
    <s v="Y"/>
    <x v="1"/>
    <n v="13"/>
    <n v="3"/>
    <n v="2"/>
    <n v="80"/>
    <n v="1"/>
    <n v="18"/>
    <x v="1"/>
    <n v="3"/>
    <s v="10-14 Years"/>
    <x v="3"/>
    <s v="10-14 Years"/>
    <x v="20"/>
    <s v="10-14 Years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n v="6583"/>
    <x v="0"/>
    <s v="Medium Income"/>
    <s v="Medium Income"/>
    <s v="Medium Income"/>
    <n v="20115"/>
    <n v="2"/>
    <s v="Y"/>
    <x v="0"/>
    <n v="11"/>
    <n v="3"/>
    <n v="4"/>
    <n v="80"/>
    <n v="1"/>
    <n v="8"/>
    <x v="0"/>
    <n v="2"/>
    <s v="5-9 Years"/>
    <x v="1"/>
    <s v="5-9 Years"/>
    <x v="8"/>
    <s v="5-9 Years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n v="8103"/>
    <x v="0"/>
    <s v="Medium Income"/>
    <s v="Medium Income"/>
    <s v="Medium Income"/>
    <n v="16495"/>
    <n v="3"/>
    <s v="Y"/>
    <x v="0"/>
    <n v="12"/>
    <n v="3"/>
    <n v="3"/>
    <n v="80"/>
    <n v="0"/>
    <n v="9"/>
    <x v="2"/>
    <n v="3"/>
    <s v="0-4 Years"/>
    <x v="2"/>
    <s v="0-4 Years"/>
    <x v="9"/>
    <s v="0-4 Years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n v="3978"/>
    <x v="1"/>
    <s v="Low Income"/>
    <s v="Low Income"/>
    <s v="Low Income"/>
    <n v="16031"/>
    <n v="8"/>
    <s v="Y"/>
    <x v="1"/>
    <n v="12"/>
    <n v="3"/>
    <n v="2"/>
    <n v="80"/>
    <n v="1"/>
    <n v="4"/>
    <x v="2"/>
    <n v="0"/>
    <s v="0-4 Years"/>
    <x v="2"/>
    <s v="0-4 Years"/>
    <x v="4"/>
    <s v="0-4 Years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n v="2544"/>
    <x v="1"/>
    <s v="Low Income"/>
    <s v="Low Income"/>
    <s v="Low Income"/>
    <n v="7102"/>
    <n v="0"/>
    <s v="Y"/>
    <x v="1"/>
    <n v="18"/>
    <n v="3"/>
    <n v="1"/>
    <n v="80"/>
    <n v="1"/>
    <n v="8"/>
    <x v="0"/>
    <n v="3"/>
    <s v="5-9 Years"/>
    <x v="1"/>
    <s v="5-9 Years"/>
    <x v="5"/>
    <s v="5-9 Years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n v="5399"/>
    <x v="0"/>
    <s v="Medium Income"/>
    <s v="Medium Income"/>
    <s v="Medium Income"/>
    <n v="14511"/>
    <n v="4"/>
    <s v="Y"/>
    <x v="1"/>
    <n v="12"/>
    <n v="3"/>
    <n v="3"/>
    <n v="80"/>
    <n v="0"/>
    <n v="12"/>
    <x v="2"/>
    <n v="3"/>
    <s v="0-4 Years"/>
    <x v="1"/>
    <s v="0-4 Years"/>
    <x v="9"/>
    <s v="0-4 Years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n v="5487"/>
    <x v="0"/>
    <s v="Medium Income"/>
    <s v="Medium Income"/>
    <s v="Medium Income"/>
    <n v="10410"/>
    <n v="1"/>
    <s v="Y"/>
    <x v="1"/>
    <n v="14"/>
    <n v="3"/>
    <n v="2"/>
    <n v="80"/>
    <n v="0"/>
    <n v="10"/>
    <x v="1"/>
    <n v="2"/>
    <s v="10-14 Years"/>
    <x v="2"/>
    <s v="10-14 Years"/>
    <x v="1"/>
    <s v="10-14 Years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n v="6834"/>
    <x v="0"/>
    <s v="Medium Income"/>
    <s v="Medium Income"/>
    <s v="Medium Income"/>
    <n v="19255"/>
    <n v="1"/>
    <s v="Y"/>
    <x v="0"/>
    <n v="12"/>
    <n v="3"/>
    <n v="3"/>
    <n v="80"/>
    <n v="1"/>
    <n v="7"/>
    <x v="0"/>
    <n v="2"/>
    <s v="5-9 Years"/>
    <x v="1"/>
    <s v="5-9 Years"/>
    <x v="5"/>
    <s v="5-9 Years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n v="1091"/>
    <x v="1"/>
    <s v="Low Income"/>
    <s v="Low Income"/>
    <s v="Low Income"/>
    <n v="10642"/>
    <n v="1"/>
    <s v="Y"/>
    <x v="1"/>
    <n v="17"/>
    <n v="3"/>
    <n v="4"/>
    <n v="80"/>
    <n v="0"/>
    <n v="1"/>
    <x v="2"/>
    <n v="3"/>
    <s v="0-4 Years"/>
    <x v="1"/>
    <s v="0-4 Years"/>
    <x v="6"/>
    <s v="0-4 Years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n v="5736"/>
    <x v="0"/>
    <s v="Medium Income"/>
    <s v="Medium Income"/>
    <s v="Medium Income"/>
    <n v="3987"/>
    <n v="6"/>
    <s v="Y"/>
    <x v="1"/>
    <n v="19"/>
    <n v="3"/>
    <n v="3"/>
    <n v="80"/>
    <n v="1"/>
    <n v="10"/>
    <x v="2"/>
    <n v="1"/>
    <s v="0-4 Years"/>
    <x v="1"/>
    <s v="0-4 Years"/>
    <x v="11"/>
    <s v="0-4 Years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n v="2226"/>
    <x v="1"/>
    <s v="Low Income"/>
    <s v="Low Income"/>
    <s v="Low Income"/>
    <n v="6073"/>
    <n v="1"/>
    <s v="Y"/>
    <x v="1"/>
    <n v="11"/>
    <n v="3"/>
    <n v="3"/>
    <n v="80"/>
    <n v="1"/>
    <n v="6"/>
    <x v="0"/>
    <n v="3"/>
    <s v="5-9 Years"/>
    <x v="2"/>
    <s v="5-9 Years"/>
    <x v="8"/>
    <s v="5-9 Years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n v="5747"/>
    <x v="0"/>
    <s v="Medium Income"/>
    <s v="Medium Income"/>
    <s v="Medium Income"/>
    <n v="26496"/>
    <n v="1"/>
    <s v="Y"/>
    <x v="0"/>
    <n v="15"/>
    <n v="3"/>
    <n v="2"/>
    <n v="80"/>
    <n v="0"/>
    <n v="16"/>
    <x v="4"/>
    <n v="3"/>
    <s v="15-24 Years"/>
    <x v="1"/>
    <s v="15-24 Years"/>
    <x v="15"/>
    <s v="15-24 Years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n v="9854"/>
    <x v="0"/>
    <s v="Medium Income"/>
    <s v="Medium Income"/>
    <s v="Medium Income"/>
    <n v="23352"/>
    <n v="3"/>
    <s v="Y"/>
    <x v="0"/>
    <n v="11"/>
    <n v="3"/>
    <n v="4"/>
    <n v="80"/>
    <n v="0"/>
    <n v="6"/>
    <x v="2"/>
    <n v="0"/>
    <s v="0-4 Years"/>
    <x v="1"/>
    <s v="0-4 Years"/>
    <x v="4"/>
    <s v="0-4 Years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n v="5467"/>
    <x v="0"/>
    <s v="Medium Income"/>
    <s v="Medium Income"/>
    <s v="Medium Income"/>
    <n v="2125"/>
    <n v="8"/>
    <s v="Y"/>
    <x v="1"/>
    <n v="18"/>
    <n v="3"/>
    <n v="3"/>
    <n v="80"/>
    <n v="1"/>
    <n v="16"/>
    <x v="0"/>
    <n v="4"/>
    <s v="5-9 Years"/>
    <x v="3"/>
    <s v="5-9 Years"/>
    <x v="3"/>
    <s v="5-9 Years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n v="5380"/>
    <x v="0"/>
    <s v="Medium Income"/>
    <s v="Medium Income"/>
    <s v="Medium Income"/>
    <n v="20328"/>
    <n v="4"/>
    <s v="Y"/>
    <x v="1"/>
    <n v="16"/>
    <n v="3"/>
    <n v="3"/>
    <n v="80"/>
    <n v="1"/>
    <n v="6"/>
    <x v="2"/>
    <n v="3"/>
    <s v="0-4 Years"/>
    <x v="1"/>
    <s v="0-4 Years"/>
    <x v="2"/>
    <s v="0-4 Years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n v="5151"/>
    <x v="0"/>
    <s v="Medium Income"/>
    <s v="Medium Income"/>
    <s v="Medium Income"/>
    <n v="12315"/>
    <n v="1"/>
    <s v="Y"/>
    <x v="1"/>
    <n v="25"/>
    <n v="4"/>
    <n v="4"/>
    <n v="80"/>
    <n v="1"/>
    <n v="10"/>
    <x v="1"/>
    <n v="3"/>
    <s v="10-14 Years"/>
    <x v="1"/>
    <s v="10-14 Years"/>
    <x v="1"/>
    <s v="10-14 Years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n v="2133"/>
    <x v="1"/>
    <s v="Low Income"/>
    <s v="Low Income"/>
    <s v="Low Income"/>
    <n v="18115"/>
    <n v="1"/>
    <s v="Y"/>
    <x v="0"/>
    <n v="16"/>
    <n v="3"/>
    <n v="3"/>
    <n v="80"/>
    <n v="1"/>
    <n v="20"/>
    <x v="4"/>
    <n v="3"/>
    <s v="15-24 Years"/>
    <x v="1"/>
    <s v="15-24 Years"/>
    <x v="23"/>
    <s v="15-24 Years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n v="17875"/>
    <x v="2"/>
    <s v="High Income"/>
    <s v="High Income"/>
    <s v="High Income"/>
    <n v="11761"/>
    <n v="4"/>
    <s v="Y"/>
    <x v="0"/>
    <n v="13"/>
    <n v="3"/>
    <n v="3"/>
    <n v="80"/>
    <n v="1"/>
    <n v="29"/>
    <x v="2"/>
    <n v="2"/>
    <s v="0-4 Years"/>
    <x v="2"/>
    <s v="0-4 Years"/>
    <x v="6"/>
    <s v="0-4 Years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n v="2432"/>
    <x v="1"/>
    <s v="Low Income"/>
    <s v="Low Income"/>
    <s v="Low Income"/>
    <n v="15318"/>
    <n v="3"/>
    <s v="Y"/>
    <x v="0"/>
    <n v="14"/>
    <n v="3"/>
    <n v="1"/>
    <n v="80"/>
    <n v="0"/>
    <n v="8"/>
    <x v="2"/>
    <n v="2"/>
    <s v="0-4 Years"/>
    <x v="1"/>
    <s v="0-4 Years"/>
    <x v="9"/>
    <s v="0-4 Years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n v="4771"/>
    <x v="1"/>
    <s v="Low Income"/>
    <s v="Low Income"/>
    <s v="Low Income"/>
    <n v="14293"/>
    <n v="2"/>
    <s v="Y"/>
    <x v="1"/>
    <n v="19"/>
    <n v="3"/>
    <n v="4"/>
    <n v="80"/>
    <n v="2"/>
    <n v="10"/>
    <x v="0"/>
    <n v="0"/>
    <s v="5-9 Years"/>
    <x v="3"/>
    <s v="5-9 Years"/>
    <x v="8"/>
    <s v="5-9 Years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n v="19161"/>
    <x v="2"/>
    <s v="High Income"/>
    <s v="High Income"/>
    <s v="High Income"/>
    <n v="13738"/>
    <n v="3"/>
    <s v="Y"/>
    <x v="1"/>
    <n v="15"/>
    <n v="3"/>
    <n v="4"/>
    <n v="80"/>
    <n v="0"/>
    <n v="28"/>
    <x v="0"/>
    <n v="3"/>
    <s v="5-9 Years"/>
    <x v="1"/>
    <s v="5-9 Years"/>
    <x v="8"/>
    <s v="5-9 Years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n v="5087"/>
    <x v="0"/>
    <s v="Medium Income"/>
    <s v="Medium Income"/>
    <s v="Medium Income"/>
    <n v="2900"/>
    <n v="3"/>
    <s v="Y"/>
    <x v="0"/>
    <n v="12"/>
    <n v="3"/>
    <n v="3"/>
    <n v="80"/>
    <n v="2"/>
    <n v="14"/>
    <x v="2"/>
    <n v="4"/>
    <s v="0-4 Years"/>
    <x v="1"/>
    <s v="0-4 Years"/>
    <x v="2"/>
    <s v="0-4 Years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n v="2863"/>
    <x v="1"/>
    <s v="Low Income"/>
    <s v="Low Income"/>
    <s v="Low Income"/>
    <n v="19555"/>
    <n v="1"/>
    <s v="Y"/>
    <x v="1"/>
    <n v="12"/>
    <n v="3"/>
    <n v="1"/>
    <n v="80"/>
    <n v="0"/>
    <n v="1"/>
    <x v="2"/>
    <n v="2"/>
    <s v="0-4 Years"/>
    <x v="1"/>
    <s v="0-4 Years"/>
    <x v="6"/>
    <s v="0-4 Years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n v="5561"/>
    <x v="0"/>
    <s v="Medium Income"/>
    <s v="Medium Income"/>
    <s v="Medium Income"/>
    <n v="15975"/>
    <n v="0"/>
    <s v="Y"/>
    <x v="1"/>
    <n v="16"/>
    <n v="3"/>
    <n v="4"/>
    <n v="80"/>
    <n v="1"/>
    <n v="6"/>
    <x v="0"/>
    <n v="2"/>
    <s v="5-9 Years"/>
    <x v="0"/>
    <s v="5-9 Years"/>
    <x v="8"/>
    <s v="5-9 Years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n v="2144"/>
    <x v="1"/>
    <s v="Low Income"/>
    <s v="Low Income"/>
    <s v="Low Income"/>
    <n v="2122"/>
    <n v="1"/>
    <s v="Y"/>
    <x v="1"/>
    <n v="14"/>
    <n v="3"/>
    <n v="3"/>
    <n v="80"/>
    <n v="0"/>
    <n v="5"/>
    <x v="0"/>
    <n v="3"/>
    <s v="5-9 Years"/>
    <x v="2"/>
    <s v="5-9 Years"/>
    <x v="8"/>
    <s v="5-9 Years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n v="3065"/>
    <x v="1"/>
    <s v="Low Income"/>
    <s v="Low Income"/>
    <s v="Low Income"/>
    <n v="3995"/>
    <n v="1"/>
    <s v="Y"/>
    <x v="0"/>
    <n v="13"/>
    <n v="3"/>
    <n v="4"/>
    <n v="80"/>
    <n v="1"/>
    <n v="4"/>
    <x v="2"/>
    <n v="3"/>
    <s v="0-4 Years"/>
    <x v="3"/>
    <s v="0-4 Years"/>
    <x v="9"/>
    <s v="0-4 Years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n v="2810"/>
    <x v="1"/>
    <s v="Low Income"/>
    <s v="Low Income"/>
    <s v="Low Income"/>
    <n v="9238"/>
    <n v="1"/>
    <s v="Y"/>
    <x v="1"/>
    <n v="22"/>
    <n v="4"/>
    <n v="2"/>
    <n v="80"/>
    <n v="0"/>
    <n v="5"/>
    <x v="0"/>
    <n v="3"/>
    <s v="5-9 Years"/>
    <x v="1"/>
    <s v="5-9 Years"/>
    <x v="8"/>
    <s v="5-9 Years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n v="9888"/>
    <x v="0"/>
    <s v="Medium Income"/>
    <s v="Medium Income"/>
    <s v="Medium Income"/>
    <n v="6770"/>
    <n v="1"/>
    <s v="Y"/>
    <x v="1"/>
    <n v="21"/>
    <n v="4"/>
    <n v="1"/>
    <n v="80"/>
    <n v="0"/>
    <n v="14"/>
    <x v="1"/>
    <n v="3"/>
    <s v="10-14 Years"/>
    <x v="2"/>
    <s v="10-14 Years"/>
    <x v="13"/>
    <s v="10-14 Years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n v="8628"/>
    <x v="0"/>
    <s v="Medium Income"/>
    <s v="Medium Income"/>
    <s v="Medium Income"/>
    <n v="22914"/>
    <n v="1"/>
    <s v="Y"/>
    <x v="1"/>
    <n v="18"/>
    <n v="3"/>
    <n v="3"/>
    <n v="80"/>
    <n v="1"/>
    <n v="9"/>
    <x v="0"/>
    <n v="2"/>
    <s v="5-9 Years"/>
    <x v="2"/>
    <s v="5-9 Years"/>
    <x v="3"/>
    <s v="5-9 Years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n v="2867"/>
    <x v="1"/>
    <s v="Low Income"/>
    <s v="Low Income"/>
    <s v="Low Income"/>
    <n v="20006"/>
    <n v="0"/>
    <s v="Y"/>
    <x v="1"/>
    <n v="13"/>
    <n v="3"/>
    <n v="4"/>
    <n v="80"/>
    <n v="0"/>
    <n v="8"/>
    <x v="0"/>
    <n v="6"/>
    <s v="5-9 Years"/>
    <x v="2"/>
    <s v="5-9 Years"/>
    <x v="5"/>
    <s v="5-9 Years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n v="5373"/>
    <x v="0"/>
    <s v="Medium Income"/>
    <s v="Medium Income"/>
    <s v="Medium Income"/>
    <n v="6225"/>
    <n v="0"/>
    <s v="Y"/>
    <x v="1"/>
    <n v="12"/>
    <n v="3"/>
    <n v="1"/>
    <n v="80"/>
    <n v="1"/>
    <n v="6"/>
    <x v="0"/>
    <n v="5"/>
    <s v="5-9 Years"/>
    <x v="2"/>
    <s v="5-9 Years"/>
    <x v="8"/>
    <s v="5-9 Years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n v="6667"/>
    <x v="0"/>
    <s v="Medium Income"/>
    <s v="Medium Income"/>
    <s v="Medium Income"/>
    <n v="16542"/>
    <n v="5"/>
    <s v="Y"/>
    <x v="1"/>
    <n v="18"/>
    <n v="3"/>
    <n v="2"/>
    <n v="80"/>
    <n v="1"/>
    <n v="9"/>
    <x v="0"/>
    <n v="6"/>
    <s v="5-9 Years"/>
    <x v="1"/>
    <s v="5-9 Years"/>
    <x v="8"/>
    <s v="5-9 Years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n v="5003"/>
    <x v="0"/>
    <s v="Medium Income"/>
    <s v="Medium Income"/>
    <s v="Medium Income"/>
    <n v="5771"/>
    <n v="1"/>
    <s v="Y"/>
    <x v="1"/>
    <n v="21"/>
    <n v="4"/>
    <n v="2"/>
    <n v="80"/>
    <n v="0"/>
    <n v="10"/>
    <x v="1"/>
    <n v="6"/>
    <s v="10-14 Years"/>
    <x v="1"/>
    <s v="10-14 Years"/>
    <x v="1"/>
    <s v="10-14 Years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n v="2367"/>
    <x v="1"/>
    <s v="Low Income"/>
    <s v="Low Income"/>
    <s v="Low Income"/>
    <n v="18779"/>
    <n v="5"/>
    <s v="Y"/>
    <x v="1"/>
    <n v="12"/>
    <n v="3"/>
    <n v="1"/>
    <n v="80"/>
    <n v="1"/>
    <n v="6"/>
    <x v="2"/>
    <n v="2"/>
    <s v="0-4 Years"/>
    <x v="2"/>
    <s v="0-4 Years"/>
    <x v="9"/>
    <s v="0-4 Years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n v="2858"/>
    <x v="1"/>
    <s v="Low Income"/>
    <s v="Low Income"/>
    <s v="Low Income"/>
    <n v="11473"/>
    <n v="4"/>
    <s v="Y"/>
    <x v="1"/>
    <n v="14"/>
    <n v="3"/>
    <n v="1"/>
    <n v="80"/>
    <n v="0"/>
    <n v="20"/>
    <x v="2"/>
    <n v="3"/>
    <s v="0-4 Years"/>
    <x v="2"/>
    <s v="0-4 Years"/>
    <x v="6"/>
    <s v="0-4 Years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n v="5204"/>
    <x v="0"/>
    <s v="Medium Income"/>
    <s v="Medium Income"/>
    <s v="Medium Income"/>
    <n v="13586"/>
    <n v="1"/>
    <s v="Y"/>
    <x v="0"/>
    <n v="11"/>
    <n v="3"/>
    <n v="4"/>
    <n v="80"/>
    <n v="0"/>
    <n v="10"/>
    <x v="1"/>
    <n v="2"/>
    <s v="10-14 Years"/>
    <x v="1"/>
    <s v="10-14 Years"/>
    <x v="1"/>
    <s v="10-14 Years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n v="4105"/>
    <x v="1"/>
    <s v="Low Income"/>
    <s v="Low Income"/>
    <s v="Low Income"/>
    <n v="5099"/>
    <n v="1"/>
    <s v="Y"/>
    <x v="1"/>
    <n v="14"/>
    <n v="3"/>
    <n v="1"/>
    <n v="80"/>
    <n v="0"/>
    <n v="7"/>
    <x v="0"/>
    <n v="5"/>
    <s v="5-9 Years"/>
    <x v="1"/>
    <s v="5-9 Years"/>
    <x v="5"/>
    <s v="5-9 Years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n v="9679"/>
    <x v="0"/>
    <s v="Medium Income"/>
    <s v="Medium Income"/>
    <s v="Medium Income"/>
    <n v="10138"/>
    <n v="8"/>
    <s v="Y"/>
    <x v="1"/>
    <n v="24"/>
    <n v="4"/>
    <n v="2"/>
    <n v="80"/>
    <n v="0"/>
    <n v="8"/>
    <x v="2"/>
    <n v="1"/>
    <s v="0-4 Years"/>
    <x v="1"/>
    <s v="0-4 Years"/>
    <x v="6"/>
    <s v="0-4 Years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n v="5617"/>
    <x v="0"/>
    <s v="Medium Income"/>
    <s v="Medium Income"/>
    <s v="Medium Income"/>
    <n v="21075"/>
    <n v="1"/>
    <s v="Y"/>
    <x v="0"/>
    <n v="11"/>
    <n v="3"/>
    <n v="3"/>
    <n v="80"/>
    <n v="0"/>
    <n v="10"/>
    <x v="1"/>
    <n v="4"/>
    <s v="10-14 Years"/>
    <x v="1"/>
    <s v="10-14 Years"/>
    <x v="1"/>
    <s v="10-14 Years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n v="10448"/>
    <x v="2"/>
    <s v="High Income"/>
    <s v="High Income"/>
    <s v="High Income"/>
    <n v="5843"/>
    <n v="6"/>
    <s v="Y"/>
    <x v="0"/>
    <n v="13"/>
    <n v="3"/>
    <n v="2"/>
    <n v="80"/>
    <n v="0"/>
    <n v="15"/>
    <x v="2"/>
    <n v="2"/>
    <s v="0-4 Years"/>
    <x v="2"/>
    <s v="0-4 Years"/>
    <x v="4"/>
    <s v="0-4 Years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n v="2897"/>
    <x v="1"/>
    <s v="Low Income"/>
    <s v="Low Income"/>
    <s v="Low Income"/>
    <n v="22474"/>
    <n v="3"/>
    <s v="Y"/>
    <x v="1"/>
    <n v="11"/>
    <n v="3"/>
    <n v="3"/>
    <n v="80"/>
    <n v="2"/>
    <n v="9"/>
    <x v="2"/>
    <n v="6"/>
    <s v="0-4 Years"/>
    <x v="2"/>
    <s v="0-4 Years"/>
    <x v="9"/>
    <s v="0-4 Years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n v="5968"/>
    <x v="0"/>
    <s v="Medium Income"/>
    <s v="Medium Income"/>
    <s v="Medium Income"/>
    <n v="18079"/>
    <n v="1"/>
    <s v="Y"/>
    <x v="1"/>
    <n v="20"/>
    <n v="4"/>
    <n v="3"/>
    <n v="80"/>
    <n v="3"/>
    <n v="9"/>
    <x v="0"/>
    <n v="2"/>
    <s v="5-9 Years"/>
    <x v="1"/>
    <s v="5-9 Years"/>
    <x v="7"/>
    <s v="5-9 Years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n v="7510"/>
    <x v="0"/>
    <s v="Medium Income"/>
    <s v="Medium Income"/>
    <s v="Medium Income"/>
    <n v="16873"/>
    <n v="1"/>
    <s v="Y"/>
    <x v="1"/>
    <n v="17"/>
    <n v="3"/>
    <n v="2"/>
    <n v="80"/>
    <n v="1"/>
    <n v="10"/>
    <x v="1"/>
    <n v="1"/>
    <s v="10-14 Years"/>
    <x v="1"/>
    <s v="10-14 Years"/>
    <x v="1"/>
    <s v="10-14 Years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n v="2991"/>
    <x v="1"/>
    <s v="Low Income"/>
    <s v="Low Income"/>
    <s v="Low Income"/>
    <n v="5224"/>
    <n v="0"/>
    <s v="Y"/>
    <x v="0"/>
    <n v="11"/>
    <n v="3"/>
    <n v="2"/>
    <n v="80"/>
    <n v="1"/>
    <n v="7"/>
    <x v="0"/>
    <n v="2"/>
    <s v="5-9 Years"/>
    <x v="1"/>
    <s v="5-9 Years"/>
    <x v="0"/>
    <s v="5-9 Years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n v="19636"/>
    <x v="2"/>
    <s v="High Income"/>
    <s v="High Income"/>
    <s v="High Income"/>
    <n v="25811"/>
    <n v="4"/>
    <s v="Y"/>
    <x v="0"/>
    <n v="18"/>
    <n v="3"/>
    <n v="1"/>
    <n v="80"/>
    <n v="1"/>
    <n v="35"/>
    <x v="1"/>
    <n v="0"/>
    <s v="10-14 Years"/>
    <x v="1"/>
    <s v="10-14 Years"/>
    <x v="1"/>
    <s v="10-14 Years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n v="1129"/>
    <x v="1"/>
    <s v="Low Income"/>
    <s v="Low Income"/>
    <s v="Low Income"/>
    <n v="17536"/>
    <n v="1"/>
    <s v="Y"/>
    <x v="0"/>
    <n v="11"/>
    <n v="3"/>
    <n v="3"/>
    <n v="80"/>
    <n v="3"/>
    <n v="1"/>
    <x v="2"/>
    <n v="4"/>
    <s v="0-4 Years"/>
    <x v="1"/>
    <s v="0-4 Years"/>
    <x v="6"/>
    <s v="0-4 Years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n v="13341"/>
    <x v="2"/>
    <s v="High Income"/>
    <s v="High Income"/>
    <s v="High Income"/>
    <n v="25098"/>
    <n v="0"/>
    <s v="Y"/>
    <x v="1"/>
    <n v="12"/>
    <n v="3"/>
    <n v="1"/>
    <n v="80"/>
    <n v="0"/>
    <n v="21"/>
    <x v="4"/>
    <n v="3"/>
    <s v="15-24 Years"/>
    <x v="1"/>
    <s v="15-24 Years"/>
    <x v="23"/>
    <s v="15-24 Years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n v="4332"/>
    <x v="1"/>
    <s v="Low Income"/>
    <s v="Low Income"/>
    <s v="Low Income"/>
    <n v="14811"/>
    <n v="1"/>
    <s v="Y"/>
    <x v="1"/>
    <n v="12"/>
    <n v="3"/>
    <n v="4"/>
    <n v="80"/>
    <n v="0"/>
    <n v="20"/>
    <x v="4"/>
    <n v="2"/>
    <s v="15-24 Years"/>
    <x v="1"/>
    <s v="15-24 Years"/>
    <x v="23"/>
    <s v="15-24 Years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n v="11031"/>
    <x v="2"/>
    <s v="High Income"/>
    <s v="High Income"/>
    <s v="High Income"/>
    <n v="26862"/>
    <n v="4"/>
    <s v="Y"/>
    <x v="1"/>
    <n v="20"/>
    <n v="4"/>
    <n v="3"/>
    <n v="80"/>
    <n v="1"/>
    <n v="13"/>
    <x v="1"/>
    <n v="2"/>
    <s v="10-14 Years"/>
    <x v="3"/>
    <s v="10-14 Years"/>
    <x v="19"/>
    <s v="10-14 Years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n v="4440"/>
    <x v="1"/>
    <s v="Low Income"/>
    <s v="Low Income"/>
    <s v="Low Income"/>
    <n v="25198"/>
    <n v="6"/>
    <s v="Y"/>
    <x v="0"/>
    <n v="19"/>
    <n v="3"/>
    <n v="4"/>
    <n v="80"/>
    <n v="0"/>
    <n v="9"/>
    <x v="0"/>
    <n v="3"/>
    <s v="5-9 Years"/>
    <x v="1"/>
    <s v="5-9 Years"/>
    <x v="8"/>
    <s v="5-9 Years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n v="4617"/>
    <x v="1"/>
    <s v="Low Income"/>
    <s v="Low Income"/>
    <s v="Low Income"/>
    <n v="14120"/>
    <n v="1"/>
    <s v="Y"/>
    <x v="1"/>
    <n v="12"/>
    <n v="3"/>
    <n v="2"/>
    <n v="80"/>
    <n v="0"/>
    <n v="4"/>
    <x v="2"/>
    <n v="2"/>
    <s v="0-4 Years"/>
    <x v="2"/>
    <s v="0-4 Years"/>
    <x v="9"/>
    <s v="0-4 Years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n v="2647"/>
    <x v="1"/>
    <s v="Low Income"/>
    <s v="Low Income"/>
    <s v="Low Income"/>
    <n v="13672"/>
    <n v="1"/>
    <s v="Y"/>
    <x v="1"/>
    <n v="13"/>
    <n v="3"/>
    <n v="3"/>
    <n v="80"/>
    <n v="0"/>
    <n v="5"/>
    <x v="0"/>
    <n v="6"/>
    <s v="5-9 Years"/>
    <x v="3"/>
    <s v="5-9 Years"/>
    <x v="8"/>
    <s v="5-9 Years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n v="6323"/>
    <x v="0"/>
    <s v="Medium Income"/>
    <s v="Medium Income"/>
    <s v="Medium Income"/>
    <n v="26849"/>
    <n v="1"/>
    <s v="Y"/>
    <x v="1"/>
    <n v="11"/>
    <n v="3"/>
    <n v="1"/>
    <n v="80"/>
    <n v="1"/>
    <n v="10"/>
    <x v="1"/>
    <n v="2"/>
    <s v="10-14 Years"/>
    <x v="3"/>
    <s v="10-14 Years"/>
    <x v="1"/>
    <s v="10-14 Years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n v="5677"/>
    <x v="0"/>
    <s v="Medium Income"/>
    <s v="Medium Income"/>
    <s v="Medium Income"/>
    <n v="4258"/>
    <n v="3"/>
    <s v="Y"/>
    <x v="1"/>
    <n v="14"/>
    <n v="3"/>
    <n v="3"/>
    <n v="80"/>
    <n v="1"/>
    <n v="15"/>
    <x v="1"/>
    <n v="4"/>
    <s v="10-14 Years"/>
    <x v="1"/>
    <s v="10-14 Years"/>
    <x v="19"/>
    <s v="10-14 Years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n v="2187"/>
    <x v="1"/>
    <s v="Low Income"/>
    <s v="Low Income"/>
    <s v="Low Income"/>
    <n v="19655"/>
    <n v="4"/>
    <s v="Y"/>
    <x v="1"/>
    <n v="14"/>
    <n v="3"/>
    <n v="3"/>
    <n v="80"/>
    <n v="0"/>
    <n v="6"/>
    <x v="2"/>
    <n v="3"/>
    <s v="0-4 Years"/>
    <x v="1"/>
    <s v="0-4 Years"/>
    <x v="4"/>
    <s v="0-4 Years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n v="3748"/>
    <x v="1"/>
    <s v="Low Income"/>
    <s v="Low Income"/>
    <s v="Low Income"/>
    <n v="4077"/>
    <n v="1"/>
    <s v="Y"/>
    <x v="1"/>
    <n v="13"/>
    <n v="3"/>
    <n v="3"/>
    <n v="80"/>
    <n v="0"/>
    <n v="12"/>
    <x v="1"/>
    <n v="6"/>
    <s v="10-14 Years"/>
    <x v="2"/>
    <s v="10-14 Years"/>
    <x v="12"/>
    <s v="10-14 Years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n v="3977"/>
    <x v="1"/>
    <s v="Low Income"/>
    <s v="Low Income"/>
    <s v="Low Income"/>
    <n v="7298"/>
    <n v="6"/>
    <s v="Y"/>
    <x v="0"/>
    <n v="19"/>
    <n v="3"/>
    <n v="3"/>
    <n v="80"/>
    <n v="1"/>
    <n v="7"/>
    <x v="2"/>
    <n v="2"/>
    <s v="0-4 Years"/>
    <x v="2"/>
    <s v="0-4 Years"/>
    <x v="4"/>
    <s v="0-4 Years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n v="8633"/>
    <x v="0"/>
    <s v="Medium Income"/>
    <s v="Medium Income"/>
    <s v="Medium Income"/>
    <n v="13084"/>
    <n v="2"/>
    <s v="Y"/>
    <x v="1"/>
    <n v="23"/>
    <n v="4"/>
    <n v="2"/>
    <n v="80"/>
    <n v="0"/>
    <n v="25"/>
    <x v="4"/>
    <n v="3"/>
    <s v="15-24 Years"/>
    <x v="1"/>
    <s v="15-24 Years"/>
    <x v="18"/>
    <s v="15-24 Years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n v="2008"/>
    <x v="1"/>
    <s v="Low Income"/>
    <s v="Low Income"/>
    <s v="Low Income"/>
    <n v="20439"/>
    <n v="1"/>
    <s v="Y"/>
    <x v="1"/>
    <n v="12"/>
    <n v="3"/>
    <n v="3"/>
    <n v="80"/>
    <n v="3"/>
    <n v="1"/>
    <x v="2"/>
    <n v="2"/>
    <s v="0-4 Years"/>
    <x v="2"/>
    <s v="0-4 Years"/>
    <x v="6"/>
    <s v="0-4 Years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n v="4440"/>
    <x v="1"/>
    <s v="Low Income"/>
    <s v="Low Income"/>
    <s v="Low Income"/>
    <n v="7636"/>
    <n v="0"/>
    <s v="Y"/>
    <x v="1"/>
    <n v="15"/>
    <n v="3"/>
    <n v="1"/>
    <n v="80"/>
    <n v="2"/>
    <n v="16"/>
    <x v="4"/>
    <n v="3"/>
    <s v="15-24 Years"/>
    <x v="1"/>
    <s v="15-24 Years"/>
    <x v="15"/>
    <s v="15-24 Years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n v="3067"/>
    <x v="1"/>
    <s v="Low Income"/>
    <s v="Low Income"/>
    <s v="Low Income"/>
    <n v="6393"/>
    <n v="0"/>
    <s v="Y"/>
    <x v="1"/>
    <n v="19"/>
    <n v="3"/>
    <n v="3"/>
    <n v="80"/>
    <n v="1"/>
    <n v="3"/>
    <x v="2"/>
    <n v="1"/>
    <s v="0-4 Years"/>
    <x v="1"/>
    <s v="0-4 Years"/>
    <x v="4"/>
    <s v="0-4 Years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n v="5321"/>
    <x v="0"/>
    <s v="Medium Income"/>
    <s v="Medium Income"/>
    <s v="Medium Income"/>
    <n v="14284"/>
    <n v="2"/>
    <s v="Y"/>
    <x v="1"/>
    <n v="11"/>
    <n v="3"/>
    <n v="4"/>
    <n v="80"/>
    <n v="1"/>
    <n v="10"/>
    <x v="0"/>
    <n v="1"/>
    <s v="5-9 Years"/>
    <x v="1"/>
    <s v="5-9 Years"/>
    <x v="3"/>
    <s v="5-9 Years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n v="5410"/>
    <x v="0"/>
    <s v="Medium Income"/>
    <s v="Medium Income"/>
    <s v="Medium Income"/>
    <n v="11189"/>
    <n v="6"/>
    <s v="Y"/>
    <x v="0"/>
    <n v="17"/>
    <n v="3"/>
    <n v="3"/>
    <n v="80"/>
    <n v="1"/>
    <n v="9"/>
    <x v="2"/>
    <n v="3"/>
    <s v="0-4 Years"/>
    <x v="2"/>
    <s v="0-4 Years"/>
    <x v="9"/>
    <s v="0-4 Years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n v="2782"/>
    <x v="1"/>
    <s v="Low Income"/>
    <s v="Low Income"/>
    <s v="Low Income"/>
    <n v="21412"/>
    <n v="3"/>
    <s v="Y"/>
    <x v="1"/>
    <n v="22"/>
    <n v="4"/>
    <n v="1"/>
    <n v="80"/>
    <n v="1"/>
    <n v="12"/>
    <x v="0"/>
    <n v="3"/>
    <s v="5-9 Years"/>
    <x v="1"/>
    <s v="5-9 Years"/>
    <x v="8"/>
    <s v="5-9 Years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n v="11957"/>
    <x v="2"/>
    <s v="High Income"/>
    <s v="High Income"/>
    <s v="High Income"/>
    <n v="17231"/>
    <n v="0"/>
    <s v="Y"/>
    <x v="1"/>
    <n v="18"/>
    <n v="3"/>
    <n v="1"/>
    <n v="80"/>
    <n v="2"/>
    <n v="14"/>
    <x v="1"/>
    <n v="3"/>
    <s v="10-14 Years"/>
    <x v="0"/>
    <s v="10-14 Years"/>
    <x v="20"/>
    <s v="10-14 Years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n v="2660"/>
    <x v="1"/>
    <s v="Low Income"/>
    <s v="Low Income"/>
    <s v="Low Income"/>
    <n v="20232"/>
    <n v="7"/>
    <s v="Y"/>
    <x v="0"/>
    <n v="11"/>
    <n v="3"/>
    <n v="3"/>
    <n v="80"/>
    <n v="1"/>
    <n v="5"/>
    <x v="2"/>
    <n v="3"/>
    <s v="0-4 Years"/>
    <x v="1"/>
    <s v="0-4 Years"/>
    <x v="4"/>
    <s v="0-4 Years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n v="3375"/>
    <x v="1"/>
    <s v="Low Income"/>
    <s v="Low Income"/>
    <s v="Low Income"/>
    <n v="17624"/>
    <n v="0"/>
    <s v="Y"/>
    <x v="1"/>
    <n v="12"/>
    <n v="3"/>
    <n v="4"/>
    <n v="80"/>
    <n v="0"/>
    <n v="4"/>
    <x v="2"/>
    <n v="2"/>
    <s v="0-4 Years"/>
    <x v="3"/>
    <s v="0-4 Years"/>
    <x v="11"/>
    <s v="0-4 Years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n v="5098"/>
    <x v="0"/>
    <s v="Medium Income"/>
    <s v="Medium Income"/>
    <s v="Medium Income"/>
    <n v="18698"/>
    <n v="1"/>
    <s v="Y"/>
    <x v="1"/>
    <n v="19"/>
    <n v="3"/>
    <n v="2"/>
    <n v="80"/>
    <n v="0"/>
    <n v="10"/>
    <x v="1"/>
    <n v="5"/>
    <s v="10-14 Years"/>
    <x v="1"/>
    <s v="10-14 Years"/>
    <x v="1"/>
    <s v="10-14 Years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n v="4878"/>
    <x v="1"/>
    <s v="Low Income"/>
    <s v="Low Income"/>
    <s v="Low Income"/>
    <n v="21653"/>
    <n v="0"/>
    <s v="Y"/>
    <x v="0"/>
    <n v="13"/>
    <n v="3"/>
    <n v="1"/>
    <n v="80"/>
    <n v="1"/>
    <n v="10"/>
    <x v="0"/>
    <n v="6"/>
    <s v="5-9 Years"/>
    <x v="1"/>
    <s v="5-9 Years"/>
    <x v="7"/>
    <s v="5-9 Years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n v="2837"/>
    <x v="1"/>
    <s v="Low Income"/>
    <s v="Low Income"/>
    <s v="Low Income"/>
    <n v="15919"/>
    <n v="1"/>
    <s v="Y"/>
    <x v="1"/>
    <n v="13"/>
    <n v="3"/>
    <n v="3"/>
    <n v="80"/>
    <n v="0"/>
    <n v="6"/>
    <x v="0"/>
    <n v="3"/>
    <s v="5-9 Years"/>
    <x v="1"/>
    <s v="5-9 Years"/>
    <x v="0"/>
    <s v="5-9 Years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n v="2406"/>
    <x v="1"/>
    <s v="Low Income"/>
    <s v="Low Income"/>
    <s v="Low Income"/>
    <n v="4060"/>
    <n v="8"/>
    <s v="Y"/>
    <x v="1"/>
    <n v="19"/>
    <n v="3"/>
    <n v="3"/>
    <n v="80"/>
    <n v="2"/>
    <n v="8"/>
    <x v="2"/>
    <n v="3"/>
    <s v="0-4 Years"/>
    <x v="2"/>
    <s v="0-4 Years"/>
    <x v="6"/>
    <s v="0-4 Years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n v="2269"/>
    <x v="1"/>
    <s v="Low Income"/>
    <s v="Low Income"/>
    <s v="Low Income"/>
    <n v="18024"/>
    <n v="0"/>
    <s v="Y"/>
    <x v="1"/>
    <n v="14"/>
    <n v="3"/>
    <n v="2"/>
    <n v="80"/>
    <n v="1"/>
    <n v="3"/>
    <x v="2"/>
    <n v="2"/>
    <s v="0-4 Years"/>
    <x v="1"/>
    <s v="0-4 Years"/>
    <x v="4"/>
    <s v="0-4 Years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n v="4108"/>
    <x v="1"/>
    <s v="Low Income"/>
    <s v="Low Income"/>
    <s v="Low Income"/>
    <n v="5340"/>
    <n v="7"/>
    <s v="Y"/>
    <x v="1"/>
    <n v="13"/>
    <n v="3"/>
    <n v="1"/>
    <n v="80"/>
    <n v="0"/>
    <n v="18"/>
    <x v="0"/>
    <n v="2"/>
    <s v="5-9 Years"/>
    <x v="1"/>
    <s v="5-9 Years"/>
    <x v="5"/>
    <s v="5-9 Years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n v="13206"/>
    <x v="2"/>
    <s v="High Income"/>
    <s v="High Income"/>
    <s v="High Income"/>
    <n v="3376"/>
    <n v="3"/>
    <s v="Y"/>
    <x v="1"/>
    <n v="12"/>
    <n v="3"/>
    <n v="1"/>
    <n v="80"/>
    <n v="1"/>
    <n v="20"/>
    <x v="4"/>
    <n v="3"/>
    <s v="15-24 Years"/>
    <x v="1"/>
    <s v="15-24 Years"/>
    <x v="29"/>
    <s v="15-24 Years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n v="10422"/>
    <x v="2"/>
    <s v="High Income"/>
    <s v="High Income"/>
    <s v="High Income"/>
    <n v="24032"/>
    <n v="1"/>
    <s v="Y"/>
    <x v="1"/>
    <n v="19"/>
    <n v="3"/>
    <n v="3"/>
    <n v="80"/>
    <n v="2"/>
    <n v="14"/>
    <x v="1"/>
    <n v="3"/>
    <s v="10-14 Years"/>
    <x v="1"/>
    <s v="10-14 Years"/>
    <x v="13"/>
    <s v="10-14 Years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n v="13744"/>
    <x v="2"/>
    <s v="High Income"/>
    <s v="High Income"/>
    <s v="High Income"/>
    <n v="15471"/>
    <n v="1"/>
    <s v="Y"/>
    <x v="0"/>
    <n v="25"/>
    <n v="4"/>
    <n v="1"/>
    <n v="80"/>
    <n v="1"/>
    <n v="16"/>
    <x v="4"/>
    <n v="2"/>
    <s v="15-24 Years"/>
    <x v="1"/>
    <s v="15-24 Years"/>
    <x v="22"/>
    <s v="15-24 Years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n v="4907"/>
    <x v="1"/>
    <s v="Low Income"/>
    <s v="Low Income"/>
    <s v="Low Income"/>
    <n v="13684"/>
    <n v="0"/>
    <s v="Y"/>
    <x v="0"/>
    <n v="22"/>
    <n v="4"/>
    <n v="2"/>
    <n v="80"/>
    <n v="1"/>
    <n v="6"/>
    <x v="0"/>
    <n v="3"/>
    <s v="5-9 Years"/>
    <x v="2"/>
    <s v="5-9 Years"/>
    <x v="8"/>
    <s v="5-9 Years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n v="3482"/>
    <x v="1"/>
    <s v="Low Income"/>
    <s v="Low Income"/>
    <s v="Low Income"/>
    <n v="19788"/>
    <n v="2"/>
    <s v="Y"/>
    <x v="1"/>
    <n v="15"/>
    <n v="3"/>
    <n v="2"/>
    <n v="80"/>
    <n v="2"/>
    <n v="16"/>
    <x v="0"/>
    <n v="3"/>
    <s v="5-9 Years"/>
    <x v="2"/>
    <s v="5-9 Years"/>
    <x v="7"/>
    <s v="5-9 Years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n v="2436"/>
    <x v="1"/>
    <s v="Low Income"/>
    <s v="Low Income"/>
    <s v="Low Income"/>
    <n v="13422"/>
    <n v="6"/>
    <s v="Y"/>
    <x v="0"/>
    <n v="12"/>
    <n v="3"/>
    <n v="3"/>
    <n v="80"/>
    <n v="0"/>
    <n v="6"/>
    <x v="2"/>
    <n v="2"/>
    <s v="0-4 Years"/>
    <x v="1"/>
    <s v="0-4 Years"/>
    <x v="9"/>
    <s v="0-4 Years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n v="2380"/>
    <x v="1"/>
    <s v="Low Income"/>
    <s v="Low Income"/>
    <s v="Low Income"/>
    <n v="25479"/>
    <n v="1"/>
    <s v="Y"/>
    <x v="0"/>
    <n v="11"/>
    <n v="3"/>
    <n v="4"/>
    <n v="80"/>
    <n v="0"/>
    <n v="2"/>
    <x v="2"/>
    <n v="6"/>
    <s v="0-4 Years"/>
    <x v="1"/>
    <s v="0-4 Years"/>
    <x v="4"/>
    <s v="0-4 Years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n v="19431"/>
    <x v="2"/>
    <s v="High Income"/>
    <s v="High Income"/>
    <s v="High Income"/>
    <n v="15302"/>
    <n v="2"/>
    <s v="Y"/>
    <x v="1"/>
    <n v="13"/>
    <n v="3"/>
    <n v="3"/>
    <n v="80"/>
    <n v="0"/>
    <n v="21"/>
    <x v="0"/>
    <n v="3"/>
    <s v="5-9 Years"/>
    <x v="2"/>
    <s v="5-9 Years"/>
    <x v="0"/>
    <s v="5-9 Years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n v="1790"/>
    <x v="1"/>
    <s v="Low Income"/>
    <s v="Low Income"/>
    <s v="Low Income"/>
    <n v="26956"/>
    <n v="1"/>
    <s v="Y"/>
    <x v="1"/>
    <n v="19"/>
    <n v="3"/>
    <n v="1"/>
    <n v="80"/>
    <n v="1"/>
    <n v="1"/>
    <x v="2"/>
    <n v="3"/>
    <s v="0-4 Years"/>
    <x v="2"/>
    <s v="0-4 Years"/>
    <x v="6"/>
    <s v="0-4 Years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n v="7644"/>
    <x v="0"/>
    <s v="Medium Income"/>
    <s v="Medium Income"/>
    <s v="Medium Income"/>
    <n v="12695"/>
    <n v="0"/>
    <s v="Y"/>
    <x v="1"/>
    <n v="19"/>
    <n v="3"/>
    <n v="3"/>
    <n v="80"/>
    <n v="2"/>
    <n v="10"/>
    <x v="0"/>
    <n v="2"/>
    <s v="5-9 Years"/>
    <x v="1"/>
    <s v="5-9 Years"/>
    <x v="7"/>
    <s v="5-9 Years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n v="5131"/>
    <x v="0"/>
    <s v="Medium Income"/>
    <s v="Medium Income"/>
    <s v="Medium Income"/>
    <n v="9192"/>
    <n v="7"/>
    <s v="Y"/>
    <x v="1"/>
    <n v="13"/>
    <n v="3"/>
    <n v="2"/>
    <n v="80"/>
    <n v="3"/>
    <n v="18"/>
    <x v="2"/>
    <n v="3"/>
    <s v="0-4 Years"/>
    <x v="1"/>
    <s v="0-4 Years"/>
    <x v="9"/>
    <s v="0-4 Years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n v="6306"/>
    <x v="0"/>
    <s v="Medium Income"/>
    <s v="Medium Income"/>
    <s v="Medium Income"/>
    <n v="26236"/>
    <n v="1"/>
    <s v="Y"/>
    <x v="1"/>
    <n v="21"/>
    <n v="4"/>
    <n v="1"/>
    <n v="80"/>
    <n v="1"/>
    <n v="13"/>
    <x v="1"/>
    <n v="2"/>
    <s v="10-14 Years"/>
    <x v="2"/>
    <s v="10-14 Years"/>
    <x v="20"/>
    <s v="10-14 Years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n v="4787"/>
    <x v="1"/>
    <s v="Low Income"/>
    <s v="Low Income"/>
    <s v="Low Income"/>
    <n v="26124"/>
    <n v="9"/>
    <s v="Y"/>
    <x v="0"/>
    <n v="14"/>
    <n v="3"/>
    <n v="2"/>
    <n v="80"/>
    <n v="3"/>
    <n v="4"/>
    <x v="2"/>
    <n v="3"/>
    <s v="0-4 Years"/>
    <x v="3"/>
    <s v="0-4 Years"/>
    <x v="4"/>
    <s v="0-4 Years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n v="18880"/>
    <x v="2"/>
    <s v="High Income"/>
    <s v="High Income"/>
    <s v="High Income"/>
    <n v="17312"/>
    <n v="5"/>
    <s v="Y"/>
    <x v="1"/>
    <n v="11"/>
    <n v="3"/>
    <n v="1"/>
    <n v="80"/>
    <n v="0"/>
    <n v="24"/>
    <x v="4"/>
    <n v="2"/>
    <s v="15-24 Years"/>
    <x v="2"/>
    <s v="15-24 Years"/>
    <x v="14"/>
    <s v="15-24 Years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n v="2339"/>
    <x v="1"/>
    <s v="Low Income"/>
    <s v="Low Income"/>
    <s v="Low Income"/>
    <n v="3666"/>
    <n v="8"/>
    <s v="Y"/>
    <x v="1"/>
    <n v="11"/>
    <n v="3"/>
    <n v="4"/>
    <n v="80"/>
    <n v="1"/>
    <n v="14"/>
    <x v="1"/>
    <n v="4"/>
    <s v="10-14 Years"/>
    <x v="0"/>
    <s v="10-14 Years"/>
    <x v="1"/>
    <s v="10-14 Years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n v="13570"/>
    <x v="2"/>
    <s v="High Income"/>
    <s v="High Income"/>
    <s v="High Income"/>
    <n v="5640"/>
    <n v="0"/>
    <s v="Y"/>
    <x v="1"/>
    <n v="23"/>
    <n v="4"/>
    <n v="3"/>
    <n v="80"/>
    <n v="1"/>
    <n v="21"/>
    <x v="4"/>
    <n v="3"/>
    <s v="15-24 Years"/>
    <x v="1"/>
    <s v="15-24 Years"/>
    <x v="23"/>
    <s v="15-24 Years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n v="6712"/>
    <x v="0"/>
    <s v="Medium Income"/>
    <s v="Medium Income"/>
    <s v="Medium Income"/>
    <n v="8978"/>
    <n v="1"/>
    <s v="Y"/>
    <x v="1"/>
    <n v="21"/>
    <n v="4"/>
    <n v="4"/>
    <n v="80"/>
    <n v="2"/>
    <n v="8"/>
    <x v="0"/>
    <n v="2"/>
    <s v="5-9 Years"/>
    <x v="1"/>
    <s v="5-9 Years"/>
    <x v="3"/>
    <s v="5-9 Years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n v="5406"/>
    <x v="0"/>
    <s v="Medium Income"/>
    <s v="Medium Income"/>
    <s v="Medium Income"/>
    <n v="10436"/>
    <n v="1"/>
    <s v="Y"/>
    <x v="1"/>
    <n v="24"/>
    <n v="4"/>
    <n v="1"/>
    <n v="80"/>
    <n v="1"/>
    <n v="15"/>
    <x v="4"/>
    <n v="4"/>
    <s v="15-24 Years"/>
    <x v="2"/>
    <s v="15-24 Years"/>
    <x v="15"/>
    <s v="15-24 Years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n v="8938"/>
    <x v="0"/>
    <s v="Medium Income"/>
    <s v="Medium Income"/>
    <s v="Medium Income"/>
    <n v="12227"/>
    <n v="2"/>
    <s v="Y"/>
    <x v="1"/>
    <n v="11"/>
    <n v="3"/>
    <n v="3"/>
    <n v="80"/>
    <n v="1"/>
    <n v="14"/>
    <x v="0"/>
    <n v="5"/>
    <s v="5-9 Years"/>
    <x v="1"/>
    <s v="5-9 Years"/>
    <x v="8"/>
    <s v="5-9 Years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n v="2439"/>
    <x v="1"/>
    <s v="Low Income"/>
    <s v="Low Income"/>
    <s v="Low Income"/>
    <n v="11288"/>
    <n v="1"/>
    <s v="Y"/>
    <x v="1"/>
    <n v="14"/>
    <n v="3"/>
    <n v="4"/>
    <n v="80"/>
    <n v="0"/>
    <n v="4"/>
    <x v="2"/>
    <n v="4"/>
    <s v="0-4 Years"/>
    <x v="1"/>
    <s v="0-4 Years"/>
    <x v="9"/>
    <s v="0-4 Years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n v="8837"/>
    <x v="0"/>
    <s v="Medium Income"/>
    <s v="Medium Income"/>
    <s v="Medium Income"/>
    <n v="16642"/>
    <n v="1"/>
    <s v="Y"/>
    <x v="0"/>
    <n v="16"/>
    <n v="3"/>
    <n v="3"/>
    <n v="80"/>
    <n v="0"/>
    <n v="9"/>
    <x v="0"/>
    <n v="2"/>
    <s v="5-9 Years"/>
    <x v="1"/>
    <s v="5-9 Years"/>
    <x v="7"/>
    <s v="5-9 Years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n v="5343"/>
    <x v="0"/>
    <s v="Medium Income"/>
    <s v="Medium Income"/>
    <s v="Medium Income"/>
    <n v="5982"/>
    <n v="1"/>
    <s v="Y"/>
    <x v="1"/>
    <n v="11"/>
    <n v="3"/>
    <n v="3"/>
    <n v="80"/>
    <n v="1"/>
    <n v="10"/>
    <x v="1"/>
    <n v="1"/>
    <s v="10-14 Years"/>
    <x v="1"/>
    <s v="10-14 Years"/>
    <x v="1"/>
    <s v="10-14 Years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n v="6728"/>
    <x v="0"/>
    <s v="Medium Income"/>
    <s v="Medium Income"/>
    <s v="Medium Income"/>
    <n v="14255"/>
    <n v="7"/>
    <s v="Y"/>
    <x v="1"/>
    <n v="12"/>
    <n v="3"/>
    <n v="4"/>
    <n v="80"/>
    <n v="2"/>
    <n v="12"/>
    <x v="0"/>
    <n v="3"/>
    <s v="5-9 Years"/>
    <x v="1"/>
    <s v="5-9 Years"/>
    <x v="0"/>
    <s v="5-9 Years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n v="6652"/>
    <x v="0"/>
    <s v="Medium Income"/>
    <s v="Medium Income"/>
    <s v="Medium Income"/>
    <n v="14369"/>
    <n v="4"/>
    <s v="Y"/>
    <x v="1"/>
    <n v="13"/>
    <n v="3"/>
    <n v="1"/>
    <n v="80"/>
    <n v="1"/>
    <n v="8"/>
    <x v="0"/>
    <n v="2"/>
    <s v="5-9 Years"/>
    <x v="2"/>
    <s v="5-9 Years"/>
    <x v="0"/>
    <s v="5-9 Years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n v="4850"/>
    <x v="1"/>
    <s v="Low Income"/>
    <s v="Low Income"/>
    <s v="Low Income"/>
    <n v="23333"/>
    <n v="8"/>
    <s v="Y"/>
    <x v="1"/>
    <n v="15"/>
    <n v="3"/>
    <n v="3"/>
    <n v="80"/>
    <n v="0"/>
    <n v="8"/>
    <x v="0"/>
    <n v="3"/>
    <s v="5-9 Years"/>
    <x v="1"/>
    <s v="5-9 Years"/>
    <x v="8"/>
    <s v="5-9 Years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n v="2809"/>
    <x v="1"/>
    <s v="Low Income"/>
    <s v="Low Income"/>
    <s v="Low Income"/>
    <n v="2725"/>
    <n v="2"/>
    <s v="Y"/>
    <x v="1"/>
    <n v="14"/>
    <n v="3"/>
    <n v="4"/>
    <n v="80"/>
    <n v="0"/>
    <n v="8"/>
    <x v="2"/>
    <n v="2"/>
    <s v="0-4 Years"/>
    <x v="1"/>
    <s v="0-4 Years"/>
    <x v="4"/>
    <s v="0-4 Years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n v="5689"/>
    <x v="0"/>
    <s v="Medium Income"/>
    <s v="Medium Income"/>
    <s v="Medium Income"/>
    <n v="24594"/>
    <n v="1"/>
    <s v="Y"/>
    <x v="0"/>
    <n v="14"/>
    <n v="3"/>
    <n v="4"/>
    <n v="80"/>
    <n v="2"/>
    <n v="10"/>
    <x v="1"/>
    <n v="2"/>
    <s v="10-14 Years"/>
    <x v="3"/>
    <s v="10-14 Years"/>
    <x v="1"/>
    <s v="10-14 Years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n v="2001"/>
    <x v="1"/>
    <s v="Low Income"/>
    <s v="Low Income"/>
    <s v="Low Income"/>
    <n v="12549"/>
    <n v="2"/>
    <s v="Y"/>
    <x v="1"/>
    <n v="14"/>
    <n v="3"/>
    <n v="2"/>
    <n v="80"/>
    <n v="3"/>
    <n v="20"/>
    <x v="0"/>
    <n v="2"/>
    <s v="5-9 Years"/>
    <x v="1"/>
    <s v="5-9 Years"/>
    <x v="8"/>
    <s v="5-9 Years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n v="2977"/>
    <x v="1"/>
    <s v="Low Income"/>
    <s v="Low Income"/>
    <s v="Low Income"/>
    <n v="8952"/>
    <n v="1"/>
    <s v="Y"/>
    <x v="1"/>
    <n v="12"/>
    <n v="3"/>
    <n v="4"/>
    <n v="80"/>
    <n v="1"/>
    <n v="4"/>
    <x v="2"/>
    <n v="5"/>
    <s v="0-4 Years"/>
    <x v="1"/>
    <s v="0-4 Years"/>
    <x v="9"/>
    <s v="0-4 Years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n v="4025"/>
    <x v="1"/>
    <s v="Low Income"/>
    <s v="Low Income"/>
    <s v="Low Income"/>
    <n v="23679"/>
    <n v="4"/>
    <s v="Y"/>
    <x v="0"/>
    <n v="13"/>
    <n v="3"/>
    <n v="1"/>
    <n v="80"/>
    <n v="1"/>
    <n v="10"/>
    <x v="2"/>
    <n v="2"/>
    <s v="0-4 Years"/>
    <x v="1"/>
    <s v="0-4 Years"/>
    <x v="9"/>
    <s v="0-4 Years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n v="3785"/>
    <x v="1"/>
    <s v="Low Income"/>
    <s v="Low Income"/>
    <s v="Low Income"/>
    <n v="8489"/>
    <n v="1"/>
    <s v="Y"/>
    <x v="1"/>
    <n v="14"/>
    <n v="3"/>
    <n v="2"/>
    <n v="80"/>
    <n v="0"/>
    <n v="5"/>
    <x v="0"/>
    <n v="3"/>
    <s v="5-9 Years"/>
    <x v="0"/>
    <s v="5-9 Years"/>
    <x v="8"/>
    <s v="5-9 Years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n v="10854"/>
    <x v="2"/>
    <s v="High Income"/>
    <s v="High Income"/>
    <s v="High Income"/>
    <n v="16586"/>
    <n v="4"/>
    <s v="Y"/>
    <x v="0"/>
    <n v="13"/>
    <n v="3"/>
    <n v="2"/>
    <n v="80"/>
    <n v="1"/>
    <n v="20"/>
    <x v="2"/>
    <n v="3"/>
    <s v="0-4 Years"/>
    <x v="1"/>
    <s v="0-4 Years"/>
    <x v="11"/>
    <s v="0-4 Years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n v="12031"/>
    <x v="2"/>
    <s v="High Income"/>
    <s v="High Income"/>
    <s v="High Income"/>
    <n v="8828"/>
    <n v="0"/>
    <s v="Y"/>
    <x v="1"/>
    <n v="11"/>
    <n v="3"/>
    <n v="1"/>
    <n v="80"/>
    <n v="1"/>
    <n v="21"/>
    <x v="4"/>
    <n v="2"/>
    <s v="15-24 Years"/>
    <x v="2"/>
    <s v="15-24 Years"/>
    <x v="23"/>
    <s v="15-24 Years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x v="3"/>
    <s v="Single"/>
    <n v="9936"/>
    <x v="0"/>
    <s v="Medium Income"/>
    <s v="Medium Income"/>
    <s v="Medium Income"/>
    <n v="3787"/>
    <n v="0"/>
    <s v="Y"/>
    <x v="1"/>
    <n v="19"/>
    <n v="3"/>
    <n v="2"/>
    <n v="80"/>
    <n v="0"/>
    <n v="10"/>
    <x v="0"/>
    <n v="2"/>
    <s v="5-9 Years"/>
    <x v="1"/>
    <s v="5-9 Years"/>
    <x v="7"/>
    <s v="5-9 Years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n v="2966"/>
    <x v="1"/>
    <s v="Low Income"/>
    <s v="Low Income"/>
    <s v="Low Income"/>
    <n v="21378"/>
    <n v="0"/>
    <s v="Y"/>
    <x v="1"/>
    <n v="18"/>
    <n v="3"/>
    <n v="4"/>
    <n v="80"/>
    <n v="0"/>
    <n v="5"/>
    <x v="2"/>
    <n v="2"/>
    <s v="0-4 Years"/>
    <x v="1"/>
    <s v="0-4 Years"/>
    <x v="9"/>
    <s v="0-4 Years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n v="2571"/>
    <x v="1"/>
    <s v="Low Income"/>
    <s v="Low Income"/>
    <s v="Low Income"/>
    <n v="12290"/>
    <n v="4"/>
    <s v="Y"/>
    <x v="1"/>
    <n v="17"/>
    <n v="3"/>
    <n v="3"/>
    <n v="80"/>
    <n v="1"/>
    <n v="17"/>
    <x v="0"/>
    <n v="3"/>
    <s v="5-9 Years"/>
    <x v="1"/>
    <s v="5-9 Years"/>
    <x v="8"/>
    <s v="5-9 Years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n v="9991"/>
    <x v="0"/>
    <s v="Medium Income"/>
    <s v="Medium Income"/>
    <s v="Medium Income"/>
    <n v="21457"/>
    <n v="4"/>
    <s v="Y"/>
    <x v="1"/>
    <n v="15"/>
    <n v="3"/>
    <n v="1"/>
    <n v="80"/>
    <n v="1"/>
    <n v="9"/>
    <x v="0"/>
    <n v="5"/>
    <s v="5-9 Years"/>
    <x v="1"/>
    <s v="5-9 Years"/>
    <x v="5"/>
    <s v="5-9 Years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n v="6142"/>
    <x v="0"/>
    <s v="Medium Income"/>
    <s v="Medium Income"/>
    <s v="Medium Income"/>
    <n v="5174"/>
    <n v="1"/>
    <s v="Y"/>
    <x v="0"/>
    <n v="20"/>
    <n v="4"/>
    <n v="2"/>
    <n v="80"/>
    <n v="1"/>
    <n v="6"/>
    <x v="0"/>
    <n v="0"/>
    <s v="5-9 Years"/>
    <x v="1"/>
    <s v="5-9 Years"/>
    <x v="0"/>
    <s v="5-9 Years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n v="5390"/>
    <x v="0"/>
    <s v="Medium Income"/>
    <s v="Medium Income"/>
    <s v="Medium Income"/>
    <n v="13243"/>
    <n v="2"/>
    <s v="Y"/>
    <x v="1"/>
    <n v="14"/>
    <n v="3"/>
    <n v="4"/>
    <n v="80"/>
    <n v="0"/>
    <n v="17"/>
    <x v="0"/>
    <n v="3"/>
    <s v="5-9 Years"/>
    <x v="2"/>
    <s v="5-9 Years"/>
    <x v="7"/>
    <s v="5-9 Years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n v="4404"/>
    <x v="1"/>
    <s v="Low Income"/>
    <s v="Low Income"/>
    <s v="Low Income"/>
    <n v="10228"/>
    <n v="2"/>
    <s v="Y"/>
    <x v="1"/>
    <n v="12"/>
    <n v="3"/>
    <n v="1"/>
    <n v="80"/>
    <n v="0"/>
    <n v="6"/>
    <x v="2"/>
    <n v="3"/>
    <s v="0-4 Years"/>
    <x v="3"/>
    <s v="0-4 Years"/>
    <x v="9"/>
    <s v="0-4 Years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32422-96DE-4F34-94AB-DDCE48DB53D7}" name="PivotTable3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>
  <location ref="L7:N13" firstHeaderRow="1" firstDataRow="2" firstDataCol="1"/>
  <pivotFields count="43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Count of EmployeeNumber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AFC4B-68E1-4506-8967-7C81AAB63D38}" name="PivotTable4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>
  <location ref="P7:R9" firstHeaderRow="1" firstDataRow="2" firstDataCol="1"/>
  <pivotFields count="43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">
    <i>
      <x/>
    </i>
  </rowItems>
  <colFields count="1">
    <field x="1"/>
  </colFields>
  <colItems count="2">
    <i>
      <x/>
    </i>
    <i>
      <x v="1"/>
    </i>
  </colItems>
  <dataFields count="1">
    <dataField name="Count of EmployeeNumber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9C71C-F9E2-4775-842B-99613BFF1714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O24:Q29" firstHeaderRow="1" firstDataRow="2" firstDataCol="1"/>
  <pivotFields count="43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6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Count of EmployeeNumber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2A798-7884-4C97-BC72-828A5B7B179B}" name="PivotTable9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>
  <location ref="S14:U17" firstHeaderRow="1" firstDataRow="2" firstDataCol="1"/>
  <pivotFields count="43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2">
    <i>
      <x/>
    </i>
    <i>
      <x v="1"/>
    </i>
  </rowItems>
  <colFields count="1">
    <field x="1"/>
  </colFields>
  <colItems count="2">
    <i>
      <x/>
    </i>
    <i>
      <x v="1"/>
    </i>
  </colItems>
  <dataFields count="1">
    <dataField name="Count of EmployeeNumber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88548-F930-4477-AE17-8B7450257B7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7:H12" firstHeaderRow="1" firstDataRow="2" firstDataCol="1"/>
  <pivotFields count="43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Count of EmployeeNumber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3C4C1-99F6-45FA-9C45-BA9A1F40DE42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24:I28" firstHeaderRow="1" firstDataRow="2" firstDataCol="1"/>
  <pivotFields count="43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Count of EmployeeNumber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2BF8C-DFDD-4CA9-B89F-3A730D62CCA2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A12:C22" firstHeaderRow="1" firstDataRow="2" firstDataCol="1"/>
  <pivotFields count="43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2">
    <i>
      <x/>
    </i>
    <i>
      <x v="1"/>
    </i>
  </colItems>
  <dataFields count="1">
    <dataField name="Count of EmployeeNumber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287D13-ED78-4D32-9F33-A2595E7E139A}" autoFormatId="16" applyNumberFormats="0" applyBorderFormats="0" applyFontFormats="0" applyPatternFormats="0" applyAlignmentFormats="0" applyWidthHeightFormats="0">
  <queryTableRefresh nextId="61">
    <queryTableFields count="4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37" dataBound="0" tableColumnId="37"/>
      <queryTableField id="38" name="Income group" tableColumnId="38"/>
      <queryTableField id="55" name="Income group4" tableColumnId="44"/>
      <queryTableField id="49" name="Income group3" tableColumnId="42"/>
      <queryTableField id="43" name="Income group2" tableColumnId="40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36" dataBound="0" tableColumnId="36"/>
      <queryTableField id="29" name="TotalWorkingYears" tableColumnId="29"/>
      <queryTableField id="39" name="Tenuregroup" tableColumnId="39"/>
      <queryTableField id="30" name="TrainingTimesLastYear" tableColumnId="30"/>
      <queryTableField id="56" name="Tenuregroup5" tableColumnId="45"/>
      <queryTableField id="31" name="WorkLifeBalance" tableColumnId="31"/>
      <queryTableField id="50" name="Tenuregroup4" tableColumnId="43"/>
      <queryTableField id="32" name="YearsAtCompany" tableColumnId="32"/>
      <queryTableField id="44" name="Tenuregroup3" tableColumnId="41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7D296-1B13-4224-9906-61F54555161A}" name="Employee_data" displayName="Employee_data" ref="A1:AS1471" tableType="queryTable" totalsRowShown="0">
  <autoFilter ref="A1:AS1471" xr:uid="{0FC7D296-1B13-4224-9906-61F54555161A}"/>
  <tableColumns count="45">
    <tableColumn id="1" xr3:uid="{1A3B8C8F-680A-4A46-97BC-3FDE82E9304A}" uniqueName="1" name="Age" queryTableFieldId="1"/>
    <tableColumn id="2" xr3:uid="{E000744C-4E8F-47F7-BB83-4BE23E00F014}" uniqueName="2" name="Attrition" queryTableFieldId="2"/>
    <tableColumn id="3" xr3:uid="{54C3B754-C8AC-4743-B576-494E2D4B1BB6}" uniqueName="3" name="BusinessTravel" queryTableFieldId="3"/>
    <tableColumn id="4" xr3:uid="{CF6D4376-4B10-4AF9-A437-DB21BCEE56A4}" uniqueName="4" name="DailyRate" queryTableFieldId="4"/>
    <tableColumn id="5" xr3:uid="{00F487AD-377F-4463-8880-318F8FDA0284}" uniqueName="5" name="Department" queryTableFieldId="5"/>
    <tableColumn id="6" xr3:uid="{58CC306F-FC72-4309-BB2F-5C6F5966D5A8}" uniqueName="6" name="DistanceFromHome" queryTableFieldId="6"/>
    <tableColumn id="7" xr3:uid="{C68A1EC8-6596-4138-B756-6CB82255FFF4}" uniqueName="7" name="Education" queryTableFieldId="7"/>
    <tableColumn id="8" xr3:uid="{127CB611-6D27-46F5-BFB9-176ED90286F5}" uniqueName="8" name="EducationField" queryTableFieldId="8"/>
    <tableColumn id="9" xr3:uid="{F269BFF2-DF05-440E-BB0F-2A6B93CD061E}" uniqueName="9" name="EmployeeCount" queryTableFieldId="9"/>
    <tableColumn id="10" xr3:uid="{9DBDD4FE-AC31-461C-A044-248AA1ECE12B}" uniqueName="10" name="EmployeeNumber" queryTableFieldId="10"/>
    <tableColumn id="11" xr3:uid="{63C653C8-C4B7-4CDF-BF24-8E701D69DD15}" uniqueName="11" name="EnvironmentSatisfaction" queryTableFieldId="11"/>
    <tableColumn id="12" xr3:uid="{73DD4471-B3FF-4BC2-A82D-27257FE1DF80}" uniqueName="12" name="Gender" queryTableFieldId="12"/>
    <tableColumn id="13" xr3:uid="{A2FBEFAC-514C-44C0-B38B-ADA6BC1A9118}" uniqueName="13" name="HourlyRate" queryTableFieldId="13"/>
    <tableColumn id="14" xr3:uid="{5A6D7D84-B86C-45BE-B241-C2FC3783F856}" uniqueName="14" name="JobInvolvement" queryTableFieldId="14"/>
    <tableColumn id="15" xr3:uid="{286C68BA-F27D-44AB-8DA9-50FE1676D140}" uniqueName="15" name="JobLevel" queryTableFieldId="15"/>
    <tableColumn id="16" xr3:uid="{994D6FA5-B10F-4B63-8093-7B97C9FFE222}" uniqueName="16" name="JobRole" queryTableFieldId="16"/>
    <tableColumn id="17" xr3:uid="{E93515DC-7069-4317-9B39-1BEB3159E272}" uniqueName="17" name="JobSatisfaction" queryTableFieldId="17"/>
    <tableColumn id="18" xr3:uid="{9AE36256-21DE-49C8-A07F-9E6559FA5326}" uniqueName="18" name="MaritalStatus" queryTableFieldId="18"/>
    <tableColumn id="19" xr3:uid="{6BFE3429-9AC0-422F-A1AD-030F3528B4A2}" uniqueName="19" name="MonthlyIncome" queryTableFieldId="19"/>
    <tableColumn id="37" xr3:uid="{1C05B287-D64B-4BF7-97A7-57E5CA06B6C4}" uniqueName="37" name="Income group" queryTableFieldId="37" dataDxfId="1">
      <calculatedColumnFormula>IF(Employee_data[[#This Row],[MonthlyIncome]]&lt;5000,"Low Income",
IF(Employee_data[[#This Row],[MonthlyIncome]]&lt;10000,"Medium Income","High Income"))</calculatedColumnFormula>
    </tableColumn>
    <tableColumn id="38" xr3:uid="{55ECA8EB-24BB-4D6C-8250-4128DDB09886}" uniqueName="38" name="Income group5" queryTableFieldId="38"/>
    <tableColumn id="44" xr3:uid="{43CFFB76-13B2-422D-957A-2E569F0F7A29}" uniqueName="44" name="Income group4" queryTableFieldId="55"/>
    <tableColumn id="42" xr3:uid="{C945BC53-844C-423D-900E-3118DBD684CF}" uniqueName="42" name="Income group3" queryTableFieldId="49"/>
    <tableColumn id="40" xr3:uid="{54EFE3E9-F196-446B-B588-D2ACB111B736}" uniqueName="40" name="Income group2" queryTableFieldId="43"/>
    <tableColumn id="20" xr3:uid="{3BBED2F2-733B-4C40-A483-F5A3F137B6FD}" uniqueName="20" name="MonthlyRate" queryTableFieldId="20"/>
    <tableColumn id="21" xr3:uid="{5A96073E-4863-4BF1-A82F-1355F5B2BA5F}" uniqueName="21" name="NumCompaniesWorked" queryTableFieldId="21"/>
    <tableColumn id="22" xr3:uid="{5D6217B1-C1DD-46CB-A0C1-D251079E1651}" uniqueName="22" name="Over18" queryTableFieldId="22"/>
    <tableColumn id="23" xr3:uid="{D21E7496-6B11-42C9-9489-BCCF7AC54E50}" uniqueName="23" name="OverTime" queryTableFieldId="23"/>
    <tableColumn id="24" xr3:uid="{5889B889-8007-433D-9CDA-32E5AE7FA080}" uniqueName="24" name="PercentSalaryHike" queryTableFieldId="24"/>
    <tableColumn id="25" xr3:uid="{75C609D1-5C36-4ACB-AD2C-8C4E767E1B30}" uniqueName="25" name="PerformanceRating" queryTableFieldId="25"/>
    <tableColumn id="26" xr3:uid="{DE4002CA-A29F-4449-AB8B-58CD9C0E7C73}" uniqueName="26" name="RelationshipSatisfaction" queryTableFieldId="26"/>
    <tableColumn id="27" xr3:uid="{D9B761BB-0931-4760-8681-A28852BC6E92}" uniqueName="27" name="StandardHours" queryTableFieldId="27"/>
    <tableColumn id="28" xr3:uid="{AEE336FB-B62F-4E87-9D7D-911BCFCEF8DA}" uniqueName="28" name="StockOptionLevel" queryTableFieldId="28"/>
    <tableColumn id="36" xr3:uid="{4A3C84B7-16D6-45FC-B09E-E8957D64578C}" uniqueName="36" name="Tenuregroup" queryTableFieldId="36" dataDxfId="0">
      <calculatedColumnFormula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calculatedColumnFormula>
    </tableColumn>
    <tableColumn id="29" xr3:uid="{A64B1C1A-577A-46B1-8DA2-99F0D3330D27}" uniqueName="29" name="TotalWorkingYears" queryTableFieldId="29"/>
    <tableColumn id="39" xr3:uid="{8D218A38-1B0A-413C-AE4F-21BBC7A23915}" uniqueName="39" name="Tenuregroup6" queryTableFieldId="39"/>
    <tableColumn id="30" xr3:uid="{629BA4CC-B8B7-47B6-8294-5F8785E72D21}" uniqueName="30" name="TrainingTimesLastYear" queryTableFieldId="30"/>
    <tableColumn id="45" xr3:uid="{F9615938-780B-447F-AED0-BC33BA5A0DC8}" uniqueName="45" name="Tenuregroup5" queryTableFieldId="56"/>
    <tableColumn id="31" xr3:uid="{8FB3576C-2012-4227-AB75-44C56AE29D56}" uniqueName="31" name="WorkLifeBalance" queryTableFieldId="31"/>
    <tableColumn id="43" xr3:uid="{8FD6671F-A94A-44D0-8260-8D8E8523F09D}" uniqueName="43" name="Tenuregroup4" queryTableFieldId="50"/>
    <tableColumn id="32" xr3:uid="{DC553C8C-97CA-4204-AFFB-CFC5500F1675}" uniqueName="32" name="YearsAtCompany" queryTableFieldId="32"/>
    <tableColumn id="41" xr3:uid="{023673F3-7DE8-45DF-B1E4-EB77142F7A56}" uniqueName="41" name="Tenuregroup3" queryTableFieldId="44"/>
    <tableColumn id="33" xr3:uid="{C4D9A20F-93B8-4CDB-A4AD-F723E2373C48}" uniqueName="33" name="YearsInCurrentRole" queryTableFieldId="33"/>
    <tableColumn id="34" xr3:uid="{B08F2A3F-D848-4240-BCAF-B221F2B45036}" uniqueName="34" name="YearsSinceLastPromotion" queryTableFieldId="34"/>
    <tableColumn id="35" xr3:uid="{EB1D3277-763F-4FC6-9D55-2990BAFA4D22}" uniqueName="35" name="YearsWithCurrManager" queryTableField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A18A-3A34-4543-B9D1-2EBA6316B3A9}">
  <dimension ref="A1:AS1471"/>
  <sheetViews>
    <sheetView topLeftCell="K1" workbookViewId="0">
      <selection activeCell="T8" sqref="T8"/>
    </sheetView>
  </sheetViews>
  <sheetFormatPr defaultRowHeight="14.4" x14ac:dyDescent="0.3"/>
  <cols>
    <col min="1" max="1" width="6.21875" bestFit="1" customWidth="1"/>
    <col min="2" max="2" width="10.109375" bestFit="1" customWidth="1"/>
    <col min="3" max="3" width="15.6640625" bestFit="1" customWidth="1"/>
    <col min="4" max="4" width="11.21875" bestFit="1" customWidth="1"/>
    <col min="5" max="5" width="21.44140625" bestFit="1" customWidth="1"/>
    <col min="6" max="6" width="20.109375" bestFit="1" customWidth="1"/>
    <col min="7" max="7" width="11.5546875" bestFit="1" customWidth="1"/>
    <col min="8" max="8" width="15.88671875" bestFit="1" customWidth="1"/>
    <col min="9" max="9" width="16.44140625" bestFit="1" customWidth="1"/>
    <col min="10" max="10" width="18.33203125" bestFit="1" customWidth="1"/>
    <col min="11" max="11" width="24" bestFit="1" customWidth="1"/>
    <col min="12" max="12" width="9.33203125" bestFit="1" customWidth="1"/>
    <col min="13" max="13" width="12.44140625" bestFit="1" customWidth="1"/>
    <col min="14" max="14" width="16.33203125" bestFit="1" customWidth="1"/>
    <col min="15" max="15" width="10.33203125" bestFit="1" customWidth="1"/>
    <col min="16" max="16" width="22.6640625" bestFit="1" customWidth="1"/>
    <col min="17" max="17" width="16.109375" bestFit="1" customWidth="1"/>
    <col min="18" max="18" width="14.44140625" bestFit="1" customWidth="1"/>
    <col min="19" max="19" width="16.109375" bestFit="1" customWidth="1"/>
    <col min="20" max="20" width="14.44140625" bestFit="1" customWidth="1"/>
    <col min="21" max="24" width="15.5546875" bestFit="1" customWidth="1"/>
    <col min="25" max="25" width="13.5546875" bestFit="1" customWidth="1"/>
    <col min="26" max="26" width="23.33203125" bestFit="1" customWidth="1"/>
    <col min="27" max="27" width="9.109375" bestFit="1" customWidth="1"/>
    <col min="28" max="28" width="11.21875" bestFit="1" customWidth="1"/>
    <col min="29" max="29" width="18.88671875" bestFit="1" customWidth="1"/>
    <col min="30" max="30" width="19.21875" bestFit="1" customWidth="1"/>
    <col min="31" max="31" width="24" bestFit="1" customWidth="1"/>
    <col min="32" max="32" width="15.88671875" bestFit="1" customWidth="1"/>
    <col min="33" max="33" width="18.109375" bestFit="1" customWidth="1"/>
    <col min="34" max="34" width="13.44140625" bestFit="1" customWidth="1"/>
    <col min="35" max="35" width="18.77734375" bestFit="1" customWidth="1"/>
    <col min="36" max="36" width="14.44140625" bestFit="1" customWidth="1"/>
    <col min="37" max="37" width="22.109375" bestFit="1" customWidth="1"/>
    <col min="38" max="38" width="14.44140625" bestFit="1" customWidth="1"/>
    <col min="39" max="39" width="17.33203125" bestFit="1" customWidth="1"/>
    <col min="40" max="40" width="14.44140625" bestFit="1" customWidth="1"/>
    <col min="41" max="41" width="17.5546875" bestFit="1" customWidth="1"/>
    <col min="42" max="42" width="14.44140625" bestFit="1" customWidth="1"/>
    <col min="43" max="43" width="19.44140625" bestFit="1" customWidth="1"/>
    <col min="44" max="44" width="24.88671875" bestFit="1" customWidth="1"/>
    <col min="45" max="45" width="22.44140625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89</v>
      </c>
      <c r="U1" t="s">
        <v>106</v>
      </c>
      <c r="V1" t="s">
        <v>104</v>
      </c>
      <c r="W1" t="s">
        <v>102</v>
      </c>
      <c r="X1" t="s">
        <v>99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73</v>
      </c>
      <c r="AI1" t="s">
        <v>28</v>
      </c>
      <c r="AJ1" t="s">
        <v>107</v>
      </c>
      <c r="AK1" t="s">
        <v>29</v>
      </c>
      <c r="AL1" t="s">
        <v>105</v>
      </c>
      <c r="AM1" t="s">
        <v>30</v>
      </c>
      <c r="AN1" t="s">
        <v>103</v>
      </c>
      <c r="AO1" t="s">
        <v>31</v>
      </c>
      <c r="AP1" t="s">
        <v>100</v>
      </c>
      <c r="AQ1" t="s">
        <v>32</v>
      </c>
      <c r="AR1" t="s">
        <v>33</v>
      </c>
      <c r="AS1" t="s">
        <v>34</v>
      </c>
    </row>
    <row r="2" spans="1:4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 t="str">
        <f>IF(Employee_data[[#This Row],[MonthlyIncome]]&lt;5000,"Low Income",
IF(Employee_data[[#This Row],[MonthlyIncome]]&lt;10000,"Medium Income","High Income"))</f>
        <v>Medium Income</v>
      </c>
      <c r="U2" t="s">
        <v>92</v>
      </c>
      <c r="V2" t="s">
        <v>92</v>
      </c>
      <c r="W2" t="s">
        <v>92</v>
      </c>
      <c r="X2" t="s">
        <v>92</v>
      </c>
      <c r="Y2">
        <v>19479</v>
      </c>
      <c r="Z2">
        <v>8</v>
      </c>
      <c r="AA2" t="s">
        <v>42</v>
      </c>
      <c r="AB2" t="s">
        <v>35</v>
      </c>
      <c r="AC2">
        <v>11</v>
      </c>
      <c r="AD2">
        <v>3</v>
      </c>
      <c r="AE2">
        <v>1</v>
      </c>
      <c r="AF2">
        <v>80</v>
      </c>
      <c r="AG2">
        <v>0</v>
      </c>
      <c r="AH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">
        <v>8</v>
      </c>
      <c r="AJ2" t="s">
        <v>78</v>
      </c>
      <c r="AK2">
        <v>0</v>
      </c>
      <c r="AL2" t="s">
        <v>78</v>
      </c>
      <c r="AM2">
        <v>1</v>
      </c>
      <c r="AN2" t="s">
        <v>78</v>
      </c>
      <c r="AO2">
        <v>6</v>
      </c>
      <c r="AP2" t="s">
        <v>78</v>
      </c>
      <c r="AQ2">
        <v>4</v>
      </c>
      <c r="AR2">
        <v>0</v>
      </c>
      <c r="AS2">
        <v>5</v>
      </c>
    </row>
    <row r="3" spans="1:4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 t="str">
        <f>IF(Employee_data[[#This Row],[MonthlyIncome]]&lt;5000,"Low Income",
IF(Employee_data[[#This Row],[MonthlyIncome]]&lt;10000,"Medium Income","High Income"))</f>
        <v>Medium Income</v>
      </c>
      <c r="U3" t="s">
        <v>92</v>
      </c>
      <c r="V3" t="s">
        <v>92</v>
      </c>
      <c r="W3" t="s">
        <v>92</v>
      </c>
      <c r="X3" t="s">
        <v>92</v>
      </c>
      <c r="Y3">
        <v>24907</v>
      </c>
      <c r="Z3">
        <v>1</v>
      </c>
      <c r="AA3" t="s">
        <v>42</v>
      </c>
      <c r="AB3" t="s">
        <v>43</v>
      </c>
      <c r="AC3">
        <v>23</v>
      </c>
      <c r="AD3">
        <v>4</v>
      </c>
      <c r="AE3">
        <v>4</v>
      </c>
      <c r="AF3">
        <v>80</v>
      </c>
      <c r="AG3">
        <v>1</v>
      </c>
      <c r="AH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">
        <v>10</v>
      </c>
      <c r="AJ3" t="s">
        <v>75</v>
      </c>
      <c r="AK3">
        <v>3</v>
      </c>
      <c r="AL3" t="s">
        <v>75</v>
      </c>
      <c r="AM3">
        <v>3</v>
      </c>
      <c r="AN3" t="s">
        <v>75</v>
      </c>
      <c r="AO3">
        <v>10</v>
      </c>
      <c r="AP3" t="s">
        <v>75</v>
      </c>
      <c r="AQ3">
        <v>7</v>
      </c>
      <c r="AR3">
        <v>1</v>
      </c>
      <c r="AS3">
        <v>7</v>
      </c>
    </row>
    <row r="4" spans="1:4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 t="str">
        <f>IF(Employee_data[[#This Row],[MonthlyIncome]]&lt;5000,"Low Income",
IF(Employee_data[[#This Row],[MonthlyIncome]]&lt;10000,"Medium Income","High Income"))</f>
        <v>Low Income</v>
      </c>
      <c r="U4" t="s">
        <v>91</v>
      </c>
      <c r="V4" t="s">
        <v>91</v>
      </c>
      <c r="W4" t="s">
        <v>91</v>
      </c>
      <c r="X4" t="s">
        <v>91</v>
      </c>
      <c r="Y4">
        <v>2396</v>
      </c>
      <c r="Z4">
        <v>6</v>
      </c>
      <c r="AA4" t="s">
        <v>42</v>
      </c>
      <c r="AB4" t="s">
        <v>35</v>
      </c>
      <c r="AC4">
        <v>15</v>
      </c>
      <c r="AD4">
        <v>3</v>
      </c>
      <c r="AE4">
        <v>2</v>
      </c>
      <c r="AF4">
        <v>80</v>
      </c>
      <c r="AG4">
        <v>0</v>
      </c>
      <c r="AH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">
        <v>7</v>
      </c>
      <c r="AJ4" t="s">
        <v>74</v>
      </c>
      <c r="AK4">
        <v>3</v>
      </c>
      <c r="AL4" t="s">
        <v>74</v>
      </c>
      <c r="AM4">
        <v>3</v>
      </c>
      <c r="AN4" t="s">
        <v>74</v>
      </c>
      <c r="AO4">
        <v>0</v>
      </c>
      <c r="AP4" t="s">
        <v>74</v>
      </c>
      <c r="AQ4">
        <v>0</v>
      </c>
      <c r="AR4">
        <v>0</v>
      </c>
      <c r="AS4">
        <v>0</v>
      </c>
    </row>
    <row r="5" spans="1:4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 t="str">
        <f>IF(Employee_data[[#This Row],[MonthlyIncome]]&lt;5000,"Low Income",
IF(Employee_data[[#This Row],[MonthlyIncome]]&lt;10000,"Medium Income","High Income"))</f>
        <v>Low Income</v>
      </c>
      <c r="U5" t="s">
        <v>91</v>
      </c>
      <c r="V5" t="s">
        <v>91</v>
      </c>
      <c r="W5" t="s">
        <v>91</v>
      </c>
      <c r="X5" t="s">
        <v>91</v>
      </c>
      <c r="Y5">
        <v>23159</v>
      </c>
      <c r="Z5">
        <v>1</v>
      </c>
      <c r="AA5" t="s">
        <v>42</v>
      </c>
      <c r="AB5" t="s">
        <v>35</v>
      </c>
      <c r="AC5">
        <v>11</v>
      </c>
      <c r="AD5">
        <v>3</v>
      </c>
      <c r="AE5">
        <v>3</v>
      </c>
      <c r="AF5">
        <v>80</v>
      </c>
      <c r="AG5">
        <v>0</v>
      </c>
      <c r="AH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">
        <v>8</v>
      </c>
      <c r="AJ5" t="s">
        <v>78</v>
      </c>
      <c r="AK5">
        <v>3</v>
      </c>
      <c r="AL5" t="s">
        <v>78</v>
      </c>
      <c r="AM5">
        <v>3</v>
      </c>
      <c r="AN5" t="s">
        <v>78</v>
      </c>
      <c r="AO5">
        <v>8</v>
      </c>
      <c r="AP5" t="s">
        <v>78</v>
      </c>
      <c r="AQ5">
        <v>7</v>
      </c>
      <c r="AR5">
        <v>3</v>
      </c>
      <c r="AS5">
        <v>0</v>
      </c>
    </row>
    <row r="6" spans="1:4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 t="str">
        <f>IF(Employee_data[[#This Row],[MonthlyIncome]]&lt;5000,"Low Income",
IF(Employee_data[[#This Row],[MonthlyIncome]]&lt;10000,"Medium Income","High Income"))</f>
        <v>Low Income</v>
      </c>
      <c r="U6" t="s">
        <v>91</v>
      </c>
      <c r="V6" t="s">
        <v>91</v>
      </c>
      <c r="W6" t="s">
        <v>91</v>
      </c>
      <c r="X6" t="s">
        <v>91</v>
      </c>
      <c r="Y6">
        <v>16632</v>
      </c>
      <c r="Z6">
        <v>9</v>
      </c>
      <c r="AA6" t="s">
        <v>42</v>
      </c>
      <c r="AB6" t="s">
        <v>43</v>
      </c>
      <c r="AC6">
        <v>12</v>
      </c>
      <c r="AD6">
        <v>3</v>
      </c>
      <c r="AE6">
        <v>4</v>
      </c>
      <c r="AF6">
        <v>80</v>
      </c>
      <c r="AG6">
        <v>1</v>
      </c>
      <c r="AH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">
        <v>6</v>
      </c>
      <c r="AJ6" t="s">
        <v>74</v>
      </c>
      <c r="AK6">
        <v>3</v>
      </c>
      <c r="AL6" t="s">
        <v>74</v>
      </c>
      <c r="AM6">
        <v>3</v>
      </c>
      <c r="AN6" t="s">
        <v>74</v>
      </c>
      <c r="AO6">
        <v>2</v>
      </c>
      <c r="AP6" t="s">
        <v>74</v>
      </c>
      <c r="AQ6">
        <v>2</v>
      </c>
      <c r="AR6">
        <v>2</v>
      </c>
      <c r="AS6">
        <v>2</v>
      </c>
    </row>
    <row r="7" spans="1:4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 t="str">
        <f>IF(Employee_data[[#This Row],[MonthlyIncome]]&lt;5000,"Low Income",
IF(Employee_data[[#This Row],[MonthlyIncome]]&lt;10000,"Medium Income","High Income"))</f>
        <v>Low Income</v>
      </c>
      <c r="U7" t="s">
        <v>91</v>
      </c>
      <c r="V7" t="s">
        <v>91</v>
      </c>
      <c r="W7" t="s">
        <v>91</v>
      </c>
      <c r="X7" t="s">
        <v>91</v>
      </c>
      <c r="Y7">
        <v>11864</v>
      </c>
      <c r="Z7">
        <v>0</v>
      </c>
      <c r="AA7" t="s">
        <v>42</v>
      </c>
      <c r="AB7" t="s">
        <v>43</v>
      </c>
      <c r="AC7">
        <v>13</v>
      </c>
      <c r="AD7">
        <v>3</v>
      </c>
      <c r="AE7">
        <v>3</v>
      </c>
      <c r="AF7">
        <v>80</v>
      </c>
      <c r="AG7">
        <v>0</v>
      </c>
      <c r="AH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">
        <v>8</v>
      </c>
      <c r="AJ7" t="s">
        <v>78</v>
      </c>
      <c r="AK7">
        <v>2</v>
      </c>
      <c r="AL7" t="s">
        <v>78</v>
      </c>
      <c r="AM7">
        <v>2</v>
      </c>
      <c r="AN7" t="s">
        <v>78</v>
      </c>
      <c r="AO7">
        <v>7</v>
      </c>
      <c r="AP7" t="s">
        <v>78</v>
      </c>
      <c r="AQ7">
        <v>7</v>
      </c>
      <c r="AR7">
        <v>3</v>
      </c>
      <c r="AS7">
        <v>6</v>
      </c>
    </row>
    <row r="8" spans="1:4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 t="str">
        <f>IF(Employee_data[[#This Row],[MonthlyIncome]]&lt;5000,"Low Income",
IF(Employee_data[[#This Row],[MonthlyIncome]]&lt;10000,"Medium Income","High Income"))</f>
        <v>Low Income</v>
      </c>
      <c r="U8" t="s">
        <v>91</v>
      </c>
      <c r="V8" t="s">
        <v>91</v>
      </c>
      <c r="W8" t="s">
        <v>91</v>
      </c>
      <c r="X8" t="s">
        <v>91</v>
      </c>
      <c r="Y8">
        <v>9964</v>
      </c>
      <c r="Z8">
        <v>4</v>
      </c>
      <c r="AA8" t="s">
        <v>42</v>
      </c>
      <c r="AB8" t="s">
        <v>35</v>
      </c>
      <c r="AC8">
        <v>20</v>
      </c>
      <c r="AD8">
        <v>4</v>
      </c>
      <c r="AE8">
        <v>1</v>
      </c>
      <c r="AF8">
        <v>80</v>
      </c>
      <c r="AG8">
        <v>3</v>
      </c>
      <c r="AH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">
        <v>12</v>
      </c>
      <c r="AJ8" t="s">
        <v>74</v>
      </c>
      <c r="AK8">
        <v>3</v>
      </c>
      <c r="AL8" t="s">
        <v>74</v>
      </c>
      <c r="AM8">
        <v>2</v>
      </c>
      <c r="AN8" t="s">
        <v>74</v>
      </c>
      <c r="AO8">
        <v>1</v>
      </c>
      <c r="AP8" t="s">
        <v>74</v>
      </c>
      <c r="AQ8">
        <v>0</v>
      </c>
      <c r="AR8">
        <v>0</v>
      </c>
      <c r="AS8">
        <v>0</v>
      </c>
    </row>
    <row r="9" spans="1:4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 t="str">
        <f>IF(Employee_data[[#This Row],[MonthlyIncome]]&lt;5000,"Low Income",
IF(Employee_data[[#This Row],[MonthlyIncome]]&lt;10000,"Medium Income","High Income"))</f>
        <v>Low Income</v>
      </c>
      <c r="U9" t="s">
        <v>91</v>
      </c>
      <c r="V9" t="s">
        <v>91</v>
      </c>
      <c r="W9" t="s">
        <v>91</v>
      </c>
      <c r="X9" t="s">
        <v>91</v>
      </c>
      <c r="Y9">
        <v>13335</v>
      </c>
      <c r="Z9">
        <v>1</v>
      </c>
      <c r="AA9" t="s">
        <v>42</v>
      </c>
      <c r="AB9" t="s">
        <v>43</v>
      </c>
      <c r="AC9">
        <v>22</v>
      </c>
      <c r="AD9">
        <v>4</v>
      </c>
      <c r="AE9">
        <v>2</v>
      </c>
      <c r="AF9">
        <v>80</v>
      </c>
      <c r="AG9">
        <v>1</v>
      </c>
      <c r="AH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">
        <v>1</v>
      </c>
      <c r="AJ9" t="s">
        <v>74</v>
      </c>
      <c r="AK9">
        <v>2</v>
      </c>
      <c r="AL9" t="s">
        <v>74</v>
      </c>
      <c r="AM9">
        <v>3</v>
      </c>
      <c r="AN9" t="s">
        <v>74</v>
      </c>
      <c r="AO9">
        <v>1</v>
      </c>
      <c r="AP9" t="s">
        <v>74</v>
      </c>
      <c r="AQ9">
        <v>0</v>
      </c>
      <c r="AR9">
        <v>0</v>
      </c>
      <c r="AS9">
        <v>0</v>
      </c>
    </row>
    <row r="10" spans="1:4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 t="str">
        <f>IF(Employee_data[[#This Row],[MonthlyIncome]]&lt;5000,"Low Income",
IF(Employee_data[[#This Row],[MonthlyIncome]]&lt;10000,"Medium Income","High Income"))</f>
        <v>Medium Income</v>
      </c>
      <c r="U10" t="s">
        <v>92</v>
      </c>
      <c r="V10" t="s">
        <v>92</v>
      </c>
      <c r="W10" t="s">
        <v>92</v>
      </c>
      <c r="X10" t="s">
        <v>92</v>
      </c>
      <c r="Y10">
        <v>8787</v>
      </c>
      <c r="Z10">
        <v>0</v>
      </c>
      <c r="AA10" t="s">
        <v>42</v>
      </c>
      <c r="AB10" t="s">
        <v>43</v>
      </c>
      <c r="AC10">
        <v>21</v>
      </c>
      <c r="AD10">
        <v>4</v>
      </c>
      <c r="AE10">
        <v>2</v>
      </c>
      <c r="AF10">
        <v>80</v>
      </c>
      <c r="AG10">
        <v>0</v>
      </c>
      <c r="AH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">
        <v>10</v>
      </c>
      <c r="AJ10" t="s">
        <v>78</v>
      </c>
      <c r="AK10">
        <v>2</v>
      </c>
      <c r="AL10" t="s">
        <v>78</v>
      </c>
      <c r="AM10">
        <v>3</v>
      </c>
      <c r="AN10" t="s">
        <v>78</v>
      </c>
      <c r="AO10">
        <v>9</v>
      </c>
      <c r="AP10" t="s">
        <v>78</v>
      </c>
      <c r="AQ10">
        <v>7</v>
      </c>
      <c r="AR10">
        <v>1</v>
      </c>
      <c r="AS10">
        <v>8</v>
      </c>
    </row>
    <row r="11" spans="1:4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 t="str">
        <f>IF(Employee_data[[#This Row],[MonthlyIncome]]&lt;5000,"Low Income",
IF(Employee_data[[#This Row],[MonthlyIncome]]&lt;10000,"Medium Income","High Income"))</f>
        <v>Medium Income</v>
      </c>
      <c r="U11" t="s">
        <v>92</v>
      </c>
      <c r="V11" t="s">
        <v>92</v>
      </c>
      <c r="W11" t="s">
        <v>92</v>
      </c>
      <c r="X11" t="s">
        <v>92</v>
      </c>
      <c r="Y11">
        <v>16577</v>
      </c>
      <c r="Z11">
        <v>6</v>
      </c>
      <c r="AA11" t="s">
        <v>42</v>
      </c>
      <c r="AB11" t="s">
        <v>43</v>
      </c>
      <c r="AC11">
        <v>13</v>
      </c>
      <c r="AD11">
        <v>3</v>
      </c>
      <c r="AE11">
        <v>2</v>
      </c>
      <c r="AF11">
        <v>80</v>
      </c>
      <c r="AG11">
        <v>2</v>
      </c>
      <c r="AH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">
        <v>17</v>
      </c>
      <c r="AJ11" t="s">
        <v>78</v>
      </c>
      <c r="AK11">
        <v>3</v>
      </c>
      <c r="AL11" t="s">
        <v>78</v>
      </c>
      <c r="AM11">
        <v>2</v>
      </c>
      <c r="AN11" t="s">
        <v>78</v>
      </c>
      <c r="AO11">
        <v>7</v>
      </c>
      <c r="AP11" t="s">
        <v>78</v>
      </c>
      <c r="AQ11">
        <v>7</v>
      </c>
      <c r="AR11">
        <v>7</v>
      </c>
      <c r="AS11">
        <v>7</v>
      </c>
    </row>
    <row r="12" spans="1:4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 t="str">
        <f>IF(Employee_data[[#This Row],[MonthlyIncome]]&lt;5000,"Low Income",
IF(Employee_data[[#This Row],[MonthlyIncome]]&lt;10000,"Medium Income","High Income"))</f>
        <v>Low Income</v>
      </c>
      <c r="U12" t="s">
        <v>91</v>
      </c>
      <c r="V12" t="s">
        <v>91</v>
      </c>
      <c r="W12" t="s">
        <v>91</v>
      </c>
      <c r="X12" t="s">
        <v>91</v>
      </c>
      <c r="Y12">
        <v>16479</v>
      </c>
      <c r="Z12">
        <v>0</v>
      </c>
      <c r="AA12" t="s">
        <v>42</v>
      </c>
      <c r="AB12" t="s">
        <v>43</v>
      </c>
      <c r="AC12">
        <v>13</v>
      </c>
      <c r="AD12">
        <v>3</v>
      </c>
      <c r="AE12">
        <v>3</v>
      </c>
      <c r="AF12">
        <v>80</v>
      </c>
      <c r="AG12">
        <v>1</v>
      </c>
      <c r="AH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">
        <v>6</v>
      </c>
      <c r="AJ12" t="s">
        <v>78</v>
      </c>
      <c r="AK12">
        <v>5</v>
      </c>
      <c r="AL12" t="s">
        <v>78</v>
      </c>
      <c r="AM12">
        <v>3</v>
      </c>
      <c r="AN12" t="s">
        <v>78</v>
      </c>
      <c r="AO12">
        <v>5</v>
      </c>
      <c r="AP12" t="s">
        <v>78</v>
      </c>
      <c r="AQ12">
        <v>4</v>
      </c>
      <c r="AR12">
        <v>0</v>
      </c>
      <c r="AS12">
        <v>3</v>
      </c>
    </row>
    <row r="13" spans="1:4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 t="str">
        <f>IF(Employee_data[[#This Row],[MonthlyIncome]]&lt;5000,"Low Income",
IF(Employee_data[[#This Row],[MonthlyIncome]]&lt;10000,"Medium Income","High Income"))</f>
        <v>Low Income</v>
      </c>
      <c r="U13" t="s">
        <v>91</v>
      </c>
      <c r="V13" t="s">
        <v>91</v>
      </c>
      <c r="W13" t="s">
        <v>91</v>
      </c>
      <c r="X13" t="s">
        <v>91</v>
      </c>
      <c r="Y13">
        <v>12682</v>
      </c>
      <c r="Z13">
        <v>0</v>
      </c>
      <c r="AA13" t="s">
        <v>42</v>
      </c>
      <c r="AB13" t="s">
        <v>35</v>
      </c>
      <c r="AC13">
        <v>12</v>
      </c>
      <c r="AD13">
        <v>3</v>
      </c>
      <c r="AE13">
        <v>4</v>
      </c>
      <c r="AF13">
        <v>80</v>
      </c>
      <c r="AG13">
        <v>0</v>
      </c>
      <c r="AH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">
        <v>10</v>
      </c>
      <c r="AJ13" t="s">
        <v>78</v>
      </c>
      <c r="AK13">
        <v>3</v>
      </c>
      <c r="AL13" t="s">
        <v>78</v>
      </c>
      <c r="AM13">
        <v>3</v>
      </c>
      <c r="AN13" t="s">
        <v>78</v>
      </c>
      <c r="AO13">
        <v>9</v>
      </c>
      <c r="AP13" t="s">
        <v>78</v>
      </c>
      <c r="AQ13">
        <v>5</v>
      </c>
      <c r="AR13">
        <v>0</v>
      </c>
      <c r="AS13">
        <v>8</v>
      </c>
    </row>
    <row r="14" spans="1:4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 t="str">
        <f>IF(Employee_data[[#This Row],[MonthlyIncome]]&lt;5000,"Low Income",
IF(Employee_data[[#This Row],[MonthlyIncome]]&lt;10000,"Medium Income","High Income"))</f>
        <v>Low Income</v>
      </c>
      <c r="U14" t="s">
        <v>91</v>
      </c>
      <c r="V14" t="s">
        <v>91</v>
      </c>
      <c r="W14" t="s">
        <v>91</v>
      </c>
      <c r="X14" t="s">
        <v>91</v>
      </c>
      <c r="Y14">
        <v>15170</v>
      </c>
      <c r="Z14">
        <v>1</v>
      </c>
      <c r="AA14" t="s">
        <v>42</v>
      </c>
      <c r="AB14" t="s">
        <v>43</v>
      </c>
      <c r="AC14">
        <v>17</v>
      </c>
      <c r="AD14">
        <v>3</v>
      </c>
      <c r="AE14">
        <v>4</v>
      </c>
      <c r="AF14">
        <v>80</v>
      </c>
      <c r="AG14">
        <v>1</v>
      </c>
      <c r="AH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">
        <v>5</v>
      </c>
      <c r="AJ14" t="s">
        <v>78</v>
      </c>
      <c r="AK14">
        <v>1</v>
      </c>
      <c r="AL14" t="s">
        <v>78</v>
      </c>
      <c r="AM14">
        <v>2</v>
      </c>
      <c r="AN14" t="s">
        <v>78</v>
      </c>
      <c r="AO14">
        <v>5</v>
      </c>
      <c r="AP14" t="s">
        <v>78</v>
      </c>
      <c r="AQ14">
        <v>2</v>
      </c>
      <c r="AR14">
        <v>4</v>
      </c>
      <c r="AS14">
        <v>3</v>
      </c>
    </row>
    <row r="15" spans="1:4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 t="str">
        <f>IF(Employee_data[[#This Row],[MonthlyIncome]]&lt;5000,"Low Income",
IF(Employee_data[[#This Row],[MonthlyIncome]]&lt;10000,"Medium Income","High Income"))</f>
        <v>Low Income</v>
      </c>
      <c r="U15" t="s">
        <v>91</v>
      </c>
      <c r="V15" t="s">
        <v>91</v>
      </c>
      <c r="W15" t="s">
        <v>91</v>
      </c>
      <c r="X15" t="s">
        <v>91</v>
      </c>
      <c r="Y15">
        <v>8758</v>
      </c>
      <c r="Z15">
        <v>0</v>
      </c>
      <c r="AA15" t="s">
        <v>42</v>
      </c>
      <c r="AB15" t="s">
        <v>43</v>
      </c>
      <c r="AC15">
        <v>11</v>
      </c>
      <c r="AD15">
        <v>3</v>
      </c>
      <c r="AE15">
        <v>3</v>
      </c>
      <c r="AF15">
        <v>80</v>
      </c>
      <c r="AG15">
        <v>1</v>
      </c>
      <c r="AH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5">
        <v>3</v>
      </c>
      <c r="AJ15" t="s">
        <v>74</v>
      </c>
      <c r="AK15">
        <v>2</v>
      </c>
      <c r="AL15" t="s">
        <v>74</v>
      </c>
      <c r="AM15">
        <v>3</v>
      </c>
      <c r="AN15" t="s">
        <v>74</v>
      </c>
      <c r="AO15">
        <v>2</v>
      </c>
      <c r="AP15" t="s">
        <v>74</v>
      </c>
      <c r="AQ15">
        <v>2</v>
      </c>
      <c r="AR15">
        <v>1</v>
      </c>
      <c r="AS15">
        <v>2</v>
      </c>
    </row>
    <row r="16" spans="1:4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 t="str">
        <f>IF(Employee_data[[#This Row],[MonthlyIncome]]&lt;5000,"Low Income",
IF(Employee_data[[#This Row],[MonthlyIncome]]&lt;10000,"Medium Income","High Income"))</f>
        <v>Low Income</v>
      </c>
      <c r="U16" t="s">
        <v>91</v>
      </c>
      <c r="V16" t="s">
        <v>91</v>
      </c>
      <c r="W16" t="s">
        <v>91</v>
      </c>
      <c r="X16" t="s">
        <v>91</v>
      </c>
      <c r="Y16">
        <v>12947</v>
      </c>
      <c r="Z16">
        <v>5</v>
      </c>
      <c r="AA16" t="s">
        <v>42</v>
      </c>
      <c r="AB16" t="s">
        <v>35</v>
      </c>
      <c r="AC16">
        <v>14</v>
      </c>
      <c r="AD16">
        <v>3</v>
      </c>
      <c r="AE16">
        <v>2</v>
      </c>
      <c r="AF16">
        <v>80</v>
      </c>
      <c r="AG16">
        <v>0</v>
      </c>
      <c r="AH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6">
        <v>6</v>
      </c>
      <c r="AJ16" t="s">
        <v>74</v>
      </c>
      <c r="AK16">
        <v>4</v>
      </c>
      <c r="AL16" t="s">
        <v>74</v>
      </c>
      <c r="AM16">
        <v>3</v>
      </c>
      <c r="AN16" t="s">
        <v>74</v>
      </c>
      <c r="AO16">
        <v>4</v>
      </c>
      <c r="AP16" t="s">
        <v>74</v>
      </c>
      <c r="AQ16">
        <v>2</v>
      </c>
      <c r="AR16">
        <v>0</v>
      </c>
      <c r="AS16">
        <v>3</v>
      </c>
    </row>
    <row r="17" spans="1:4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 t="str">
        <f>IF(Employee_data[[#This Row],[MonthlyIncome]]&lt;5000,"Low Income",
IF(Employee_data[[#This Row],[MonthlyIncome]]&lt;10000,"Medium Income","High Income"))</f>
        <v>Medium Income</v>
      </c>
      <c r="U17" t="s">
        <v>92</v>
      </c>
      <c r="V17" t="s">
        <v>92</v>
      </c>
      <c r="W17" t="s">
        <v>92</v>
      </c>
      <c r="X17" t="s">
        <v>92</v>
      </c>
      <c r="Y17">
        <v>10195</v>
      </c>
      <c r="Z17">
        <v>1</v>
      </c>
      <c r="AA17" t="s">
        <v>42</v>
      </c>
      <c r="AB17" t="s">
        <v>43</v>
      </c>
      <c r="AC17">
        <v>11</v>
      </c>
      <c r="AD17">
        <v>3</v>
      </c>
      <c r="AE17">
        <v>3</v>
      </c>
      <c r="AF17">
        <v>80</v>
      </c>
      <c r="AG17">
        <v>1</v>
      </c>
      <c r="AH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7">
        <v>10</v>
      </c>
      <c r="AJ17" t="s">
        <v>75</v>
      </c>
      <c r="AK17">
        <v>1</v>
      </c>
      <c r="AL17" t="s">
        <v>75</v>
      </c>
      <c r="AM17">
        <v>3</v>
      </c>
      <c r="AN17" t="s">
        <v>75</v>
      </c>
      <c r="AO17">
        <v>10</v>
      </c>
      <c r="AP17" t="s">
        <v>75</v>
      </c>
      <c r="AQ17">
        <v>9</v>
      </c>
      <c r="AR17">
        <v>8</v>
      </c>
      <c r="AS17">
        <v>8</v>
      </c>
    </row>
    <row r="18" spans="1:4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 t="str">
        <f>IF(Employee_data[[#This Row],[MonthlyIncome]]&lt;5000,"Low Income",
IF(Employee_data[[#This Row],[MonthlyIncome]]&lt;10000,"Medium Income","High Income"))</f>
        <v>Low Income</v>
      </c>
      <c r="U18" t="s">
        <v>91</v>
      </c>
      <c r="V18" t="s">
        <v>91</v>
      </c>
      <c r="W18" t="s">
        <v>91</v>
      </c>
      <c r="X18" t="s">
        <v>91</v>
      </c>
      <c r="Y18">
        <v>15053</v>
      </c>
      <c r="Z18">
        <v>0</v>
      </c>
      <c r="AA18" t="s">
        <v>42</v>
      </c>
      <c r="AB18" t="s">
        <v>35</v>
      </c>
      <c r="AC18">
        <v>12</v>
      </c>
      <c r="AD18">
        <v>3</v>
      </c>
      <c r="AE18">
        <v>4</v>
      </c>
      <c r="AF18">
        <v>80</v>
      </c>
      <c r="AG18">
        <v>2</v>
      </c>
      <c r="AH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8">
        <v>7</v>
      </c>
      <c r="AJ18" t="s">
        <v>78</v>
      </c>
      <c r="AK18">
        <v>5</v>
      </c>
      <c r="AL18" t="s">
        <v>78</v>
      </c>
      <c r="AM18">
        <v>2</v>
      </c>
      <c r="AN18" t="s">
        <v>78</v>
      </c>
      <c r="AO18">
        <v>6</v>
      </c>
      <c r="AP18" t="s">
        <v>78</v>
      </c>
      <c r="AQ18">
        <v>2</v>
      </c>
      <c r="AR18">
        <v>0</v>
      </c>
      <c r="AS18">
        <v>5</v>
      </c>
    </row>
    <row r="19" spans="1:4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 t="str">
        <f>IF(Employee_data[[#This Row],[MonthlyIncome]]&lt;5000,"Low Income",
IF(Employee_data[[#This Row],[MonthlyIncome]]&lt;10000,"Medium Income","High Income"))</f>
        <v>Low Income</v>
      </c>
      <c r="U19" t="s">
        <v>91</v>
      </c>
      <c r="V19" t="s">
        <v>91</v>
      </c>
      <c r="W19" t="s">
        <v>91</v>
      </c>
      <c r="X19" t="s">
        <v>91</v>
      </c>
      <c r="Y19">
        <v>7324</v>
      </c>
      <c r="Z19">
        <v>1</v>
      </c>
      <c r="AA19" t="s">
        <v>42</v>
      </c>
      <c r="AB19" t="s">
        <v>35</v>
      </c>
      <c r="AC19">
        <v>13</v>
      </c>
      <c r="AD19">
        <v>3</v>
      </c>
      <c r="AE19">
        <v>2</v>
      </c>
      <c r="AF19">
        <v>80</v>
      </c>
      <c r="AG19">
        <v>2</v>
      </c>
      <c r="AH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9">
        <v>1</v>
      </c>
      <c r="AJ19" t="s">
        <v>74</v>
      </c>
      <c r="AK19">
        <v>2</v>
      </c>
      <c r="AL19" t="s">
        <v>74</v>
      </c>
      <c r="AM19">
        <v>2</v>
      </c>
      <c r="AN19" t="s">
        <v>74</v>
      </c>
      <c r="AO19">
        <v>1</v>
      </c>
      <c r="AP19" t="s">
        <v>74</v>
      </c>
      <c r="AQ19">
        <v>0</v>
      </c>
      <c r="AR19">
        <v>0</v>
      </c>
      <c r="AS19">
        <v>0</v>
      </c>
    </row>
    <row r="20" spans="1:4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 t="str">
        <f>IF(Employee_data[[#This Row],[MonthlyIncome]]&lt;5000,"Low Income",
IF(Employee_data[[#This Row],[MonthlyIncome]]&lt;10000,"Medium Income","High Income"))</f>
        <v>High Income</v>
      </c>
      <c r="U20" t="s">
        <v>90</v>
      </c>
      <c r="V20" t="s">
        <v>90</v>
      </c>
      <c r="W20" t="s">
        <v>90</v>
      </c>
      <c r="X20" t="s">
        <v>90</v>
      </c>
      <c r="Y20">
        <v>22021</v>
      </c>
      <c r="Z20">
        <v>2</v>
      </c>
      <c r="AA20" t="s">
        <v>42</v>
      </c>
      <c r="AB20" t="s">
        <v>43</v>
      </c>
      <c r="AC20">
        <v>16</v>
      </c>
      <c r="AD20">
        <v>3</v>
      </c>
      <c r="AE20">
        <v>3</v>
      </c>
      <c r="AF20">
        <v>80</v>
      </c>
      <c r="AG20">
        <v>0</v>
      </c>
      <c r="AH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20">
        <v>31</v>
      </c>
      <c r="AJ20" t="s">
        <v>77</v>
      </c>
      <c r="AK20">
        <v>3</v>
      </c>
      <c r="AL20" t="s">
        <v>77</v>
      </c>
      <c r="AM20">
        <v>3</v>
      </c>
      <c r="AN20" t="s">
        <v>77</v>
      </c>
      <c r="AO20">
        <v>25</v>
      </c>
      <c r="AP20" t="s">
        <v>77</v>
      </c>
      <c r="AQ20">
        <v>8</v>
      </c>
      <c r="AR20">
        <v>3</v>
      </c>
      <c r="AS20">
        <v>7</v>
      </c>
    </row>
    <row r="21" spans="1:4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 t="str">
        <f>IF(Employee_data[[#This Row],[MonthlyIncome]]&lt;5000,"Low Income",
IF(Employee_data[[#This Row],[MonthlyIncome]]&lt;10000,"Medium Income","High Income"))</f>
        <v>Low Income</v>
      </c>
      <c r="U21" t="s">
        <v>91</v>
      </c>
      <c r="V21" t="s">
        <v>91</v>
      </c>
      <c r="W21" t="s">
        <v>91</v>
      </c>
      <c r="X21" t="s">
        <v>91</v>
      </c>
      <c r="Y21">
        <v>4306</v>
      </c>
      <c r="Z21">
        <v>5</v>
      </c>
      <c r="AA21" t="s">
        <v>42</v>
      </c>
      <c r="AB21" t="s">
        <v>35</v>
      </c>
      <c r="AC21">
        <v>11</v>
      </c>
      <c r="AD21">
        <v>3</v>
      </c>
      <c r="AE21">
        <v>3</v>
      </c>
      <c r="AF21">
        <v>80</v>
      </c>
      <c r="AG21">
        <v>0</v>
      </c>
      <c r="AH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1">
        <v>6</v>
      </c>
      <c r="AJ21" t="s">
        <v>74</v>
      </c>
      <c r="AK21">
        <v>3</v>
      </c>
      <c r="AL21" t="s">
        <v>74</v>
      </c>
      <c r="AM21">
        <v>3</v>
      </c>
      <c r="AN21" t="s">
        <v>74</v>
      </c>
      <c r="AO21">
        <v>3</v>
      </c>
      <c r="AP21" t="s">
        <v>74</v>
      </c>
      <c r="AQ21">
        <v>2</v>
      </c>
      <c r="AR21">
        <v>1</v>
      </c>
      <c r="AS21">
        <v>2</v>
      </c>
    </row>
    <row r="22" spans="1:4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 t="str">
        <f>IF(Employee_data[[#This Row],[MonthlyIncome]]&lt;5000,"Low Income",
IF(Employee_data[[#This Row],[MonthlyIncome]]&lt;10000,"Medium Income","High Income"))</f>
        <v>Low Income</v>
      </c>
      <c r="U22" t="s">
        <v>91</v>
      </c>
      <c r="V22" t="s">
        <v>91</v>
      </c>
      <c r="W22" t="s">
        <v>91</v>
      </c>
      <c r="X22" t="s">
        <v>91</v>
      </c>
      <c r="Y22">
        <v>8232</v>
      </c>
      <c r="Z22">
        <v>0</v>
      </c>
      <c r="AA22" t="s">
        <v>42</v>
      </c>
      <c r="AB22" t="s">
        <v>43</v>
      </c>
      <c r="AC22">
        <v>18</v>
      </c>
      <c r="AD22">
        <v>3</v>
      </c>
      <c r="AE22">
        <v>4</v>
      </c>
      <c r="AF22">
        <v>80</v>
      </c>
      <c r="AG22">
        <v>1</v>
      </c>
      <c r="AH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2">
        <v>5</v>
      </c>
      <c r="AJ22" t="s">
        <v>74</v>
      </c>
      <c r="AK22">
        <v>5</v>
      </c>
      <c r="AL22" t="s">
        <v>74</v>
      </c>
      <c r="AM22">
        <v>2</v>
      </c>
      <c r="AN22" t="s">
        <v>74</v>
      </c>
      <c r="AO22">
        <v>4</v>
      </c>
      <c r="AP22" t="s">
        <v>74</v>
      </c>
      <c r="AQ22">
        <v>2</v>
      </c>
      <c r="AR22">
        <v>1</v>
      </c>
      <c r="AS22">
        <v>3</v>
      </c>
    </row>
    <row r="23" spans="1:4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 t="str">
        <f>IF(Employee_data[[#This Row],[MonthlyIncome]]&lt;5000,"Low Income",
IF(Employee_data[[#This Row],[MonthlyIncome]]&lt;10000,"Medium Income","High Income"))</f>
        <v>Low Income</v>
      </c>
      <c r="U23" t="s">
        <v>91</v>
      </c>
      <c r="V23" t="s">
        <v>91</v>
      </c>
      <c r="W23" t="s">
        <v>91</v>
      </c>
      <c r="X23" t="s">
        <v>91</v>
      </c>
      <c r="Y23">
        <v>6986</v>
      </c>
      <c r="Z23">
        <v>7</v>
      </c>
      <c r="AA23" t="s">
        <v>42</v>
      </c>
      <c r="AB23" t="s">
        <v>43</v>
      </c>
      <c r="AC23">
        <v>23</v>
      </c>
      <c r="AD23">
        <v>4</v>
      </c>
      <c r="AE23">
        <v>2</v>
      </c>
      <c r="AF23">
        <v>80</v>
      </c>
      <c r="AG23">
        <v>0</v>
      </c>
      <c r="AH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3">
        <v>10</v>
      </c>
      <c r="AJ23" t="s">
        <v>78</v>
      </c>
      <c r="AK23">
        <v>4</v>
      </c>
      <c r="AL23" t="s">
        <v>78</v>
      </c>
      <c r="AM23">
        <v>3</v>
      </c>
      <c r="AN23" t="s">
        <v>78</v>
      </c>
      <c r="AO23">
        <v>5</v>
      </c>
      <c r="AP23" t="s">
        <v>78</v>
      </c>
      <c r="AQ23">
        <v>3</v>
      </c>
      <c r="AR23">
        <v>0</v>
      </c>
      <c r="AS23">
        <v>3</v>
      </c>
    </row>
    <row r="24" spans="1:4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 t="str">
        <f>IF(Employee_data[[#This Row],[MonthlyIncome]]&lt;5000,"Low Income",
IF(Employee_data[[#This Row],[MonthlyIncome]]&lt;10000,"Medium Income","High Income"))</f>
        <v>High Income</v>
      </c>
      <c r="U24" t="s">
        <v>90</v>
      </c>
      <c r="V24" t="s">
        <v>90</v>
      </c>
      <c r="W24" t="s">
        <v>90</v>
      </c>
      <c r="X24" t="s">
        <v>90</v>
      </c>
      <c r="Y24">
        <v>21293</v>
      </c>
      <c r="Z24">
        <v>0</v>
      </c>
      <c r="AA24" t="s">
        <v>42</v>
      </c>
      <c r="AB24" t="s">
        <v>43</v>
      </c>
      <c r="AC24">
        <v>11</v>
      </c>
      <c r="AD24">
        <v>3</v>
      </c>
      <c r="AE24">
        <v>3</v>
      </c>
      <c r="AF24">
        <v>80</v>
      </c>
      <c r="AG24">
        <v>0</v>
      </c>
      <c r="AH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4">
        <v>13</v>
      </c>
      <c r="AJ24" t="s">
        <v>75</v>
      </c>
      <c r="AK24">
        <v>4</v>
      </c>
      <c r="AL24" t="s">
        <v>75</v>
      </c>
      <c r="AM24">
        <v>3</v>
      </c>
      <c r="AN24" t="s">
        <v>75</v>
      </c>
      <c r="AO24">
        <v>12</v>
      </c>
      <c r="AP24" t="s">
        <v>75</v>
      </c>
      <c r="AQ24">
        <v>6</v>
      </c>
      <c r="AR24">
        <v>2</v>
      </c>
      <c r="AS24">
        <v>11</v>
      </c>
    </row>
    <row r="25" spans="1:4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 t="str">
        <f>IF(Employee_data[[#This Row],[MonthlyIncome]]&lt;5000,"Low Income",
IF(Employee_data[[#This Row],[MonthlyIncome]]&lt;10000,"Medium Income","High Income"))</f>
        <v>Low Income</v>
      </c>
      <c r="U25" t="s">
        <v>91</v>
      </c>
      <c r="V25" t="s">
        <v>91</v>
      </c>
      <c r="W25" t="s">
        <v>91</v>
      </c>
      <c r="X25" t="s">
        <v>91</v>
      </c>
      <c r="Y25">
        <v>19281</v>
      </c>
      <c r="Z25">
        <v>1</v>
      </c>
      <c r="AA25" t="s">
        <v>42</v>
      </c>
      <c r="AB25" t="s">
        <v>43</v>
      </c>
      <c r="AC25">
        <v>14</v>
      </c>
      <c r="AD25">
        <v>3</v>
      </c>
      <c r="AE25">
        <v>4</v>
      </c>
      <c r="AF25">
        <v>80</v>
      </c>
      <c r="AG25">
        <v>0</v>
      </c>
      <c r="AH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5">
        <v>0</v>
      </c>
      <c r="AJ25" t="s">
        <v>74</v>
      </c>
      <c r="AK25">
        <v>6</v>
      </c>
      <c r="AL25" t="s">
        <v>74</v>
      </c>
      <c r="AM25">
        <v>3</v>
      </c>
      <c r="AN25" t="s">
        <v>74</v>
      </c>
      <c r="AO25">
        <v>0</v>
      </c>
      <c r="AP25" t="s">
        <v>74</v>
      </c>
      <c r="AQ25">
        <v>0</v>
      </c>
      <c r="AR25">
        <v>0</v>
      </c>
      <c r="AS25">
        <v>0</v>
      </c>
    </row>
    <row r="26" spans="1:4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 t="str">
        <f>IF(Employee_data[[#This Row],[MonthlyIncome]]&lt;5000,"Low Income",
IF(Employee_data[[#This Row],[MonthlyIncome]]&lt;10000,"Medium Income","High Income"))</f>
        <v>Low Income</v>
      </c>
      <c r="U26" t="s">
        <v>91</v>
      </c>
      <c r="V26" t="s">
        <v>91</v>
      </c>
      <c r="W26" t="s">
        <v>91</v>
      </c>
      <c r="X26" t="s">
        <v>91</v>
      </c>
      <c r="Y26">
        <v>17102</v>
      </c>
      <c r="Z26">
        <v>2</v>
      </c>
      <c r="AA26" t="s">
        <v>42</v>
      </c>
      <c r="AB26" t="s">
        <v>43</v>
      </c>
      <c r="AC26">
        <v>11</v>
      </c>
      <c r="AD26">
        <v>3</v>
      </c>
      <c r="AE26">
        <v>3</v>
      </c>
      <c r="AF26">
        <v>80</v>
      </c>
      <c r="AG26">
        <v>0</v>
      </c>
      <c r="AH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6">
        <v>8</v>
      </c>
      <c r="AJ26" t="s">
        <v>74</v>
      </c>
      <c r="AK26">
        <v>2</v>
      </c>
      <c r="AL26" t="s">
        <v>74</v>
      </c>
      <c r="AM26">
        <v>3</v>
      </c>
      <c r="AN26" t="s">
        <v>74</v>
      </c>
      <c r="AO26">
        <v>4</v>
      </c>
      <c r="AP26" t="s">
        <v>74</v>
      </c>
      <c r="AQ26">
        <v>2</v>
      </c>
      <c r="AR26">
        <v>1</v>
      </c>
      <c r="AS26">
        <v>3</v>
      </c>
    </row>
    <row r="27" spans="1:4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 t="str">
        <f>IF(Employee_data[[#This Row],[MonthlyIncome]]&lt;5000,"Low Income",
IF(Employee_data[[#This Row],[MonthlyIncome]]&lt;10000,"Medium Income","High Income"))</f>
        <v>High Income</v>
      </c>
      <c r="U27" t="s">
        <v>90</v>
      </c>
      <c r="V27" t="s">
        <v>90</v>
      </c>
      <c r="W27" t="s">
        <v>90</v>
      </c>
      <c r="X27" t="s">
        <v>90</v>
      </c>
      <c r="Y27">
        <v>10735</v>
      </c>
      <c r="Z27">
        <v>4</v>
      </c>
      <c r="AA27" t="s">
        <v>42</v>
      </c>
      <c r="AB27" t="s">
        <v>43</v>
      </c>
      <c r="AC27">
        <v>11</v>
      </c>
      <c r="AD27">
        <v>3</v>
      </c>
      <c r="AE27">
        <v>4</v>
      </c>
      <c r="AF27">
        <v>80</v>
      </c>
      <c r="AG27">
        <v>1</v>
      </c>
      <c r="AH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7">
        <v>26</v>
      </c>
      <c r="AJ27" t="s">
        <v>75</v>
      </c>
      <c r="AK27">
        <v>3</v>
      </c>
      <c r="AL27" t="s">
        <v>75</v>
      </c>
      <c r="AM27">
        <v>2</v>
      </c>
      <c r="AN27" t="s">
        <v>75</v>
      </c>
      <c r="AO27">
        <v>14</v>
      </c>
      <c r="AP27" t="s">
        <v>75</v>
      </c>
      <c r="AQ27">
        <v>13</v>
      </c>
      <c r="AR27">
        <v>4</v>
      </c>
      <c r="AS27">
        <v>8</v>
      </c>
    </row>
    <row r="28" spans="1:4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 t="str">
        <f>IF(Employee_data[[#This Row],[MonthlyIncome]]&lt;5000,"Low Income",
IF(Employee_data[[#This Row],[MonthlyIncome]]&lt;10000,"Medium Income","High Income"))</f>
        <v>Low Income</v>
      </c>
      <c r="U28" t="s">
        <v>91</v>
      </c>
      <c r="V28" t="s">
        <v>91</v>
      </c>
      <c r="W28" t="s">
        <v>91</v>
      </c>
      <c r="X28" t="s">
        <v>91</v>
      </c>
      <c r="Y28">
        <v>4681</v>
      </c>
      <c r="Z28">
        <v>1</v>
      </c>
      <c r="AA28" t="s">
        <v>42</v>
      </c>
      <c r="AB28" t="s">
        <v>35</v>
      </c>
      <c r="AC28">
        <v>22</v>
      </c>
      <c r="AD28">
        <v>4</v>
      </c>
      <c r="AE28">
        <v>2</v>
      </c>
      <c r="AF28">
        <v>80</v>
      </c>
      <c r="AG28">
        <v>0</v>
      </c>
      <c r="AH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8">
        <v>10</v>
      </c>
      <c r="AJ28" t="s">
        <v>75</v>
      </c>
      <c r="AK28">
        <v>5</v>
      </c>
      <c r="AL28" t="s">
        <v>75</v>
      </c>
      <c r="AM28">
        <v>3</v>
      </c>
      <c r="AN28" t="s">
        <v>75</v>
      </c>
      <c r="AO28">
        <v>10</v>
      </c>
      <c r="AP28" t="s">
        <v>75</v>
      </c>
      <c r="AQ28">
        <v>2</v>
      </c>
      <c r="AR28">
        <v>6</v>
      </c>
      <c r="AS28">
        <v>7</v>
      </c>
    </row>
    <row r="29" spans="1:4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 t="str">
        <f>IF(Employee_data[[#This Row],[MonthlyIncome]]&lt;5000,"Low Income",
IF(Employee_data[[#This Row],[MonthlyIncome]]&lt;10000,"Medium Income","High Income"))</f>
        <v>Medium Income</v>
      </c>
      <c r="U29" t="s">
        <v>92</v>
      </c>
      <c r="V29" t="s">
        <v>92</v>
      </c>
      <c r="W29" t="s">
        <v>92</v>
      </c>
      <c r="X29" t="s">
        <v>92</v>
      </c>
      <c r="Y29">
        <v>21173</v>
      </c>
      <c r="Z29">
        <v>0</v>
      </c>
      <c r="AA29" t="s">
        <v>42</v>
      </c>
      <c r="AB29" t="s">
        <v>43</v>
      </c>
      <c r="AC29">
        <v>11</v>
      </c>
      <c r="AD29">
        <v>3</v>
      </c>
      <c r="AE29">
        <v>4</v>
      </c>
      <c r="AF29">
        <v>80</v>
      </c>
      <c r="AG29">
        <v>1</v>
      </c>
      <c r="AH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9">
        <v>10</v>
      </c>
      <c r="AJ29" t="s">
        <v>78</v>
      </c>
      <c r="AK29">
        <v>2</v>
      </c>
      <c r="AL29" t="s">
        <v>78</v>
      </c>
      <c r="AM29">
        <v>3</v>
      </c>
      <c r="AN29" t="s">
        <v>78</v>
      </c>
      <c r="AO29">
        <v>9</v>
      </c>
      <c r="AP29" t="s">
        <v>78</v>
      </c>
      <c r="AQ29">
        <v>7</v>
      </c>
      <c r="AR29">
        <v>4</v>
      </c>
      <c r="AS29">
        <v>2</v>
      </c>
    </row>
    <row r="30" spans="1:4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 t="str">
        <f>IF(Employee_data[[#This Row],[MonthlyIncome]]&lt;5000,"Low Income",
IF(Employee_data[[#This Row],[MonthlyIncome]]&lt;10000,"Medium Income","High Income"))</f>
        <v>High Income</v>
      </c>
      <c r="U30" t="s">
        <v>90</v>
      </c>
      <c r="V30" t="s">
        <v>90</v>
      </c>
      <c r="W30" t="s">
        <v>90</v>
      </c>
      <c r="X30" t="s">
        <v>90</v>
      </c>
      <c r="Y30">
        <v>2094</v>
      </c>
      <c r="Z30">
        <v>3</v>
      </c>
      <c r="AA30" t="s">
        <v>42</v>
      </c>
      <c r="AB30" t="s">
        <v>43</v>
      </c>
      <c r="AC30">
        <v>14</v>
      </c>
      <c r="AD30">
        <v>3</v>
      </c>
      <c r="AE30">
        <v>4</v>
      </c>
      <c r="AF30">
        <v>80</v>
      </c>
      <c r="AG30">
        <v>1</v>
      </c>
      <c r="AH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30">
        <v>24</v>
      </c>
      <c r="AJ30" t="s">
        <v>76</v>
      </c>
      <c r="AK30">
        <v>4</v>
      </c>
      <c r="AL30" t="s">
        <v>76</v>
      </c>
      <c r="AM30">
        <v>3</v>
      </c>
      <c r="AN30" t="s">
        <v>76</v>
      </c>
      <c r="AO30">
        <v>22</v>
      </c>
      <c r="AP30" t="s">
        <v>76</v>
      </c>
      <c r="AQ30">
        <v>6</v>
      </c>
      <c r="AR30">
        <v>5</v>
      </c>
      <c r="AS30">
        <v>17</v>
      </c>
    </row>
    <row r="31" spans="1:4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 t="str">
        <f>IF(Employee_data[[#This Row],[MonthlyIncome]]&lt;5000,"Low Income",
IF(Employee_data[[#This Row],[MonthlyIncome]]&lt;10000,"Medium Income","High Income"))</f>
        <v>High Income</v>
      </c>
      <c r="U31" t="s">
        <v>90</v>
      </c>
      <c r="V31" t="s">
        <v>90</v>
      </c>
      <c r="W31" t="s">
        <v>90</v>
      </c>
      <c r="X31" t="s">
        <v>90</v>
      </c>
      <c r="Y31">
        <v>22822</v>
      </c>
      <c r="Z31">
        <v>3</v>
      </c>
      <c r="AA31" t="s">
        <v>42</v>
      </c>
      <c r="AB31" t="s">
        <v>43</v>
      </c>
      <c r="AC31">
        <v>12</v>
      </c>
      <c r="AD31">
        <v>3</v>
      </c>
      <c r="AE31">
        <v>4</v>
      </c>
      <c r="AF31">
        <v>80</v>
      </c>
      <c r="AG31">
        <v>0</v>
      </c>
      <c r="AH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1">
        <v>22</v>
      </c>
      <c r="AJ31" t="s">
        <v>74</v>
      </c>
      <c r="AK31">
        <v>2</v>
      </c>
      <c r="AL31" t="s">
        <v>74</v>
      </c>
      <c r="AM31">
        <v>2</v>
      </c>
      <c r="AN31" t="s">
        <v>74</v>
      </c>
      <c r="AO31">
        <v>2</v>
      </c>
      <c r="AP31" t="s">
        <v>74</v>
      </c>
      <c r="AQ31">
        <v>2</v>
      </c>
      <c r="AR31">
        <v>2</v>
      </c>
      <c r="AS31">
        <v>1</v>
      </c>
    </row>
    <row r="32" spans="1:4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 t="str">
        <f>IF(Employee_data[[#This Row],[MonthlyIncome]]&lt;5000,"Low Income",
IF(Employee_data[[#This Row],[MonthlyIncome]]&lt;10000,"Medium Income","High Income"))</f>
        <v>Low Income</v>
      </c>
      <c r="U32" t="s">
        <v>91</v>
      </c>
      <c r="V32" t="s">
        <v>91</v>
      </c>
      <c r="W32" t="s">
        <v>91</v>
      </c>
      <c r="X32" t="s">
        <v>91</v>
      </c>
      <c r="Y32">
        <v>6670</v>
      </c>
      <c r="Z32">
        <v>4</v>
      </c>
      <c r="AA32" t="s">
        <v>42</v>
      </c>
      <c r="AB32" t="s">
        <v>43</v>
      </c>
      <c r="AC32">
        <v>11</v>
      </c>
      <c r="AD32">
        <v>3</v>
      </c>
      <c r="AE32">
        <v>4</v>
      </c>
      <c r="AF32">
        <v>80</v>
      </c>
      <c r="AG32">
        <v>0</v>
      </c>
      <c r="AH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2">
        <v>7</v>
      </c>
      <c r="AJ32" t="s">
        <v>74</v>
      </c>
      <c r="AK32">
        <v>3</v>
      </c>
      <c r="AL32" t="s">
        <v>74</v>
      </c>
      <c r="AM32">
        <v>3</v>
      </c>
      <c r="AN32" t="s">
        <v>74</v>
      </c>
      <c r="AO32">
        <v>1</v>
      </c>
      <c r="AP32" t="s">
        <v>74</v>
      </c>
      <c r="AQ32">
        <v>1</v>
      </c>
      <c r="AR32">
        <v>0</v>
      </c>
      <c r="AS32">
        <v>0</v>
      </c>
    </row>
    <row r="33" spans="1:4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 t="str">
        <f>IF(Employee_data[[#This Row],[MonthlyIncome]]&lt;5000,"Low Income",
IF(Employee_data[[#This Row],[MonthlyIncome]]&lt;10000,"Medium Income","High Income"))</f>
        <v>Medium Income</v>
      </c>
      <c r="U33" t="s">
        <v>92</v>
      </c>
      <c r="V33" t="s">
        <v>92</v>
      </c>
      <c r="W33" t="s">
        <v>92</v>
      </c>
      <c r="X33" t="s">
        <v>92</v>
      </c>
      <c r="Y33">
        <v>19121</v>
      </c>
      <c r="Z33">
        <v>2</v>
      </c>
      <c r="AA33" t="s">
        <v>42</v>
      </c>
      <c r="AB33" t="s">
        <v>35</v>
      </c>
      <c r="AC33">
        <v>13</v>
      </c>
      <c r="AD33">
        <v>3</v>
      </c>
      <c r="AE33">
        <v>4</v>
      </c>
      <c r="AF33">
        <v>80</v>
      </c>
      <c r="AG33">
        <v>0</v>
      </c>
      <c r="AH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3">
        <v>9</v>
      </c>
      <c r="AJ33" t="s">
        <v>74</v>
      </c>
      <c r="AK33">
        <v>5</v>
      </c>
      <c r="AL33" t="s">
        <v>74</v>
      </c>
      <c r="AM33">
        <v>4</v>
      </c>
      <c r="AN33" t="s">
        <v>74</v>
      </c>
      <c r="AO33">
        <v>4</v>
      </c>
      <c r="AP33" t="s">
        <v>74</v>
      </c>
      <c r="AQ33">
        <v>2</v>
      </c>
      <c r="AR33">
        <v>1</v>
      </c>
      <c r="AS33">
        <v>3</v>
      </c>
    </row>
    <row r="34" spans="1:4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 t="str">
        <f>IF(Employee_data[[#This Row],[MonthlyIncome]]&lt;5000,"Low Income",
IF(Employee_data[[#This Row],[MonthlyIncome]]&lt;10000,"Medium Income","High Income"))</f>
        <v>Low Income</v>
      </c>
      <c r="U34" t="s">
        <v>91</v>
      </c>
      <c r="V34" t="s">
        <v>91</v>
      </c>
      <c r="W34" t="s">
        <v>91</v>
      </c>
      <c r="X34" t="s">
        <v>91</v>
      </c>
      <c r="Y34">
        <v>16117</v>
      </c>
      <c r="Z34">
        <v>1</v>
      </c>
      <c r="AA34" t="s">
        <v>42</v>
      </c>
      <c r="AB34" t="s">
        <v>43</v>
      </c>
      <c r="AC34">
        <v>13</v>
      </c>
      <c r="AD34">
        <v>3</v>
      </c>
      <c r="AE34">
        <v>1</v>
      </c>
      <c r="AF34">
        <v>80</v>
      </c>
      <c r="AG34">
        <v>0</v>
      </c>
      <c r="AH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4">
        <v>10</v>
      </c>
      <c r="AJ34" t="s">
        <v>75</v>
      </c>
      <c r="AK34">
        <v>5</v>
      </c>
      <c r="AL34" t="s">
        <v>75</v>
      </c>
      <c r="AM34">
        <v>3</v>
      </c>
      <c r="AN34" t="s">
        <v>75</v>
      </c>
      <c r="AO34">
        <v>10</v>
      </c>
      <c r="AP34" t="s">
        <v>75</v>
      </c>
      <c r="AQ34">
        <v>0</v>
      </c>
      <c r="AR34">
        <v>1</v>
      </c>
      <c r="AS34">
        <v>8</v>
      </c>
    </row>
    <row r="35" spans="1:4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 t="str">
        <f>IF(Employee_data[[#This Row],[MonthlyIncome]]&lt;5000,"Low Income",
IF(Employee_data[[#This Row],[MonthlyIncome]]&lt;10000,"Medium Income","High Income"))</f>
        <v>Low Income</v>
      </c>
      <c r="U35" t="s">
        <v>91</v>
      </c>
      <c r="V35" t="s">
        <v>91</v>
      </c>
      <c r="W35" t="s">
        <v>91</v>
      </c>
      <c r="X35" t="s">
        <v>91</v>
      </c>
      <c r="Y35">
        <v>3335</v>
      </c>
      <c r="Z35">
        <v>3</v>
      </c>
      <c r="AA35" t="s">
        <v>42</v>
      </c>
      <c r="AB35" t="s">
        <v>43</v>
      </c>
      <c r="AC35">
        <v>14</v>
      </c>
      <c r="AD35">
        <v>3</v>
      </c>
      <c r="AE35">
        <v>3</v>
      </c>
      <c r="AF35">
        <v>80</v>
      </c>
      <c r="AG35">
        <v>1</v>
      </c>
      <c r="AH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5">
        <v>19</v>
      </c>
      <c r="AJ35" t="s">
        <v>74</v>
      </c>
      <c r="AK35">
        <v>6</v>
      </c>
      <c r="AL35" t="s">
        <v>74</v>
      </c>
      <c r="AM35">
        <v>4</v>
      </c>
      <c r="AN35" t="s">
        <v>74</v>
      </c>
      <c r="AO35">
        <v>1</v>
      </c>
      <c r="AP35" t="s">
        <v>74</v>
      </c>
      <c r="AQ35">
        <v>0</v>
      </c>
      <c r="AR35">
        <v>0</v>
      </c>
      <c r="AS35">
        <v>0</v>
      </c>
    </row>
    <row r="36" spans="1:4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 t="str">
        <f>IF(Employee_data[[#This Row],[MonthlyIncome]]&lt;5000,"Low Income",
IF(Employee_data[[#This Row],[MonthlyIncome]]&lt;10000,"Medium Income","High Income"))</f>
        <v>Low Income</v>
      </c>
      <c r="U36" t="s">
        <v>91</v>
      </c>
      <c r="V36" t="s">
        <v>91</v>
      </c>
      <c r="W36" t="s">
        <v>91</v>
      </c>
      <c r="X36" t="s">
        <v>91</v>
      </c>
      <c r="Y36">
        <v>3020</v>
      </c>
      <c r="Z36">
        <v>2</v>
      </c>
      <c r="AA36" t="s">
        <v>42</v>
      </c>
      <c r="AB36" t="s">
        <v>35</v>
      </c>
      <c r="AC36">
        <v>16</v>
      </c>
      <c r="AD36">
        <v>3</v>
      </c>
      <c r="AE36">
        <v>1</v>
      </c>
      <c r="AF36">
        <v>80</v>
      </c>
      <c r="AG36">
        <v>1</v>
      </c>
      <c r="AH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6">
        <v>6</v>
      </c>
      <c r="AJ36" t="s">
        <v>74</v>
      </c>
      <c r="AK36">
        <v>2</v>
      </c>
      <c r="AL36" t="s">
        <v>74</v>
      </c>
      <c r="AM36">
        <v>2</v>
      </c>
      <c r="AN36" t="s">
        <v>74</v>
      </c>
      <c r="AO36">
        <v>2</v>
      </c>
      <c r="AP36" t="s">
        <v>74</v>
      </c>
      <c r="AQ36">
        <v>0</v>
      </c>
      <c r="AR36">
        <v>2</v>
      </c>
      <c r="AS36">
        <v>0</v>
      </c>
    </row>
    <row r="37" spans="1:4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 t="str">
        <f>IF(Employee_data[[#This Row],[MonthlyIncome]]&lt;5000,"Low Income",
IF(Employee_data[[#This Row],[MonthlyIncome]]&lt;10000,"Medium Income","High Income"))</f>
        <v>Low Income</v>
      </c>
      <c r="U37" t="s">
        <v>91</v>
      </c>
      <c r="V37" t="s">
        <v>91</v>
      </c>
      <c r="W37" t="s">
        <v>91</v>
      </c>
      <c r="X37" t="s">
        <v>91</v>
      </c>
      <c r="Y37">
        <v>21923</v>
      </c>
      <c r="Z37">
        <v>1</v>
      </c>
      <c r="AA37" t="s">
        <v>42</v>
      </c>
      <c r="AB37" t="s">
        <v>43</v>
      </c>
      <c r="AC37">
        <v>12</v>
      </c>
      <c r="AD37">
        <v>3</v>
      </c>
      <c r="AE37">
        <v>4</v>
      </c>
      <c r="AF37">
        <v>80</v>
      </c>
      <c r="AG37">
        <v>2</v>
      </c>
      <c r="AH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7">
        <v>6</v>
      </c>
      <c r="AJ37" t="s">
        <v>78</v>
      </c>
      <c r="AK37">
        <v>3</v>
      </c>
      <c r="AL37" t="s">
        <v>78</v>
      </c>
      <c r="AM37">
        <v>2</v>
      </c>
      <c r="AN37" t="s">
        <v>78</v>
      </c>
      <c r="AO37">
        <v>5</v>
      </c>
      <c r="AP37" t="s">
        <v>78</v>
      </c>
      <c r="AQ37">
        <v>3</v>
      </c>
      <c r="AR37">
        <v>1</v>
      </c>
      <c r="AS37">
        <v>4</v>
      </c>
    </row>
    <row r="38" spans="1:4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 t="str">
        <f>IF(Employee_data[[#This Row],[MonthlyIncome]]&lt;5000,"Low Income",
IF(Employee_data[[#This Row],[MonthlyIncome]]&lt;10000,"Medium Income","High Income"))</f>
        <v>Low Income</v>
      </c>
      <c r="U38" t="s">
        <v>91</v>
      </c>
      <c r="V38" t="s">
        <v>91</v>
      </c>
      <c r="W38" t="s">
        <v>91</v>
      </c>
      <c r="X38" t="s">
        <v>91</v>
      </c>
      <c r="Y38">
        <v>3810</v>
      </c>
      <c r="Z38">
        <v>1</v>
      </c>
      <c r="AA38" t="s">
        <v>42</v>
      </c>
      <c r="AB38" t="s">
        <v>35</v>
      </c>
      <c r="AC38">
        <v>14</v>
      </c>
      <c r="AD38">
        <v>3</v>
      </c>
      <c r="AE38">
        <v>3</v>
      </c>
      <c r="AF38">
        <v>80</v>
      </c>
      <c r="AG38">
        <v>0</v>
      </c>
      <c r="AH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8">
        <v>3</v>
      </c>
      <c r="AJ38" t="s">
        <v>74</v>
      </c>
      <c r="AK38">
        <v>2</v>
      </c>
      <c r="AL38" t="s">
        <v>74</v>
      </c>
      <c r="AM38">
        <v>3</v>
      </c>
      <c r="AN38" t="s">
        <v>74</v>
      </c>
      <c r="AO38">
        <v>3</v>
      </c>
      <c r="AP38" t="s">
        <v>74</v>
      </c>
      <c r="AQ38">
        <v>2</v>
      </c>
      <c r="AR38">
        <v>0</v>
      </c>
      <c r="AS38">
        <v>2</v>
      </c>
    </row>
    <row r="39" spans="1:4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 t="str">
        <f>IF(Employee_data[[#This Row],[MonthlyIncome]]&lt;5000,"Low Income",
IF(Employee_data[[#This Row],[MonthlyIncome]]&lt;10000,"Medium Income","High Income"))</f>
        <v>Low Income</v>
      </c>
      <c r="U39" t="s">
        <v>91</v>
      </c>
      <c r="V39" t="s">
        <v>91</v>
      </c>
      <c r="W39" t="s">
        <v>91</v>
      </c>
      <c r="X39" t="s">
        <v>91</v>
      </c>
      <c r="Y39">
        <v>9687</v>
      </c>
      <c r="Z39">
        <v>1</v>
      </c>
      <c r="AA39" t="s">
        <v>42</v>
      </c>
      <c r="AB39" t="s">
        <v>43</v>
      </c>
      <c r="AC39">
        <v>13</v>
      </c>
      <c r="AD39">
        <v>3</v>
      </c>
      <c r="AE39">
        <v>1</v>
      </c>
      <c r="AF39">
        <v>80</v>
      </c>
      <c r="AG39">
        <v>0</v>
      </c>
      <c r="AH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9">
        <v>2</v>
      </c>
      <c r="AJ39" t="s">
        <v>74</v>
      </c>
      <c r="AK39">
        <v>3</v>
      </c>
      <c r="AL39" t="s">
        <v>74</v>
      </c>
      <c r="AM39">
        <v>3</v>
      </c>
      <c r="AN39" t="s">
        <v>74</v>
      </c>
      <c r="AO39">
        <v>2</v>
      </c>
      <c r="AP39" t="s">
        <v>74</v>
      </c>
      <c r="AQ39">
        <v>2</v>
      </c>
      <c r="AR39">
        <v>2</v>
      </c>
      <c r="AS39">
        <v>2</v>
      </c>
    </row>
    <row r="40" spans="1:4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 t="str">
        <f>IF(Employee_data[[#This Row],[MonthlyIncome]]&lt;5000,"Low Income",
IF(Employee_data[[#This Row],[MonthlyIncome]]&lt;10000,"Medium Income","High Income"))</f>
        <v>Low Income</v>
      </c>
      <c r="U40" t="s">
        <v>91</v>
      </c>
      <c r="V40" t="s">
        <v>91</v>
      </c>
      <c r="W40" t="s">
        <v>91</v>
      </c>
      <c r="X40" t="s">
        <v>91</v>
      </c>
      <c r="Y40">
        <v>13072</v>
      </c>
      <c r="Z40">
        <v>9</v>
      </c>
      <c r="AA40" t="s">
        <v>42</v>
      </c>
      <c r="AB40" t="s">
        <v>35</v>
      </c>
      <c r="AC40">
        <v>14</v>
      </c>
      <c r="AD40">
        <v>3</v>
      </c>
      <c r="AE40">
        <v>4</v>
      </c>
      <c r="AF40">
        <v>80</v>
      </c>
      <c r="AG40">
        <v>1</v>
      </c>
      <c r="AH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0">
        <v>6</v>
      </c>
      <c r="AJ40" t="s">
        <v>74</v>
      </c>
      <c r="AK40">
        <v>3</v>
      </c>
      <c r="AL40" t="s">
        <v>74</v>
      </c>
      <c r="AM40">
        <v>4</v>
      </c>
      <c r="AN40" t="s">
        <v>74</v>
      </c>
      <c r="AO40">
        <v>1</v>
      </c>
      <c r="AP40" t="s">
        <v>74</v>
      </c>
      <c r="AQ40">
        <v>1</v>
      </c>
      <c r="AR40">
        <v>0</v>
      </c>
      <c r="AS40">
        <v>0</v>
      </c>
    </row>
    <row r="41" spans="1:4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 t="str">
        <f>IF(Employee_data[[#This Row],[MonthlyIncome]]&lt;5000,"Low Income",
IF(Employee_data[[#This Row],[MonthlyIncome]]&lt;10000,"Medium Income","High Income"))</f>
        <v>Medium Income</v>
      </c>
      <c r="U41" t="s">
        <v>92</v>
      </c>
      <c r="V41" t="s">
        <v>92</v>
      </c>
      <c r="W41" t="s">
        <v>92</v>
      </c>
      <c r="X41" t="s">
        <v>92</v>
      </c>
      <c r="Y41">
        <v>3193</v>
      </c>
      <c r="Z41">
        <v>2</v>
      </c>
      <c r="AA41" t="s">
        <v>42</v>
      </c>
      <c r="AB41" t="s">
        <v>43</v>
      </c>
      <c r="AC41">
        <v>19</v>
      </c>
      <c r="AD41">
        <v>3</v>
      </c>
      <c r="AE41">
        <v>1</v>
      </c>
      <c r="AF41">
        <v>80</v>
      </c>
      <c r="AG41">
        <v>2</v>
      </c>
      <c r="AH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1">
        <v>10</v>
      </c>
      <c r="AJ41" t="s">
        <v>78</v>
      </c>
      <c r="AK41">
        <v>3</v>
      </c>
      <c r="AL41" t="s">
        <v>78</v>
      </c>
      <c r="AM41">
        <v>3</v>
      </c>
      <c r="AN41" t="s">
        <v>78</v>
      </c>
      <c r="AO41">
        <v>5</v>
      </c>
      <c r="AP41" t="s">
        <v>78</v>
      </c>
      <c r="AQ41">
        <v>3</v>
      </c>
      <c r="AR41">
        <v>1</v>
      </c>
      <c r="AS41">
        <v>3</v>
      </c>
    </row>
    <row r="42" spans="1:4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 t="str">
        <f>IF(Employee_data[[#This Row],[MonthlyIncome]]&lt;5000,"Low Income",
IF(Employee_data[[#This Row],[MonthlyIncome]]&lt;10000,"Medium Income","High Income"))</f>
        <v>Low Income</v>
      </c>
      <c r="U42" t="s">
        <v>91</v>
      </c>
      <c r="V42" t="s">
        <v>91</v>
      </c>
      <c r="W42" t="s">
        <v>91</v>
      </c>
      <c r="X42" t="s">
        <v>91</v>
      </c>
      <c r="Y42">
        <v>10910</v>
      </c>
      <c r="Z42">
        <v>1</v>
      </c>
      <c r="AA42" t="s">
        <v>42</v>
      </c>
      <c r="AB42" t="s">
        <v>43</v>
      </c>
      <c r="AC42">
        <v>12</v>
      </c>
      <c r="AD42">
        <v>3</v>
      </c>
      <c r="AE42">
        <v>3</v>
      </c>
      <c r="AF42">
        <v>80</v>
      </c>
      <c r="AG42">
        <v>1</v>
      </c>
      <c r="AH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2">
        <v>1</v>
      </c>
      <c r="AJ42" t="s">
        <v>74</v>
      </c>
      <c r="AK42">
        <v>3</v>
      </c>
      <c r="AL42" t="s">
        <v>74</v>
      </c>
      <c r="AM42">
        <v>3</v>
      </c>
      <c r="AN42" t="s">
        <v>74</v>
      </c>
      <c r="AO42">
        <v>1</v>
      </c>
      <c r="AP42" t="s">
        <v>74</v>
      </c>
      <c r="AQ42">
        <v>0</v>
      </c>
      <c r="AR42">
        <v>0</v>
      </c>
      <c r="AS42">
        <v>0</v>
      </c>
    </row>
    <row r="43" spans="1:4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 t="str">
        <f>IF(Employee_data[[#This Row],[MonthlyIncome]]&lt;5000,"Low Income",
IF(Employee_data[[#This Row],[MonthlyIncome]]&lt;10000,"Medium Income","High Income"))</f>
        <v>Low Income</v>
      </c>
      <c r="U43" t="s">
        <v>91</v>
      </c>
      <c r="V43" t="s">
        <v>91</v>
      </c>
      <c r="W43" t="s">
        <v>91</v>
      </c>
      <c r="X43" t="s">
        <v>91</v>
      </c>
      <c r="Y43">
        <v>19715</v>
      </c>
      <c r="Z43">
        <v>1</v>
      </c>
      <c r="AA43" t="s">
        <v>42</v>
      </c>
      <c r="AB43" t="s">
        <v>43</v>
      </c>
      <c r="AC43">
        <v>13</v>
      </c>
      <c r="AD43">
        <v>3</v>
      </c>
      <c r="AE43">
        <v>4</v>
      </c>
      <c r="AF43">
        <v>80</v>
      </c>
      <c r="AG43">
        <v>1</v>
      </c>
      <c r="AH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3">
        <v>1</v>
      </c>
      <c r="AJ43" t="s">
        <v>74</v>
      </c>
      <c r="AK43">
        <v>6</v>
      </c>
      <c r="AL43" t="s">
        <v>74</v>
      </c>
      <c r="AM43">
        <v>3</v>
      </c>
      <c r="AN43" t="s">
        <v>74</v>
      </c>
      <c r="AO43">
        <v>1</v>
      </c>
      <c r="AP43" t="s">
        <v>74</v>
      </c>
      <c r="AQ43">
        <v>0</v>
      </c>
      <c r="AR43">
        <v>0</v>
      </c>
      <c r="AS43">
        <v>0</v>
      </c>
    </row>
    <row r="44" spans="1:4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 t="str">
        <f>IF(Employee_data[[#This Row],[MonthlyIncome]]&lt;5000,"Low Income",
IF(Employee_data[[#This Row],[MonthlyIncome]]&lt;10000,"Medium Income","High Income"))</f>
        <v>Low Income</v>
      </c>
      <c r="U44" t="s">
        <v>91</v>
      </c>
      <c r="V44" t="s">
        <v>91</v>
      </c>
      <c r="W44" t="s">
        <v>91</v>
      </c>
      <c r="X44" t="s">
        <v>91</v>
      </c>
      <c r="Y44">
        <v>10558</v>
      </c>
      <c r="Z44">
        <v>1</v>
      </c>
      <c r="AA44" t="s">
        <v>42</v>
      </c>
      <c r="AB44" t="s">
        <v>43</v>
      </c>
      <c r="AC44">
        <v>12</v>
      </c>
      <c r="AD44">
        <v>3</v>
      </c>
      <c r="AE44">
        <v>3</v>
      </c>
      <c r="AF44">
        <v>80</v>
      </c>
      <c r="AG44">
        <v>0</v>
      </c>
      <c r="AH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4">
        <v>1</v>
      </c>
      <c r="AJ44" t="s">
        <v>74</v>
      </c>
      <c r="AK44">
        <v>2</v>
      </c>
      <c r="AL44" t="s">
        <v>74</v>
      </c>
      <c r="AM44">
        <v>2</v>
      </c>
      <c r="AN44" t="s">
        <v>74</v>
      </c>
      <c r="AO44">
        <v>1</v>
      </c>
      <c r="AP44" t="s">
        <v>74</v>
      </c>
      <c r="AQ44">
        <v>0</v>
      </c>
      <c r="AR44">
        <v>0</v>
      </c>
      <c r="AS44">
        <v>1</v>
      </c>
    </row>
    <row r="45" spans="1:4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 t="str">
        <f>IF(Employee_data[[#This Row],[MonthlyIncome]]&lt;5000,"Low Income",
IF(Employee_data[[#This Row],[MonthlyIncome]]&lt;10000,"Medium Income","High Income"))</f>
        <v>Medium Income</v>
      </c>
      <c r="U45" t="s">
        <v>92</v>
      </c>
      <c r="V45" t="s">
        <v>92</v>
      </c>
      <c r="W45" t="s">
        <v>92</v>
      </c>
      <c r="X45" t="s">
        <v>92</v>
      </c>
      <c r="Y45">
        <v>2975</v>
      </c>
      <c r="Z45">
        <v>1</v>
      </c>
      <c r="AA45" t="s">
        <v>42</v>
      </c>
      <c r="AB45" t="s">
        <v>43</v>
      </c>
      <c r="AC45">
        <v>15</v>
      </c>
      <c r="AD45">
        <v>3</v>
      </c>
      <c r="AE45">
        <v>4</v>
      </c>
      <c r="AF45">
        <v>80</v>
      </c>
      <c r="AG45">
        <v>0</v>
      </c>
      <c r="AH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5">
        <v>9</v>
      </c>
      <c r="AJ45" t="s">
        <v>78</v>
      </c>
      <c r="AK45">
        <v>0</v>
      </c>
      <c r="AL45" t="s">
        <v>78</v>
      </c>
      <c r="AM45">
        <v>3</v>
      </c>
      <c r="AN45" t="s">
        <v>78</v>
      </c>
      <c r="AO45">
        <v>9</v>
      </c>
      <c r="AP45" t="s">
        <v>78</v>
      </c>
      <c r="AQ45">
        <v>8</v>
      </c>
      <c r="AR45">
        <v>1</v>
      </c>
      <c r="AS45">
        <v>7</v>
      </c>
    </row>
    <row r="46" spans="1:4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 t="str">
        <f>IF(Employee_data[[#This Row],[MonthlyIncome]]&lt;5000,"Low Income",
IF(Employee_data[[#This Row],[MonthlyIncome]]&lt;10000,"Medium Income","High Income"))</f>
        <v>Low Income</v>
      </c>
      <c r="U46" t="s">
        <v>91</v>
      </c>
      <c r="V46" t="s">
        <v>91</v>
      </c>
      <c r="W46" t="s">
        <v>91</v>
      </c>
      <c r="X46" t="s">
        <v>91</v>
      </c>
      <c r="Y46">
        <v>10781</v>
      </c>
      <c r="Z46">
        <v>1</v>
      </c>
      <c r="AA46" t="s">
        <v>42</v>
      </c>
      <c r="AB46" t="s">
        <v>43</v>
      </c>
      <c r="AC46">
        <v>23</v>
      </c>
      <c r="AD46">
        <v>4</v>
      </c>
      <c r="AE46">
        <v>4</v>
      </c>
      <c r="AF46">
        <v>80</v>
      </c>
      <c r="AG46">
        <v>0</v>
      </c>
      <c r="AH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6">
        <v>12</v>
      </c>
      <c r="AJ46" t="s">
        <v>75</v>
      </c>
      <c r="AK46">
        <v>2</v>
      </c>
      <c r="AL46" t="s">
        <v>75</v>
      </c>
      <c r="AM46">
        <v>3</v>
      </c>
      <c r="AN46" t="s">
        <v>75</v>
      </c>
      <c r="AO46">
        <v>12</v>
      </c>
      <c r="AP46" t="s">
        <v>75</v>
      </c>
      <c r="AQ46">
        <v>8</v>
      </c>
      <c r="AR46">
        <v>3</v>
      </c>
      <c r="AS46">
        <v>7</v>
      </c>
    </row>
    <row r="47" spans="1:4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 t="str">
        <f>IF(Employee_data[[#This Row],[MonthlyIncome]]&lt;5000,"Low Income",
IF(Employee_data[[#This Row],[MonthlyIncome]]&lt;10000,"Medium Income","High Income"))</f>
        <v>High Income</v>
      </c>
      <c r="U47" t="s">
        <v>90</v>
      </c>
      <c r="V47" t="s">
        <v>90</v>
      </c>
      <c r="W47" t="s">
        <v>90</v>
      </c>
      <c r="X47" t="s">
        <v>90</v>
      </c>
      <c r="Y47">
        <v>16280</v>
      </c>
      <c r="Z47">
        <v>1</v>
      </c>
      <c r="AA47" t="s">
        <v>42</v>
      </c>
      <c r="AB47" t="s">
        <v>43</v>
      </c>
      <c r="AC47">
        <v>12</v>
      </c>
      <c r="AD47">
        <v>3</v>
      </c>
      <c r="AE47">
        <v>4</v>
      </c>
      <c r="AF47">
        <v>80</v>
      </c>
      <c r="AG47">
        <v>0</v>
      </c>
      <c r="AH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47">
        <v>23</v>
      </c>
      <c r="AJ47" t="s">
        <v>76</v>
      </c>
      <c r="AK47">
        <v>0</v>
      </c>
      <c r="AL47" t="s">
        <v>76</v>
      </c>
      <c r="AM47">
        <v>3</v>
      </c>
      <c r="AN47" t="s">
        <v>76</v>
      </c>
      <c r="AO47">
        <v>22</v>
      </c>
      <c r="AP47" t="s">
        <v>76</v>
      </c>
      <c r="AQ47">
        <v>15</v>
      </c>
      <c r="AR47">
        <v>15</v>
      </c>
      <c r="AS47">
        <v>8</v>
      </c>
    </row>
    <row r="48" spans="1:4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 t="str">
        <f>IF(Employee_data[[#This Row],[MonthlyIncome]]&lt;5000,"Low Income",
IF(Employee_data[[#This Row],[MonthlyIncome]]&lt;10000,"Medium Income","High Income"))</f>
        <v>Low Income</v>
      </c>
      <c r="U48" t="s">
        <v>91</v>
      </c>
      <c r="V48" t="s">
        <v>91</v>
      </c>
      <c r="W48" t="s">
        <v>91</v>
      </c>
      <c r="X48" t="s">
        <v>91</v>
      </c>
      <c r="Y48">
        <v>10034</v>
      </c>
      <c r="Z48">
        <v>0</v>
      </c>
      <c r="AA48" t="s">
        <v>42</v>
      </c>
      <c r="AB48" t="s">
        <v>43</v>
      </c>
      <c r="AC48">
        <v>20</v>
      </c>
      <c r="AD48">
        <v>4</v>
      </c>
      <c r="AE48">
        <v>3</v>
      </c>
      <c r="AF48">
        <v>80</v>
      </c>
      <c r="AG48">
        <v>0</v>
      </c>
      <c r="AH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8">
        <v>10</v>
      </c>
      <c r="AJ48" t="s">
        <v>78</v>
      </c>
      <c r="AK48">
        <v>2</v>
      </c>
      <c r="AL48" t="s">
        <v>78</v>
      </c>
      <c r="AM48">
        <v>3</v>
      </c>
      <c r="AN48" t="s">
        <v>78</v>
      </c>
      <c r="AO48">
        <v>9</v>
      </c>
      <c r="AP48" t="s">
        <v>78</v>
      </c>
      <c r="AQ48">
        <v>5</v>
      </c>
      <c r="AR48">
        <v>8</v>
      </c>
      <c r="AS48">
        <v>7</v>
      </c>
    </row>
    <row r="49" spans="1:4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 t="str">
        <f>IF(Employee_data[[#This Row],[MonthlyIncome]]&lt;5000,"Low Income",
IF(Employee_data[[#This Row],[MonthlyIncome]]&lt;10000,"Medium Income","High Income"))</f>
        <v>Low Income</v>
      </c>
      <c r="U49" t="s">
        <v>91</v>
      </c>
      <c r="V49" t="s">
        <v>91</v>
      </c>
      <c r="W49" t="s">
        <v>91</v>
      </c>
      <c r="X49" t="s">
        <v>91</v>
      </c>
      <c r="Y49">
        <v>10227</v>
      </c>
      <c r="Z49">
        <v>4</v>
      </c>
      <c r="AA49" t="s">
        <v>42</v>
      </c>
      <c r="AB49" t="s">
        <v>43</v>
      </c>
      <c r="AC49">
        <v>21</v>
      </c>
      <c r="AD49">
        <v>4</v>
      </c>
      <c r="AE49">
        <v>1</v>
      </c>
      <c r="AF49">
        <v>80</v>
      </c>
      <c r="AG49">
        <v>0</v>
      </c>
      <c r="AH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9">
        <v>8</v>
      </c>
      <c r="AJ49" t="s">
        <v>74</v>
      </c>
      <c r="AK49">
        <v>1</v>
      </c>
      <c r="AL49" t="s">
        <v>74</v>
      </c>
      <c r="AM49">
        <v>3</v>
      </c>
      <c r="AN49" t="s">
        <v>74</v>
      </c>
      <c r="AO49">
        <v>1</v>
      </c>
      <c r="AP49" t="s">
        <v>74</v>
      </c>
      <c r="AQ49">
        <v>0</v>
      </c>
      <c r="AR49">
        <v>0</v>
      </c>
      <c r="AS49">
        <v>0</v>
      </c>
    </row>
    <row r="50" spans="1:4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 t="str">
        <f>IF(Employee_data[[#This Row],[MonthlyIncome]]&lt;5000,"Low Income",
IF(Employee_data[[#This Row],[MonthlyIncome]]&lt;10000,"Medium Income","High Income"))</f>
        <v>Medium Income</v>
      </c>
      <c r="U50" t="s">
        <v>92</v>
      </c>
      <c r="V50" t="s">
        <v>92</v>
      </c>
      <c r="W50" t="s">
        <v>92</v>
      </c>
      <c r="X50" t="s">
        <v>92</v>
      </c>
      <c r="Y50">
        <v>20445</v>
      </c>
      <c r="Z50">
        <v>4</v>
      </c>
      <c r="AA50" t="s">
        <v>42</v>
      </c>
      <c r="AB50" t="s">
        <v>35</v>
      </c>
      <c r="AC50">
        <v>21</v>
      </c>
      <c r="AD50">
        <v>4</v>
      </c>
      <c r="AE50">
        <v>3</v>
      </c>
      <c r="AF50">
        <v>80</v>
      </c>
      <c r="AG50">
        <v>0</v>
      </c>
      <c r="AH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0">
        <v>14</v>
      </c>
      <c r="AJ50" t="s">
        <v>78</v>
      </c>
      <c r="AK50">
        <v>4</v>
      </c>
      <c r="AL50" t="s">
        <v>78</v>
      </c>
      <c r="AM50">
        <v>3</v>
      </c>
      <c r="AN50" t="s">
        <v>78</v>
      </c>
      <c r="AO50">
        <v>9</v>
      </c>
      <c r="AP50" t="s">
        <v>78</v>
      </c>
      <c r="AQ50">
        <v>6</v>
      </c>
      <c r="AR50">
        <v>0</v>
      </c>
      <c r="AS50">
        <v>8</v>
      </c>
    </row>
    <row r="51" spans="1:4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 t="str">
        <f>IF(Employee_data[[#This Row],[MonthlyIncome]]&lt;5000,"Low Income",
IF(Employee_data[[#This Row],[MonthlyIncome]]&lt;10000,"Medium Income","High Income"))</f>
        <v>Low Income</v>
      </c>
      <c r="U51" t="s">
        <v>91</v>
      </c>
      <c r="V51" t="s">
        <v>91</v>
      </c>
      <c r="W51" t="s">
        <v>91</v>
      </c>
      <c r="X51" t="s">
        <v>91</v>
      </c>
      <c r="Y51">
        <v>4892</v>
      </c>
      <c r="Z51">
        <v>1</v>
      </c>
      <c r="AA51" t="s">
        <v>42</v>
      </c>
      <c r="AB51" t="s">
        <v>43</v>
      </c>
      <c r="AC51">
        <v>19</v>
      </c>
      <c r="AD51">
        <v>3</v>
      </c>
      <c r="AE51">
        <v>4</v>
      </c>
      <c r="AF51">
        <v>80</v>
      </c>
      <c r="AG51">
        <v>0</v>
      </c>
      <c r="AH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1">
        <v>1</v>
      </c>
      <c r="AJ51" t="s">
        <v>74</v>
      </c>
      <c r="AK51">
        <v>2</v>
      </c>
      <c r="AL51" t="s">
        <v>74</v>
      </c>
      <c r="AM51">
        <v>3</v>
      </c>
      <c r="AN51" t="s">
        <v>74</v>
      </c>
      <c r="AO51">
        <v>1</v>
      </c>
      <c r="AP51" t="s">
        <v>74</v>
      </c>
      <c r="AQ51">
        <v>0</v>
      </c>
      <c r="AR51">
        <v>0</v>
      </c>
      <c r="AS51">
        <v>1</v>
      </c>
    </row>
    <row r="52" spans="1:4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 t="str">
        <f>IF(Employee_data[[#This Row],[MonthlyIncome]]&lt;5000,"Low Income",
IF(Employee_data[[#This Row],[MonthlyIncome]]&lt;10000,"Medium Income","High Income"))</f>
        <v>Medium Income</v>
      </c>
      <c r="U52" t="s">
        <v>92</v>
      </c>
      <c r="V52" t="s">
        <v>92</v>
      </c>
      <c r="W52" t="s">
        <v>92</v>
      </c>
      <c r="X52" t="s">
        <v>92</v>
      </c>
      <c r="Y52">
        <v>19294</v>
      </c>
      <c r="Z52">
        <v>9</v>
      </c>
      <c r="AA52" t="s">
        <v>42</v>
      </c>
      <c r="AB52" t="s">
        <v>35</v>
      </c>
      <c r="AC52">
        <v>13</v>
      </c>
      <c r="AD52">
        <v>3</v>
      </c>
      <c r="AE52">
        <v>4</v>
      </c>
      <c r="AF52">
        <v>80</v>
      </c>
      <c r="AG52">
        <v>0</v>
      </c>
      <c r="AH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2">
        <v>23</v>
      </c>
      <c r="AJ52" t="s">
        <v>74</v>
      </c>
      <c r="AK52">
        <v>2</v>
      </c>
      <c r="AL52" t="s">
        <v>74</v>
      </c>
      <c r="AM52">
        <v>3</v>
      </c>
      <c r="AN52" t="s">
        <v>74</v>
      </c>
      <c r="AO52">
        <v>1</v>
      </c>
      <c r="AP52" t="s">
        <v>74</v>
      </c>
      <c r="AQ52">
        <v>0</v>
      </c>
      <c r="AR52">
        <v>0</v>
      </c>
      <c r="AS52">
        <v>0</v>
      </c>
    </row>
    <row r="53" spans="1:4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 t="str">
        <f>IF(Employee_data[[#This Row],[MonthlyIncome]]&lt;5000,"Low Income",
IF(Employee_data[[#This Row],[MonthlyIncome]]&lt;10000,"Medium Income","High Income"))</f>
        <v>Low Income</v>
      </c>
      <c r="U53" t="s">
        <v>91</v>
      </c>
      <c r="V53" t="s">
        <v>91</v>
      </c>
      <c r="W53" t="s">
        <v>91</v>
      </c>
      <c r="X53" t="s">
        <v>91</v>
      </c>
      <c r="Y53">
        <v>11179</v>
      </c>
      <c r="Z53">
        <v>1</v>
      </c>
      <c r="AA53" t="s">
        <v>42</v>
      </c>
      <c r="AB53" t="s">
        <v>35</v>
      </c>
      <c r="AC53">
        <v>13</v>
      </c>
      <c r="AD53">
        <v>3</v>
      </c>
      <c r="AE53">
        <v>3</v>
      </c>
      <c r="AF53">
        <v>80</v>
      </c>
      <c r="AG53">
        <v>0</v>
      </c>
      <c r="AH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3">
        <v>2</v>
      </c>
      <c r="AJ53" t="s">
        <v>74</v>
      </c>
      <c r="AK53">
        <v>3</v>
      </c>
      <c r="AL53" t="s">
        <v>74</v>
      </c>
      <c r="AM53">
        <v>2</v>
      </c>
      <c r="AN53" t="s">
        <v>74</v>
      </c>
      <c r="AO53">
        <v>2</v>
      </c>
      <c r="AP53" t="s">
        <v>74</v>
      </c>
      <c r="AQ53">
        <v>2</v>
      </c>
      <c r="AR53">
        <v>2</v>
      </c>
      <c r="AS53">
        <v>2</v>
      </c>
    </row>
    <row r="54" spans="1:4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 t="str">
        <f>IF(Employee_data[[#This Row],[MonthlyIncome]]&lt;5000,"Low Income",
IF(Employee_data[[#This Row],[MonthlyIncome]]&lt;10000,"Medium Income","High Income"))</f>
        <v>Medium Income</v>
      </c>
      <c r="U54" t="s">
        <v>92</v>
      </c>
      <c r="V54" t="s">
        <v>92</v>
      </c>
      <c r="W54" t="s">
        <v>92</v>
      </c>
      <c r="X54" t="s">
        <v>92</v>
      </c>
      <c r="Y54">
        <v>4009</v>
      </c>
      <c r="Z54">
        <v>5</v>
      </c>
      <c r="AA54" t="s">
        <v>42</v>
      </c>
      <c r="AB54" t="s">
        <v>35</v>
      </c>
      <c r="AC54">
        <v>21</v>
      </c>
      <c r="AD54">
        <v>4</v>
      </c>
      <c r="AE54">
        <v>3</v>
      </c>
      <c r="AF54">
        <v>80</v>
      </c>
      <c r="AG54">
        <v>1</v>
      </c>
      <c r="AH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4">
        <v>9</v>
      </c>
      <c r="AJ54" t="s">
        <v>74</v>
      </c>
      <c r="AK54">
        <v>2</v>
      </c>
      <c r="AL54" t="s">
        <v>74</v>
      </c>
      <c r="AM54">
        <v>2</v>
      </c>
      <c r="AN54" t="s">
        <v>74</v>
      </c>
      <c r="AO54">
        <v>4</v>
      </c>
      <c r="AP54" t="s">
        <v>74</v>
      </c>
      <c r="AQ54">
        <v>3</v>
      </c>
      <c r="AR54">
        <v>1</v>
      </c>
      <c r="AS54">
        <v>3</v>
      </c>
    </row>
    <row r="55" spans="1:4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 t="str">
        <f>IF(Employee_data[[#This Row],[MonthlyIncome]]&lt;5000,"Low Income",
IF(Employee_data[[#This Row],[MonthlyIncome]]&lt;10000,"Medium Income","High Income"))</f>
        <v>Medium Income</v>
      </c>
      <c r="U55" t="s">
        <v>92</v>
      </c>
      <c r="V55" t="s">
        <v>92</v>
      </c>
      <c r="W55" t="s">
        <v>92</v>
      </c>
      <c r="X55" t="s">
        <v>92</v>
      </c>
      <c r="Y55">
        <v>8302</v>
      </c>
      <c r="Z55">
        <v>2</v>
      </c>
      <c r="AA55" t="s">
        <v>42</v>
      </c>
      <c r="AB55" t="s">
        <v>35</v>
      </c>
      <c r="AC55">
        <v>13</v>
      </c>
      <c r="AD55">
        <v>3</v>
      </c>
      <c r="AE55">
        <v>3</v>
      </c>
      <c r="AF55">
        <v>80</v>
      </c>
      <c r="AG55">
        <v>1</v>
      </c>
      <c r="AH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5">
        <v>10</v>
      </c>
      <c r="AJ55" t="s">
        <v>74</v>
      </c>
      <c r="AK55">
        <v>3</v>
      </c>
      <c r="AL55" t="s">
        <v>74</v>
      </c>
      <c r="AM55">
        <v>3</v>
      </c>
      <c r="AN55" t="s">
        <v>74</v>
      </c>
      <c r="AO55">
        <v>4</v>
      </c>
      <c r="AP55" t="s">
        <v>74</v>
      </c>
      <c r="AQ55">
        <v>0</v>
      </c>
      <c r="AR55">
        <v>2</v>
      </c>
      <c r="AS55">
        <v>3</v>
      </c>
    </row>
    <row r="56" spans="1:4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 t="str">
        <f>IF(Employee_data[[#This Row],[MonthlyIncome]]&lt;5000,"Low Income",
IF(Employee_data[[#This Row],[MonthlyIncome]]&lt;10000,"Medium Income","High Income"))</f>
        <v>Low Income</v>
      </c>
      <c r="U56" t="s">
        <v>91</v>
      </c>
      <c r="V56" t="s">
        <v>91</v>
      </c>
      <c r="W56" t="s">
        <v>91</v>
      </c>
      <c r="X56" t="s">
        <v>91</v>
      </c>
      <c r="Y56">
        <v>21436</v>
      </c>
      <c r="Z56">
        <v>7</v>
      </c>
      <c r="AA56" t="s">
        <v>42</v>
      </c>
      <c r="AB56" t="s">
        <v>35</v>
      </c>
      <c r="AC56">
        <v>19</v>
      </c>
      <c r="AD56">
        <v>3</v>
      </c>
      <c r="AE56">
        <v>3</v>
      </c>
      <c r="AF56">
        <v>80</v>
      </c>
      <c r="AG56">
        <v>1</v>
      </c>
      <c r="AH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6">
        <v>5</v>
      </c>
      <c r="AJ56" t="s">
        <v>74</v>
      </c>
      <c r="AK56">
        <v>2</v>
      </c>
      <c r="AL56" t="s">
        <v>74</v>
      </c>
      <c r="AM56">
        <v>2</v>
      </c>
      <c r="AN56" t="s">
        <v>74</v>
      </c>
      <c r="AO56">
        <v>2</v>
      </c>
      <c r="AP56" t="s">
        <v>74</v>
      </c>
      <c r="AQ56">
        <v>2</v>
      </c>
      <c r="AR56">
        <v>0</v>
      </c>
      <c r="AS56">
        <v>0</v>
      </c>
    </row>
    <row r="57" spans="1:4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 t="str">
        <f>IF(Employee_data[[#This Row],[MonthlyIncome]]&lt;5000,"Low Income",
IF(Employee_data[[#This Row],[MonthlyIncome]]&lt;10000,"Medium Income","High Income"))</f>
        <v>High Income</v>
      </c>
      <c r="U57" t="s">
        <v>90</v>
      </c>
      <c r="V57" t="s">
        <v>90</v>
      </c>
      <c r="W57" t="s">
        <v>90</v>
      </c>
      <c r="X57" t="s">
        <v>90</v>
      </c>
      <c r="Y57">
        <v>15146</v>
      </c>
      <c r="Z57">
        <v>1</v>
      </c>
      <c r="AA57" t="s">
        <v>42</v>
      </c>
      <c r="AB57" t="s">
        <v>35</v>
      </c>
      <c r="AC57">
        <v>12</v>
      </c>
      <c r="AD57">
        <v>3</v>
      </c>
      <c r="AE57">
        <v>3</v>
      </c>
      <c r="AF57">
        <v>80</v>
      </c>
      <c r="AG57">
        <v>0</v>
      </c>
      <c r="AH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7">
        <v>15</v>
      </c>
      <c r="AJ57" t="s">
        <v>76</v>
      </c>
      <c r="AK57">
        <v>1</v>
      </c>
      <c r="AL57" t="s">
        <v>76</v>
      </c>
      <c r="AM57">
        <v>3</v>
      </c>
      <c r="AN57" t="s">
        <v>76</v>
      </c>
      <c r="AO57">
        <v>15</v>
      </c>
      <c r="AP57" t="s">
        <v>76</v>
      </c>
      <c r="AQ57">
        <v>14</v>
      </c>
      <c r="AR57">
        <v>8</v>
      </c>
      <c r="AS57">
        <v>12</v>
      </c>
    </row>
    <row r="58" spans="1:4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 t="str">
        <f>IF(Employee_data[[#This Row],[MonthlyIncome]]&lt;5000,"Low Income",
IF(Employee_data[[#This Row],[MonthlyIncome]]&lt;10000,"Medium Income","High Income"))</f>
        <v>Medium Income</v>
      </c>
      <c r="U58" t="s">
        <v>92</v>
      </c>
      <c r="V58" t="s">
        <v>92</v>
      </c>
      <c r="W58" t="s">
        <v>92</v>
      </c>
      <c r="X58" t="s">
        <v>92</v>
      </c>
      <c r="Y58">
        <v>11031</v>
      </c>
      <c r="Z58">
        <v>1</v>
      </c>
      <c r="AA58" t="s">
        <v>42</v>
      </c>
      <c r="AB58" t="s">
        <v>43</v>
      </c>
      <c r="AC58">
        <v>22</v>
      </c>
      <c r="AD58">
        <v>4</v>
      </c>
      <c r="AE58">
        <v>4</v>
      </c>
      <c r="AF58">
        <v>80</v>
      </c>
      <c r="AG58">
        <v>1</v>
      </c>
      <c r="AH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8">
        <v>9</v>
      </c>
      <c r="AJ58" t="s">
        <v>78</v>
      </c>
      <c r="AK58">
        <v>3</v>
      </c>
      <c r="AL58" t="s">
        <v>78</v>
      </c>
      <c r="AM58">
        <v>2</v>
      </c>
      <c r="AN58" t="s">
        <v>78</v>
      </c>
      <c r="AO58">
        <v>9</v>
      </c>
      <c r="AP58" t="s">
        <v>78</v>
      </c>
      <c r="AQ58">
        <v>8</v>
      </c>
      <c r="AR58">
        <v>1</v>
      </c>
      <c r="AS58">
        <v>8</v>
      </c>
    </row>
    <row r="59" spans="1:4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 t="str">
        <f>IF(Employee_data[[#This Row],[MonthlyIncome]]&lt;5000,"Low Income",
IF(Employee_data[[#This Row],[MonthlyIncome]]&lt;10000,"Medium Income","High Income"))</f>
        <v>Low Income</v>
      </c>
      <c r="U59" t="s">
        <v>91</v>
      </c>
      <c r="V59" t="s">
        <v>91</v>
      </c>
      <c r="W59" t="s">
        <v>91</v>
      </c>
      <c r="X59" t="s">
        <v>91</v>
      </c>
      <c r="Y59">
        <v>16002</v>
      </c>
      <c r="Z59">
        <v>3</v>
      </c>
      <c r="AA59" t="s">
        <v>42</v>
      </c>
      <c r="AB59" t="s">
        <v>35</v>
      </c>
      <c r="AC59">
        <v>15</v>
      </c>
      <c r="AD59">
        <v>3</v>
      </c>
      <c r="AE59">
        <v>3</v>
      </c>
      <c r="AF59">
        <v>80</v>
      </c>
      <c r="AG59">
        <v>1</v>
      </c>
      <c r="AH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9">
        <v>4</v>
      </c>
      <c r="AJ59" t="s">
        <v>74</v>
      </c>
      <c r="AK59">
        <v>3</v>
      </c>
      <c r="AL59" t="s">
        <v>74</v>
      </c>
      <c r="AM59">
        <v>3</v>
      </c>
      <c r="AN59" t="s">
        <v>74</v>
      </c>
      <c r="AO59">
        <v>2</v>
      </c>
      <c r="AP59" t="s">
        <v>74</v>
      </c>
      <c r="AQ59">
        <v>2</v>
      </c>
      <c r="AR59">
        <v>2</v>
      </c>
      <c r="AS59">
        <v>2</v>
      </c>
    </row>
    <row r="60" spans="1:4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 t="str">
        <f>IF(Employee_data[[#This Row],[MonthlyIncome]]&lt;5000,"Low Income",
IF(Employee_data[[#This Row],[MonthlyIncome]]&lt;10000,"Medium Income","High Income"))</f>
        <v>Medium Income</v>
      </c>
      <c r="U60" t="s">
        <v>92</v>
      </c>
      <c r="V60" t="s">
        <v>92</v>
      </c>
      <c r="W60" t="s">
        <v>92</v>
      </c>
      <c r="X60" t="s">
        <v>92</v>
      </c>
      <c r="Y60">
        <v>9528</v>
      </c>
      <c r="Z60">
        <v>3</v>
      </c>
      <c r="AA60" t="s">
        <v>42</v>
      </c>
      <c r="AB60" t="s">
        <v>43</v>
      </c>
      <c r="AC60">
        <v>22</v>
      </c>
      <c r="AD60">
        <v>4</v>
      </c>
      <c r="AE60">
        <v>4</v>
      </c>
      <c r="AF60">
        <v>80</v>
      </c>
      <c r="AG60">
        <v>1</v>
      </c>
      <c r="AH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0">
        <v>10</v>
      </c>
      <c r="AJ60" t="s">
        <v>78</v>
      </c>
      <c r="AK60">
        <v>3</v>
      </c>
      <c r="AL60" t="s">
        <v>78</v>
      </c>
      <c r="AM60">
        <v>2</v>
      </c>
      <c r="AN60" t="s">
        <v>78</v>
      </c>
      <c r="AO60">
        <v>7</v>
      </c>
      <c r="AP60" t="s">
        <v>78</v>
      </c>
      <c r="AQ60">
        <v>7</v>
      </c>
      <c r="AR60">
        <v>1</v>
      </c>
      <c r="AS60">
        <v>7</v>
      </c>
    </row>
    <row r="61" spans="1:4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 t="str">
        <f>IF(Employee_data[[#This Row],[MonthlyIncome]]&lt;5000,"Low Income",
IF(Employee_data[[#This Row],[MonthlyIncome]]&lt;10000,"Medium Income","High Income"))</f>
        <v>Medium Income</v>
      </c>
      <c r="U61" t="s">
        <v>92</v>
      </c>
      <c r="V61" t="s">
        <v>92</v>
      </c>
      <c r="W61" t="s">
        <v>92</v>
      </c>
      <c r="X61" t="s">
        <v>92</v>
      </c>
      <c r="Y61">
        <v>2689</v>
      </c>
      <c r="Z61">
        <v>1</v>
      </c>
      <c r="AA61" t="s">
        <v>42</v>
      </c>
      <c r="AB61" t="s">
        <v>43</v>
      </c>
      <c r="AC61">
        <v>18</v>
      </c>
      <c r="AD61">
        <v>3</v>
      </c>
      <c r="AE61">
        <v>3</v>
      </c>
      <c r="AF61">
        <v>80</v>
      </c>
      <c r="AG61">
        <v>1</v>
      </c>
      <c r="AH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1">
        <v>7</v>
      </c>
      <c r="AJ61" t="s">
        <v>78</v>
      </c>
      <c r="AK61">
        <v>2</v>
      </c>
      <c r="AL61" t="s">
        <v>78</v>
      </c>
      <c r="AM61">
        <v>4</v>
      </c>
      <c r="AN61" t="s">
        <v>78</v>
      </c>
      <c r="AO61">
        <v>7</v>
      </c>
      <c r="AP61" t="s">
        <v>78</v>
      </c>
      <c r="AQ61">
        <v>5</v>
      </c>
      <c r="AR61">
        <v>0</v>
      </c>
      <c r="AS61">
        <v>7</v>
      </c>
    </row>
    <row r="62" spans="1:4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 t="str">
        <f>IF(Employee_data[[#This Row],[MonthlyIncome]]&lt;5000,"Low Income",
IF(Employee_data[[#This Row],[MonthlyIncome]]&lt;10000,"Medium Income","High Income"))</f>
        <v>Medium Income</v>
      </c>
      <c r="U62" t="s">
        <v>92</v>
      </c>
      <c r="V62" t="s">
        <v>92</v>
      </c>
      <c r="W62" t="s">
        <v>92</v>
      </c>
      <c r="X62" t="s">
        <v>92</v>
      </c>
      <c r="Y62">
        <v>10877</v>
      </c>
      <c r="Z62">
        <v>1</v>
      </c>
      <c r="AA62" t="s">
        <v>42</v>
      </c>
      <c r="AB62" t="s">
        <v>35</v>
      </c>
      <c r="AC62">
        <v>22</v>
      </c>
      <c r="AD62">
        <v>4</v>
      </c>
      <c r="AE62">
        <v>2</v>
      </c>
      <c r="AF62">
        <v>80</v>
      </c>
      <c r="AG62">
        <v>1</v>
      </c>
      <c r="AH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2">
        <v>9</v>
      </c>
      <c r="AJ62" t="s">
        <v>78</v>
      </c>
      <c r="AK62">
        <v>3</v>
      </c>
      <c r="AL62" t="s">
        <v>78</v>
      </c>
      <c r="AM62">
        <v>3</v>
      </c>
      <c r="AN62" t="s">
        <v>78</v>
      </c>
      <c r="AO62">
        <v>9</v>
      </c>
      <c r="AP62" t="s">
        <v>78</v>
      </c>
      <c r="AQ62">
        <v>8</v>
      </c>
      <c r="AR62">
        <v>7</v>
      </c>
      <c r="AS62">
        <v>8</v>
      </c>
    </row>
    <row r="63" spans="1:4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 t="str">
        <f>IF(Employee_data[[#This Row],[MonthlyIncome]]&lt;5000,"Low Income",
IF(Employee_data[[#This Row],[MonthlyIncome]]&lt;10000,"Medium Income","High Income"))</f>
        <v>Low Income</v>
      </c>
      <c r="U63" t="s">
        <v>91</v>
      </c>
      <c r="V63" t="s">
        <v>91</v>
      </c>
      <c r="W63" t="s">
        <v>91</v>
      </c>
      <c r="X63" t="s">
        <v>91</v>
      </c>
      <c r="Y63">
        <v>5456</v>
      </c>
      <c r="Z63">
        <v>1</v>
      </c>
      <c r="AA63" t="s">
        <v>42</v>
      </c>
      <c r="AB63" t="s">
        <v>43</v>
      </c>
      <c r="AC63">
        <v>11</v>
      </c>
      <c r="AD63">
        <v>3</v>
      </c>
      <c r="AE63">
        <v>4</v>
      </c>
      <c r="AF63">
        <v>80</v>
      </c>
      <c r="AG63">
        <v>0</v>
      </c>
      <c r="AH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3">
        <v>10</v>
      </c>
      <c r="AJ63" t="s">
        <v>75</v>
      </c>
      <c r="AK63">
        <v>2</v>
      </c>
      <c r="AL63" t="s">
        <v>75</v>
      </c>
      <c r="AM63">
        <v>3</v>
      </c>
      <c r="AN63" t="s">
        <v>75</v>
      </c>
      <c r="AO63">
        <v>10</v>
      </c>
      <c r="AP63" t="s">
        <v>75</v>
      </c>
      <c r="AQ63">
        <v>3</v>
      </c>
      <c r="AR63">
        <v>9</v>
      </c>
      <c r="AS63">
        <v>9</v>
      </c>
    </row>
    <row r="64" spans="1:4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 t="str">
        <f>IF(Employee_data[[#This Row],[MonthlyIncome]]&lt;5000,"Low Income",
IF(Employee_data[[#This Row],[MonthlyIncome]]&lt;10000,"Medium Income","High Income"))</f>
        <v>High Income</v>
      </c>
      <c r="U64" t="s">
        <v>90</v>
      </c>
      <c r="V64" t="s">
        <v>90</v>
      </c>
      <c r="W64" t="s">
        <v>90</v>
      </c>
      <c r="X64" t="s">
        <v>90</v>
      </c>
      <c r="Y64">
        <v>16701</v>
      </c>
      <c r="Z64">
        <v>5</v>
      </c>
      <c r="AA64" t="s">
        <v>42</v>
      </c>
      <c r="AB64" t="s">
        <v>35</v>
      </c>
      <c r="AC64">
        <v>12</v>
      </c>
      <c r="AD64">
        <v>3</v>
      </c>
      <c r="AE64">
        <v>4</v>
      </c>
      <c r="AF64">
        <v>80</v>
      </c>
      <c r="AG64">
        <v>1</v>
      </c>
      <c r="AH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64">
        <v>29</v>
      </c>
      <c r="AJ64" t="s">
        <v>77</v>
      </c>
      <c r="AK64">
        <v>2</v>
      </c>
      <c r="AL64" t="s">
        <v>77</v>
      </c>
      <c r="AM64">
        <v>2</v>
      </c>
      <c r="AN64" t="s">
        <v>77</v>
      </c>
      <c r="AO64">
        <v>27</v>
      </c>
      <c r="AP64" t="s">
        <v>77</v>
      </c>
      <c r="AQ64">
        <v>3</v>
      </c>
      <c r="AR64">
        <v>13</v>
      </c>
      <c r="AS64">
        <v>8</v>
      </c>
    </row>
    <row r="65" spans="1:4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 t="str">
        <f>IF(Employee_data[[#This Row],[MonthlyIncome]]&lt;5000,"Low Income",
IF(Employee_data[[#This Row],[MonthlyIncome]]&lt;10000,"Medium Income","High Income"))</f>
        <v>Medium Income</v>
      </c>
      <c r="U65" t="s">
        <v>92</v>
      </c>
      <c r="V65" t="s">
        <v>92</v>
      </c>
      <c r="W65" t="s">
        <v>92</v>
      </c>
      <c r="X65" t="s">
        <v>92</v>
      </c>
      <c r="Y65">
        <v>2354</v>
      </c>
      <c r="Z65">
        <v>7</v>
      </c>
      <c r="AA65" t="s">
        <v>42</v>
      </c>
      <c r="AB65" t="s">
        <v>43</v>
      </c>
      <c r="AC65">
        <v>11</v>
      </c>
      <c r="AD65">
        <v>3</v>
      </c>
      <c r="AE65">
        <v>4</v>
      </c>
      <c r="AF65">
        <v>80</v>
      </c>
      <c r="AG65">
        <v>0</v>
      </c>
      <c r="AH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65">
        <v>28</v>
      </c>
      <c r="AJ65" t="s">
        <v>76</v>
      </c>
      <c r="AK65">
        <v>3</v>
      </c>
      <c r="AL65" t="s">
        <v>76</v>
      </c>
      <c r="AM65">
        <v>2</v>
      </c>
      <c r="AN65" t="s">
        <v>76</v>
      </c>
      <c r="AO65">
        <v>21</v>
      </c>
      <c r="AP65" t="s">
        <v>76</v>
      </c>
      <c r="AQ65">
        <v>16</v>
      </c>
      <c r="AR65">
        <v>7</v>
      </c>
      <c r="AS65">
        <v>9</v>
      </c>
    </row>
    <row r="66" spans="1:4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 t="str">
        <f>IF(Employee_data[[#This Row],[MonthlyIncome]]&lt;5000,"Low Income",
IF(Employee_data[[#This Row],[MonthlyIncome]]&lt;10000,"Medium Income","High Income"))</f>
        <v>High Income</v>
      </c>
      <c r="U66" t="s">
        <v>90</v>
      </c>
      <c r="V66" t="s">
        <v>90</v>
      </c>
      <c r="W66" t="s">
        <v>90</v>
      </c>
      <c r="X66" t="s">
        <v>90</v>
      </c>
      <c r="Y66">
        <v>8202</v>
      </c>
      <c r="Z66">
        <v>1</v>
      </c>
      <c r="AA66" t="s">
        <v>42</v>
      </c>
      <c r="AB66" t="s">
        <v>43</v>
      </c>
      <c r="AC66">
        <v>13</v>
      </c>
      <c r="AD66">
        <v>3</v>
      </c>
      <c r="AE66">
        <v>2</v>
      </c>
      <c r="AF66">
        <v>80</v>
      </c>
      <c r="AG66">
        <v>3</v>
      </c>
      <c r="AH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66">
        <v>17</v>
      </c>
      <c r="AJ66" t="s">
        <v>76</v>
      </c>
      <c r="AK66">
        <v>2</v>
      </c>
      <c r="AL66" t="s">
        <v>76</v>
      </c>
      <c r="AM66">
        <v>3</v>
      </c>
      <c r="AN66" t="s">
        <v>76</v>
      </c>
      <c r="AO66">
        <v>17</v>
      </c>
      <c r="AP66" t="s">
        <v>76</v>
      </c>
      <c r="AQ66">
        <v>14</v>
      </c>
      <c r="AR66">
        <v>12</v>
      </c>
      <c r="AS66">
        <v>8</v>
      </c>
    </row>
    <row r="67" spans="1:4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 t="str">
        <f>IF(Employee_data[[#This Row],[MonthlyIncome]]&lt;5000,"Low Income",
IF(Employee_data[[#This Row],[MonthlyIncome]]&lt;10000,"Medium Income","High Income"))</f>
        <v>High Income</v>
      </c>
      <c r="U67" t="s">
        <v>90</v>
      </c>
      <c r="V67" t="s">
        <v>90</v>
      </c>
      <c r="W67" t="s">
        <v>90</v>
      </c>
      <c r="X67" t="s">
        <v>90</v>
      </c>
      <c r="Y67">
        <v>19730</v>
      </c>
      <c r="Z67">
        <v>2</v>
      </c>
      <c r="AA67" t="s">
        <v>42</v>
      </c>
      <c r="AB67" t="s">
        <v>35</v>
      </c>
      <c r="AC67">
        <v>14</v>
      </c>
      <c r="AD67">
        <v>3</v>
      </c>
      <c r="AE67">
        <v>3</v>
      </c>
      <c r="AF67">
        <v>80</v>
      </c>
      <c r="AG67">
        <v>3</v>
      </c>
      <c r="AH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7">
        <v>21</v>
      </c>
      <c r="AJ67" t="s">
        <v>78</v>
      </c>
      <c r="AK67">
        <v>2</v>
      </c>
      <c r="AL67" t="s">
        <v>78</v>
      </c>
      <c r="AM67">
        <v>3</v>
      </c>
      <c r="AN67" t="s">
        <v>78</v>
      </c>
      <c r="AO67">
        <v>5</v>
      </c>
      <c r="AP67" t="s">
        <v>78</v>
      </c>
      <c r="AQ67">
        <v>0</v>
      </c>
      <c r="AR67">
        <v>0</v>
      </c>
      <c r="AS67">
        <v>2</v>
      </c>
    </row>
    <row r="68" spans="1:4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 t="str">
        <f>IF(Employee_data[[#This Row],[MonthlyIncome]]&lt;5000,"Low Income",
IF(Employee_data[[#This Row],[MonthlyIncome]]&lt;10000,"Medium Income","High Income"))</f>
        <v>Medium Income</v>
      </c>
      <c r="U68" t="s">
        <v>92</v>
      </c>
      <c r="V68" t="s">
        <v>92</v>
      </c>
      <c r="W68" t="s">
        <v>92</v>
      </c>
      <c r="X68" t="s">
        <v>92</v>
      </c>
      <c r="Y68">
        <v>22656</v>
      </c>
      <c r="Z68">
        <v>1</v>
      </c>
      <c r="AA68" t="s">
        <v>42</v>
      </c>
      <c r="AB68" t="s">
        <v>43</v>
      </c>
      <c r="AC68">
        <v>13</v>
      </c>
      <c r="AD68">
        <v>3</v>
      </c>
      <c r="AE68">
        <v>3</v>
      </c>
      <c r="AF68">
        <v>80</v>
      </c>
      <c r="AG68">
        <v>0</v>
      </c>
      <c r="AH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8">
        <v>6</v>
      </c>
      <c r="AJ68" t="s">
        <v>78</v>
      </c>
      <c r="AK68">
        <v>3</v>
      </c>
      <c r="AL68" t="s">
        <v>78</v>
      </c>
      <c r="AM68">
        <v>3</v>
      </c>
      <c r="AN68" t="s">
        <v>78</v>
      </c>
      <c r="AO68">
        <v>6</v>
      </c>
      <c r="AP68" t="s">
        <v>78</v>
      </c>
      <c r="AQ68">
        <v>5</v>
      </c>
      <c r="AR68">
        <v>0</v>
      </c>
      <c r="AS68">
        <v>3</v>
      </c>
    </row>
    <row r="69" spans="1:4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 t="str">
        <f>IF(Employee_data[[#This Row],[MonthlyIncome]]&lt;5000,"Low Income",
IF(Employee_data[[#This Row],[MonthlyIncome]]&lt;10000,"Medium Income","High Income"))</f>
        <v>Medium Income</v>
      </c>
      <c r="U69" t="s">
        <v>92</v>
      </c>
      <c r="V69" t="s">
        <v>92</v>
      </c>
      <c r="W69" t="s">
        <v>92</v>
      </c>
      <c r="X69" t="s">
        <v>92</v>
      </c>
      <c r="Y69">
        <v>18787</v>
      </c>
      <c r="Z69">
        <v>2</v>
      </c>
      <c r="AA69" t="s">
        <v>42</v>
      </c>
      <c r="AB69" t="s">
        <v>43</v>
      </c>
      <c r="AC69">
        <v>17</v>
      </c>
      <c r="AD69">
        <v>3</v>
      </c>
      <c r="AE69">
        <v>3</v>
      </c>
      <c r="AF69">
        <v>80</v>
      </c>
      <c r="AG69">
        <v>1</v>
      </c>
      <c r="AH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9">
        <v>25</v>
      </c>
      <c r="AJ69" t="s">
        <v>74</v>
      </c>
      <c r="AK69">
        <v>2</v>
      </c>
      <c r="AL69" t="s">
        <v>74</v>
      </c>
      <c r="AM69">
        <v>3</v>
      </c>
      <c r="AN69" t="s">
        <v>74</v>
      </c>
      <c r="AO69">
        <v>1</v>
      </c>
      <c r="AP69" t="s">
        <v>74</v>
      </c>
      <c r="AQ69">
        <v>0</v>
      </c>
      <c r="AR69">
        <v>0</v>
      </c>
      <c r="AS69">
        <v>0</v>
      </c>
    </row>
    <row r="70" spans="1:4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 t="str">
        <f>IF(Employee_data[[#This Row],[MonthlyIncome]]&lt;5000,"Low Income",
IF(Employee_data[[#This Row],[MonthlyIncome]]&lt;10000,"Medium Income","High Income"))</f>
        <v>Low Income</v>
      </c>
      <c r="U70" t="s">
        <v>91</v>
      </c>
      <c r="V70" t="s">
        <v>91</v>
      </c>
      <c r="W70" t="s">
        <v>91</v>
      </c>
      <c r="X70" t="s">
        <v>91</v>
      </c>
      <c r="Y70">
        <v>5868</v>
      </c>
      <c r="Z70">
        <v>4</v>
      </c>
      <c r="AA70" t="s">
        <v>42</v>
      </c>
      <c r="AB70" t="s">
        <v>43</v>
      </c>
      <c r="AC70">
        <v>13</v>
      </c>
      <c r="AD70">
        <v>3</v>
      </c>
      <c r="AE70">
        <v>4</v>
      </c>
      <c r="AF70">
        <v>80</v>
      </c>
      <c r="AG70">
        <v>1</v>
      </c>
      <c r="AH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0">
        <v>5</v>
      </c>
      <c r="AJ70" t="s">
        <v>74</v>
      </c>
      <c r="AK70">
        <v>2</v>
      </c>
      <c r="AL70" t="s">
        <v>74</v>
      </c>
      <c r="AM70">
        <v>2</v>
      </c>
      <c r="AN70" t="s">
        <v>74</v>
      </c>
      <c r="AO70">
        <v>3</v>
      </c>
      <c r="AP70" t="s">
        <v>74</v>
      </c>
      <c r="AQ70">
        <v>2</v>
      </c>
      <c r="AR70">
        <v>1</v>
      </c>
      <c r="AS70">
        <v>2</v>
      </c>
    </row>
    <row r="71" spans="1:4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 t="str">
        <f>IF(Employee_data[[#This Row],[MonthlyIncome]]&lt;5000,"Low Income",
IF(Employee_data[[#This Row],[MonthlyIncome]]&lt;10000,"Medium Income","High Income"))</f>
        <v>Low Income</v>
      </c>
      <c r="U71" t="s">
        <v>91</v>
      </c>
      <c r="V71" t="s">
        <v>91</v>
      </c>
      <c r="W71" t="s">
        <v>91</v>
      </c>
      <c r="X71" t="s">
        <v>91</v>
      </c>
      <c r="Y71">
        <v>21777</v>
      </c>
      <c r="Z71">
        <v>0</v>
      </c>
      <c r="AA71" t="s">
        <v>42</v>
      </c>
      <c r="AB71" t="s">
        <v>35</v>
      </c>
      <c r="AC71">
        <v>17</v>
      </c>
      <c r="AD71">
        <v>3</v>
      </c>
      <c r="AE71">
        <v>1</v>
      </c>
      <c r="AF71">
        <v>80</v>
      </c>
      <c r="AG71">
        <v>1</v>
      </c>
      <c r="AH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1">
        <v>2</v>
      </c>
      <c r="AJ71" t="s">
        <v>74</v>
      </c>
      <c r="AK71">
        <v>0</v>
      </c>
      <c r="AL71" t="s">
        <v>74</v>
      </c>
      <c r="AM71">
        <v>2</v>
      </c>
      <c r="AN71" t="s">
        <v>74</v>
      </c>
      <c r="AO71">
        <v>1</v>
      </c>
      <c r="AP71" t="s">
        <v>74</v>
      </c>
      <c r="AQ71">
        <v>0</v>
      </c>
      <c r="AR71">
        <v>0</v>
      </c>
      <c r="AS71">
        <v>0</v>
      </c>
    </row>
    <row r="72" spans="1:4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 t="str">
        <f>IF(Employee_data[[#This Row],[MonthlyIncome]]&lt;5000,"Low Income",
IF(Employee_data[[#This Row],[MonthlyIncome]]&lt;10000,"Medium Income","High Income"))</f>
        <v>Medium Income</v>
      </c>
      <c r="U72" t="s">
        <v>92</v>
      </c>
      <c r="V72" t="s">
        <v>92</v>
      </c>
      <c r="W72" t="s">
        <v>92</v>
      </c>
      <c r="X72" t="s">
        <v>92</v>
      </c>
      <c r="Y72">
        <v>24668</v>
      </c>
      <c r="Z72">
        <v>7</v>
      </c>
      <c r="AA72" t="s">
        <v>42</v>
      </c>
      <c r="AB72" t="s">
        <v>43</v>
      </c>
      <c r="AC72">
        <v>11</v>
      </c>
      <c r="AD72">
        <v>3</v>
      </c>
      <c r="AE72">
        <v>4</v>
      </c>
      <c r="AF72">
        <v>80</v>
      </c>
      <c r="AG72">
        <v>0</v>
      </c>
      <c r="AH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2">
        <v>20</v>
      </c>
      <c r="AJ72" t="s">
        <v>74</v>
      </c>
      <c r="AK72">
        <v>2</v>
      </c>
      <c r="AL72" t="s">
        <v>74</v>
      </c>
      <c r="AM72">
        <v>2</v>
      </c>
      <c r="AN72" t="s">
        <v>74</v>
      </c>
      <c r="AO72">
        <v>4</v>
      </c>
      <c r="AP72" t="s">
        <v>74</v>
      </c>
      <c r="AQ72">
        <v>3</v>
      </c>
      <c r="AR72">
        <v>1</v>
      </c>
      <c r="AS72">
        <v>3</v>
      </c>
    </row>
    <row r="73" spans="1:4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 t="str">
        <f>IF(Employee_data[[#This Row],[MonthlyIncome]]&lt;5000,"Low Income",
IF(Employee_data[[#This Row],[MonthlyIncome]]&lt;10000,"Medium Income","High Income"))</f>
        <v>Low Income</v>
      </c>
      <c r="U73" t="s">
        <v>91</v>
      </c>
      <c r="V73" t="s">
        <v>91</v>
      </c>
      <c r="W73" t="s">
        <v>91</v>
      </c>
      <c r="X73" t="s">
        <v>91</v>
      </c>
      <c r="Y73">
        <v>4956</v>
      </c>
      <c r="Z73">
        <v>0</v>
      </c>
      <c r="AA73" t="s">
        <v>42</v>
      </c>
      <c r="AB73" t="s">
        <v>43</v>
      </c>
      <c r="AC73">
        <v>23</v>
      </c>
      <c r="AD73">
        <v>4</v>
      </c>
      <c r="AE73">
        <v>4</v>
      </c>
      <c r="AF73">
        <v>80</v>
      </c>
      <c r="AG73">
        <v>1</v>
      </c>
      <c r="AH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3">
        <v>6</v>
      </c>
      <c r="AJ73" t="s">
        <v>78</v>
      </c>
      <c r="AK73">
        <v>3</v>
      </c>
      <c r="AL73" t="s">
        <v>78</v>
      </c>
      <c r="AM73">
        <v>3</v>
      </c>
      <c r="AN73" t="s">
        <v>78</v>
      </c>
      <c r="AO73">
        <v>5</v>
      </c>
      <c r="AP73" t="s">
        <v>78</v>
      </c>
      <c r="AQ73">
        <v>4</v>
      </c>
      <c r="AR73">
        <v>0</v>
      </c>
      <c r="AS73">
        <v>4</v>
      </c>
    </row>
    <row r="74" spans="1:4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 t="str">
        <f>IF(Employee_data[[#This Row],[MonthlyIncome]]&lt;5000,"Low Income",
IF(Employee_data[[#This Row],[MonthlyIncome]]&lt;10000,"Medium Income","High Income"))</f>
        <v>Low Income</v>
      </c>
      <c r="U74" t="s">
        <v>91</v>
      </c>
      <c r="V74" t="s">
        <v>91</v>
      </c>
      <c r="W74" t="s">
        <v>91</v>
      </c>
      <c r="X74" t="s">
        <v>91</v>
      </c>
      <c r="Y74">
        <v>18775</v>
      </c>
      <c r="Z74">
        <v>1</v>
      </c>
      <c r="AA74" t="s">
        <v>42</v>
      </c>
      <c r="AB74" t="s">
        <v>43</v>
      </c>
      <c r="AC74">
        <v>17</v>
      </c>
      <c r="AD74">
        <v>3</v>
      </c>
      <c r="AE74">
        <v>2</v>
      </c>
      <c r="AF74">
        <v>80</v>
      </c>
      <c r="AG74">
        <v>0</v>
      </c>
      <c r="AH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4">
        <v>1</v>
      </c>
      <c r="AJ74" t="s">
        <v>74</v>
      </c>
      <c r="AK74">
        <v>4</v>
      </c>
      <c r="AL74" t="s">
        <v>74</v>
      </c>
      <c r="AM74">
        <v>3</v>
      </c>
      <c r="AN74" t="s">
        <v>74</v>
      </c>
      <c r="AO74">
        <v>1</v>
      </c>
      <c r="AP74" t="s">
        <v>74</v>
      </c>
      <c r="AQ74">
        <v>1</v>
      </c>
      <c r="AR74">
        <v>1</v>
      </c>
      <c r="AS74">
        <v>0</v>
      </c>
    </row>
    <row r="75" spans="1:4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 t="str">
        <f>IF(Employee_data[[#This Row],[MonthlyIncome]]&lt;5000,"Low Income",
IF(Employee_data[[#This Row],[MonthlyIncome]]&lt;10000,"Medium Income","High Income"))</f>
        <v>Medium Income</v>
      </c>
      <c r="U75" t="s">
        <v>92</v>
      </c>
      <c r="V75" t="s">
        <v>92</v>
      </c>
      <c r="W75" t="s">
        <v>92</v>
      </c>
      <c r="X75" t="s">
        <v>92</v>
      </c>
      <c r="Y75">
        <v>7346</v>
      </c>
      <c r="Z75">
        <v>1</v>
      </c>
      <c r="AA75" t="s">
        <v>42</v>
      </c>
      <c r="AB75" t="s">
        <v>43</v>
      </c>
      <c r="AC75">
        <v>17</v>
      </c>
      <c r="AD75">
        <v>3</v>
      </c>
      <c r="AE75">
        <v>2</v>
      </c>
      <c r="AF75">
        <v>80</v>
      </c>
      <c r="AG75">
        <v>2</v>
      </c>
      <c r="AH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5">
        <v>10</v>
      </c>
      <c r="AJ75" t="s">
        <v>75</v>
      </c>
      <c r="AK75">
        <v>3</v>
      </c>
      <c r="AL75" t="s">
        <v>75</v>
      </c>
      <c r="AM75">
        <v>3</v>
      </c>
      <c r="AN75" t="s">
        <v>75</v>
      </c>
      <c r="AO75">
        <v>10</v>
      </c>
      <c r="AP75" t="s">
        <v>75</v>
      </c>
      <c r="AQ75">
        <v>4</v>
      </c>
      <c r="AR75">
        <v>0</v>
      </c>
      <c r="AS75">
        <v>9</v>
      </c>
    </row>
    <row r="76" spans="1:4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 t="str">
        <f>IF(Employee_data[[#This Row],[MonthlyIncome]]&lt;5000,"Low Income",
IF(Employee_data[[#This Row],[MonthlyIncome]]&lt;10000,"Medium Income","High Income"))</f>
        <v>Low Income</v>
      </c>
      <c r="U76" t="s">
        <v>91</v>
      </c>
      <c r="V76" t="s">
        <v>91</v>
      </c>
      <c r="W76" t="s">
        <v>91</v>
      </c>
      <c r="X76" t="s">
        <v>91</v>
      </c>
      <c r="Y76">
        <v>22002</v>
      </c>
      <c r="Z76">
        <v>3</v>
      </c>
      <c r="AA76" t="s">
        <v>42</v>
      </c>
      <c r="AB76" t="s">
        <v>43</v>
      </c>
      <c r="AC76">
        <v>12</v>
      </c>
      <c r="AD76">
        <v>3</v>
      </c>
      <c r="AE76">
        <v>2</v>
      </c>
      <c r="AF76">
        <v>80</v>
      </c>
      <c r="AG76">
        <v>0</v>
      </c>
      <c r="AH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6">
        <v>5</v>
      </c>
      <c r="AJ76" t="s">
        <v>74</v>
      </c>
      <c r="AK76">
        <v>3</v>
      </c>
      <c r="AL76" t="s">
        <v>74</v>
      </c>
      <c r="AM76">
        <v>3</v>
      </c>
      <c r="AN76" t="s">
        <v>74</v>
      </c>
      <c r="AO76">
        <v>1</v>
      </c>
      <c r="AP76" t="s">
        <v>74</v>
      </c>
      <c r="AQ76">
        <v>0</v>
      </c>
      <c r="AR76">
        <v>0</v>
      </c>
      <c r="AS76">
        <v>0</v>
      </c>
    </row>
    <row r="77" spans="1:4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 t="str">
        <f>IF(Employee_data[[#This Row],[MonthlyIncome]]&lt;5000,"Low Income",
IF(Employee_data[[#This Row],[MonthlyIncome]]&lt;10000,"Medium Income","High Income"))</f>
        <v>Low Income</v>
      </c>
      <c r="U77" t="s">
        <v>91</v>
      </c>
      <c r="V77" t="s">
        <v>91</v>
      </c>
      <c r="W77" t="s">
        <v>91</v>
      </c>
      <c r="X77" t="s">
        <v>91</v>
      </c>
      <c r="Y77">
        <v>20682</v>
      </c>
      <c r="Z77">
        <v>1</v>
      </c>
      <c r="AA77" t="s">
        <v>42</v>
      </c>
      <c r="AB77" t="s">
        <v>43</v>
      </c>
      <c r="AC77">
        <v>23</v>
      </c>
      <c r="AD77">
        <v>4</v>
      </c>
      <c r="AE77">
        <v>4</v>
      </c>
      <c r="AF77">
        <v>80</v>
      </c>
      <c r="AG77">
        <v>0</v>
      </c>
      <c r="AH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7">
        <v>11</v>
      </c>
      <c r="AJ77" t="s">
        <v>75</v>
      </c>
      <c r="AK77">
        <v>2</v>
      </c>
      <c r="AL77" t="s">
        <v>75</v>
      </c>
      <c r="AM77">
        <v>3</v>
      </c>
      <c r="AN77" t="s">
        <v>75</v>
      </c>
      <c r="AO77">
        <v>11</v>
      </c>
      <c r="AP77" t="s">
        <v>75</v>
      </c>
      <c r="AQ77">
        <v>7</v>
      </c>
      <c r="AR77">
        <v>1</v>
      </c>
      <c r="AS77">
        <v>8</v>
      </c>
    </row>
    <row r="78" spans="1:4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 t="str">
        <f>IF(Employee_data[[#This Row],[MonthlyIncome]]&lt;5000,"Low Income",
IF(Employee_data[[#This Row],[MonthlyIncome]]&lt;10000,"Medium Income","High Income"))</f>
        <v>Low Income</v>
      </c>
      <c r="U78" t="s">
        <v>91</v>
      </c>
      <c r="V78" t="s">
        <v>91</v>
      </c>
      <c r="W78" t="s">
        <v>91</v>
      </c>
      <c r="X78" t="s">
        <v>91</v>
      </c>
      <c r="Y78">
        <v>23016</v>
      </c>
      <c r="Z78">
        <v>0</v>
      </c>
      <c r="AA78" t="s">
        <v>42</v>
      </c>
      <c r="AB78" t="s">
        <v>43</v>
      </c>
      <c r="AC78">
        <v>14</v>
      </c>
      <c r="AD78">
        <v>3</v>
      </c>
      <c r="AE78">
        <v>2</v>
      </c>
      <c r="AF78">
        <v>80</v>
      </c>
      <c r="AG78">
        <v>0</v>
      </c>
      <c r="AH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8">
        <v>16</v>
      </c>
      <c r="AJ78" t="s">
        <v>76</v>
      </c>
      <c r="AK78">
        <v>2</v>
      </c>
      <c r="AL78" t="s">
        <v>76</v>
      </c>
      <c r="AM78">
        <v>3</v>
      </c>
      <c r="AN78" t="s">
        <v>76</v>
      </c>
      <c r="AO78">
        <v>15</v>
      </c>
      <c r="AP78" t="s">
        <v>76</v>
      </c>
      <c r="AQ78">
        <v>13</v>
      </c>
      <c r="AR78">
        <v>2</v>
      </c>
      <c r="AS78">
        <v>8</v>
      </c>
    </row>
    <row r="79" spans="1:4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 t="str">
        <f>IF(Employee_data[[#This Row],[MonthlyIncome]]&lt;5000,"Low Income",
IF(Employee_data[[#This Row],[MonthlyIncome]]&lt;10000,"Medium Income","High Income"))</f>
        <v>High Income</v>
      </c>
      <c r="U79" t="s">
        <v>90</v>
      </c>
      <c r="V79" t="s">
        <v>90</v>
      </c>
      <c r="W79" t="s">
        <v>90</v>
      </c>
      <c r="X79" t="s">
        <v>90</v>
      </c>
      <c r="Y79">
        <v>15067</v>
      </c>
      <c r="Z79">
        <v>4</v>
      </c>
      <c r="AA79" t="s">
        <v>42</v>
      </c>
      <c r="AB79" t="s">
        <v>35</v>
      </c>
      <c r="AC79">
        <v>14</v>
      </c>
      <c r="AD79">
        <v>3</v>
      </c>
      <c r="AE79">
        <v>2</v>
      </c>
      <c r="AF79">
        <v>80</v>
      </c>
      <c r="AG79">
        <v>0</v>
      </c>
      <c r="AH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9">
        <v>17</v>
      </c>
      <c r="AJ79" t="s">
        <v>74</v>
      </c>
      <c r="AK79">
        <v>3</v>
      </c>
      <c r="AL79" t="s">
        <v>74</v>
      </c>
      <c r="AM79">
        <v>4</v>
      </c>
      <c r="AN79" t="s">
        <v>74</v>
      </c>
      <c r="AO79">
        <v>0</v>
      </c>
      <c r="AP79" t="s">
        <v>74</v>
      </c>
      <c r="AQ79">
        <v>0</v>
      </c>
      <c r="AR79">
        <v>0</v>
      </c>
      <c r="AS79">
        <v>0</v>
      </c>
    </row>
    <row r="80" spans="1:4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 t="str">
        <f>IF(Employee_data[[#This Row],[MonthlyIncome]]&lt;5000,"Low Income",
IF(Employee_data[[#This Row],[MonthlyIncome]]&lt;10000,"Medium Income","High Income"))</f>
        <v>High Income</v>
      </c>
      <c r="U80" t="s">
        <v>90</v>
      </c>
      <c r="V80" t="s">
        <v>90</v>
      </c>
      <c r="W80" t="s">
        <v>90</v>
      </c>
      <c r="X80" t="s">
        <v>90</v>
      </c>
      <c r="Y80">
        <v>25258</v>
      </c>
      <c r="Z80">
        <v>4</v>
      </c>
      <c r="AA80" t="s">
        <v>42</v>
      </c>
      <c r="AB80" t="s">
        <v>43</v>
      </c>
      <c r="AC80">
        <v>13</v>
      </c>
      <c r="AD80">
        <v>3</v>
      </c>
      <c r="AE80">
        <v>1</v>
      </c>
      <c r="AF80">
        <v>80</v>
      </c>
      <c r="AG80">
        <v>0</v>
      </c>
      <c r="AH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0">
        <v>16</v>
      </c>
      <c r="AJ80" t="s">
        <v>78</v>
      </c>
      <c r="AK80">
        <v>3</v>
      </c>
      <c r="AL80" t="s">
        <v>78</v>
      </c>
      <c r="AM80">
        <v>4</v>
      </c>
      <c r="AN80" t="s">
        <v>78</v>
      </c>
      <c r="AO80">
        <v>5</v>
      </c>
      <c r="AP80" t="s">
        <v>78</v>
      </c>
      <c r="AQ80">
        <v>2</v>
      </c>
      <c r="AR80">
        <v>0</v>
      </c>
      <c r="AS80">
        <v>2</v>
      </c>
    </row>
    <row r="81" spans="1:4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 t="str">
        <f>IF(Employee_data[[#This Row],[MonthlyIncome]]&lt;5000,"Low Income",
IF(Employee_data[[#This Row],[MonthlyIncome]]&lt;10000,"Medium Income","High Income"))</f>
        <v>Medium Income</v>
      </c>
      <c r="U81" t="s">
        <v>92</v>
      </c>
      <c r="V81" t="s">
        <v>92</v>
      </c>
      <c r="W81" t="s">
        <v>92</v>
      </c>
      <c r="X81" t="s">
        <v>92</v>
      </c>
      <c r="Y81">
        <v>10425</v>
      </c>
      <c r="Z81">
        <v>8</v>
      </c>
      <c r="AA81" t="s">
        <v>42</v>
      </c>
      <c r="AB81" t="s">
        <v>35</v>
      </c>
      <c r="AC81">
        <v>22</v>
      </c>
      <c r="AD81">
        <v>4</v>
      </c>
      <c r="AE81">
        <v>4</v>
      </c>
      <c r="AF81">
        <v>80</v>
      </c>
      <c r="AG81">
        <v>1</v>
      </c>
      <c r="AH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1">
        <v>16</v>
      </c>
      <c r="AJ81" t="s">
        <v>74</v>
      </c>
      <c r="AK81">
        <v>2</v>
      </c>
      <c r="AL81" t="s">
        <v>74</v>
      </c>
      <c r="AM81">
        <v>3</v>
      </c>
      <c r="AN81" t="s">
        <v>74</v>
      </c>
      <c r="AO81">
        <v>4</v>
      </c>
      <c r="AP81" t="s">
        <v>74</v>
      </c>
      <c r="AQ81">
        <v>2</v>
      </c>
      <c r="AR81">
        <v>0</v>
      </c>
      <c r="AS81">
        <v>2</v>
      </c>
    </row>
    <row r="82" spans="1:4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 t="str">
        <f>IF(Employee_data[[#This Row],[MonthlyIncome]]&lt;5000,"Low Income",
IF(Employee_data[[#This Row],[MonthlyIncome]]&lt;10000,"Medium Income","High Income"))</f>
        <v>Medium Income</v>
      </c>
      <c r="U82" t="s">
        <v>92</v>
      </c>
      <c r="V82" t="s">
        <v>92</v>
      </c>
      <c r="W82" t="s">
        <v>92</v>
      </c>
      <c r="X82" t="s">
        <v>92</v>
      </c>
      <c r="Y82">
        <v>15998</v>
      </c>
      <c r="Z82">
        <v>1</v>
      </c>
      <c r="AA82" t="s">
        <v>42</v>
      </c>
      <c r="AB82" t="s">
        <v>35</v>
      </c>
      <c r="AC82">
        <v>12</v>
      </c>
      <c r="AD82">
        <v>3</v>
      </c>
      <c r="AE82">
        <v>3</v>
      </c>
      <c r="AF82">
        <v>80</v>
      </c>
      <c r="AG82">
        <v>2</v>
      </c>
      <c r="AH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2">
        <v>10</v>
      </c>
      <c r="AJ82" t="s">
        <v>75</v>
      </c>
      <c r="AK82">
        <v>1</v>
      </c>
      <c r="AL82" t="s">
        <v>75</v>
      </c>
      <c r="AM82">
        <v>2</v>
      </c>
      <c r="AN82" t="s">
        <v>75</v>
      </c>
      <c r="AO82">
        <v>10</v>
      </c>
      <c r="AP82" t="s">
        <v>75</v>
      </c>
      <c r="AQ82">
        <v>8</v>
      </c>
      <c r="AR82">
        <v>3</v>
      </c>
      <c r="AS82">
        <v>0</v>
      </c>
    </row>
    <row r="83" spans="1:4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 t="str">
        <f>IF(Employee_data[[#This Row],[MonthlyIncome]]&lt;5000,"Low Income",
IF(Employee_data[[#This Row],[MonthlyIncome]]&lt;10000,"Medium Income","High Income"))</f>
        <v>Low Income</v>
      </c>
      <c r="U83" t="s">
        <v>91</v>
      </c>
      <c r="V83" t="s">
        <v>91</v>
      </c>
      <c r="W83" t="s">
        <v>91</v>
      </c>
      <c r="X83" t="s">
        <v>91</v>
      </c>
      <c r="Y83">
        <v>26278</v>
      </c>
      <c r="Z83">
        <v>1</v>
      </c>
      <c r="AA83" t="s">
        <v>42</v>
      </c>
      <c r="AB83" t="s">
        <v>43</v>
      </c>
      <c r="AC83">
        <v>18</v>
      </c>
      <c r="AD83">
        <v>3</v>
      </c>
      <c r="AE83">
        <v>1</v>
      </c>
      <c r="AF83">
        <v>80</v>
      </c>
      <c r="AG83">
        <v>0</v>
      </c>
      <c r="AH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3">
        <v>6</v>
      </c>
      <c r="AJ83" t="s">
        <v>78</v>
      </c>
      <c r="AK83">
        <v>3</v>
      </c>
      <c r="AL83" t="s">
        <v>78</v>
      </c>
      <c r="AM83">
        <v>3</v>
      </c>
      <c r="AN83" t="s">
        <v>78</v>
      </c>
      <c r="AO83">
        <v>6</v>
      </c>
      <c r="AP83" t="s">
        <v>78</v>
      </c>
      <c r="AQ83">
        <v>4</v>
      </c>
      <c r="AR83">
        <v>0</v>
      </c>
      <c r="AS83">
        <v>4</v>
      </c>
    </row>
    <row r="84" spans="1:4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 t="str">
        <f>IF(Employee_data[[#This Row],[MonthlyIncome]]&lt;5000,"Low Income",
IF(Employee_data[[#This Row],[MonthlyIncome]]&lt;10000,"Medium Income","High Income"))</f>
        <v>High Income</v>
      </c>
      <c r="U84" t="s">
        <v>90</v>
      </c>
      <c r="V84" t="s">
        <v>90</v>
      </c>
      <c r="W84" t="s">
        <v>90</v>
      </c>
      <c r="X84" t="s">
        <v>90</v>
      </c>
      <c r="Y84">
        <v>18092</v>
      </c>
      <c r="Z84">
        <v>3</v>
      </c>
      <c r="AA84" t="s">
        <v>42</v>
      </c>
      <c r="AB84" t="s">
        <v>43</v>
      </c>
      <c r="AC84">
        <v>14</v>
      </c>
      <c r="AD84">
        <v>3</v>
      </c>
      <c r="AE84">
        <v>4</v>
      </c>
      <c r="AF84">
        <v>80</v>
      </c>
      <c r="AG84">
        <v>1</v>
      </c>
      <c r="AH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4">
        <v>24</v>
      </c>
      <c r="AJ84" t="s">
        <v>74</v>
      </c>
      <c r="AK84">
        <v>4</v>
      </c>
      <c r="AL84" t="s">
        <v>74</v>
      </c>
      <c r="AM84">
        <v>3</v>
      </c>
      <c r="AN84" t="s">
        <v>74</v>
      </c>
      <c r="AO84">
        <v>1</v>
      </c>
      <c r="AP84" t="s">
        <v>74</v>
      </c>
      <c r="AQ84">
        <v>0</v>
      </c>
      <c r="AR84">
        <v>1</v>
      </c>
      <c r="AS84">
        <v>0</v>
      </c>
    </row>
    <row r="85" spans="1:4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 t="str">
        <f>IF(Employee_data[[#This Row],[MonthlyIncome]]&lt;5000,"Low Income",
IF(Employee_data[[#This Row],[MonthlyIncome]]&lt;10000,"Medium Income","High Income"))</f>
        <v>Medium Income</v>
      </c>
      <c r="U85" t="s">
        <v>92</v>
      </c>
      <c r="V85" t="s">
        <v>92</v>
      </c>
      <c r="W85" t="s">
        <v>92</v>
      </c>
      <c r="X85" t="s">
        <v>92</v>
      </c>
      <c r="Y85">
        <v>15717</v>
      </c>
      <c r="Z85">
        <v>7</v>
      </c>
      <c r="AA85" t="s">
        <v>42</v>
      </c>
      <c r="AB85" t="s">
        <v>35</v>
      </c>
      <c r="AC85">
        <v>12</v>
      </c>
      <c r="AD85">
        <v>3</v>
      </c>
      <c r="AE85">
        <v>4</v>
      </c>
      <c r="AF85">
        <v>80</v>
      </c>
      <c r="AG85">
        <v>3</v>
      </c>
      <c r="AH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5">
        <v>17</v>
      </c>
      <c r="AJ85" t="s">
        <v>75</v>
      </c>
      <c r="AK85">
        <v>3</v>
      </c>
      <c r="AL85" t="s">
        <v>75</v>
      </c>
      <c r="AM85">
        <v>3</v>
      </c>
      <c r="AN85" t="s">
        <v>75</v>
      </c>
      <c r="AO85">
        <v>13</v>
      </c>
      <c r="AP85" t="s">
        <v>75</v>
      </c>
      <c r="AQ85">
        <v>11</v>
      </c>
      <c r="AR85">
        <v>1</v>
      </c>
      <c r="AS85">
        <v>9</v>
      </c>
    </row>
    <row r="86" spans="1:4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 t="str">
        <f>IF(Employee_data[[#This Row],[MonthlyIncome]]&lt;5000,"Low Income",
IF(Employee_data[[#This Row],[MonthlyIncome]]&lt;10000,"Medium Income","High Income"))</f>
        <v>Low Income</v>
      </c>
      <c r="U86" t="s">
        <v>91</v>
      </c>
      <c r="V86" t="s">
        <v>91</v>
      </c>
      <c r="W86" t="s">
        <v>91</v>
      </c>
      <c r="X86" t="s">
        <v>91</v>
      </c>
      <c r="Y86">
        <v>17736</v>
      </c>
      <c r="Z86">
        <v>1</v>
      </c>
      <c r="AA86" t="s">
        <v>42</v>
      </c>
      <c r="AB86" t="s">
        <v>43</v>
      </c>
      <c r="AC86">
        <v>15</v>
      </c>
      <c r="AD86">
        <v>3</v>
      </c>
      <c r="AE86">
        <v>3</v>
      </c>
      <c r="AF86">
        <v>80</v>
      </c>
      <c r="AG86">
        <v>0</v>
      </c>
      <c r="AH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6">
        <v>5</v>
      </c>
      <c r="AJ86" t="s">
        <v>78</v>
      </c>
      <c r="AK86">
        <v>2</v>
      </c>
      <c r="AL86" t="s">
        <v>78</v>
      </c>
      <c r="AM86">
        <v>3</v>
      </c>
      <c r="AN86" t="s">
        <v>78</v>
      </c>
      <c r="AO86">
        <v>5</v>
      </c>
      <c r="AP86" t="s">
        <v>78</v>
      </c>
      <c r="AQ86">
        <v>2</v>
      </c>
      <c r="AR86">
        <v>1</v>
      </c>
      <c r="AS86">
        <v>3</v>
      </c>
    </row>
    <row r="87" spans="1:4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 t="str">
        <f>IF(Employee_data[[#This Row],[MonthlyIncome]]&lt;5000,"Low Income",
IF(Employee_data[[#This Row],[MonthlyIncome]]&lt;10000,"Medium Income","High Income"))</f>
        <v>Medium Income</v>
      </c>
      <c r="U87" t="s">
        <v>92</v>
      </c>
      <c r="V87" t="s">
        <v>92</v>
      </c>
      <c r="W87" t="s">
        <v>92</v>
      </c>
      <c r="X87" t="s">
        <v>92</v>
      </c>
      <c r="Y87">
        <v>21698</v>
      </c>
      <c r="Z87">
        <v>4</v>
      </c>
      <c r="AA87" t="s">
        <v>42</v>
      </c>
      <c r="AB87" t="s">
        <v>43</v>
      </c>
      <c r="AC87">
        <v>11</v>
      </c>
      <c r="AD87">
        <v>3</v>
      </c>
      <c r="AE87">
        <v>1</v>
      </c>
      <c r="AF87">
        <v>80</v>
      </c>
      <c r="AG87">
        <v>0</v>
      </c>
      <c r="AH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7">
        <v>37</v>
      </c>
      <c r="AJ87" t="s">
        <v>78</v>
      </c>
      <c r="AK87">
        <v>3</v>
      </c>
      <c r="AL87" t="s">
        <v>78</v>
      </c>
      <c r="AM87">
        <v>2</v>
      </c>
      <c r="AN87" t="s">
        <v>78</v>
      </c>
      <c r="AO87">
        <v>6</v>
      </c>
      <c r="AP87" t="s">
        <v>78</v>
      </c>
      <c r="AQ87">
        <v>4</v>
      </c>
      <c r="AR87">
        <v>0</v>
      </c>
      <c r="AS87">
        <v>2</v>
      </c>
    </row>
    <row r="88" spans="1:4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 t="str">
        <f>IF(Employee_data[[#This Row],[MonthlyIncome]]&lt;5000,"Low Income",
IF(Employee_data[[#This Row],[MonthlyIncome]]&lt;10000,"Medium Income","High Income"))</f>
        <v>Low Income</v>
      </c>
      <c r="U88" t="s">
        <v>91</v>
      </c>
      <c r="V88" t="s">
        <v>91</v>
      </c>
      <c r="W88" t="s">
        <v>91</v>
      </c>
      <c r="X88" t="s">
        <v>91</v>
      </c>
      <c r="Y88">
        <v>9518</v>
      </c>
      <c r="Z88">
        <v>3</v>
      </c>
      <c r="AA88" t="s">
        <v>42</v>
      </c>
      <c r="AB88" t="s">
        <v>43</v>
      </c>
      <c r="AC88">
        <v>13</v>
      </c>
      <c r="AD88">
        <v>3</v>
      </c>
      <c r="AE88">
        <v>3</v>
      </c>
      <c r="AF88">
        <v>80</v>
      </c>
      <c r="AG88">
        <v>1</v>
      </c>
      <c r="AH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8">
        <v>3</v>
      </c>
      <c r="AJ88" t="s">
        <v>74</v>
      </c>
      <c r="AK88">
        <v>3</v>
      </c>
      <c r="AL88" t="s">
        <v>74</v>
      </c>
      <c r="AM88">
        <v>3</v>
      </c>
      <c r="AN88" t="s">
        <v>74</v>
      </c>
      <c r="AO88">
        <v>0</v>
      </c>
      <c r="AP88" t="s">
        <v>74</v>
      </c>
      <c r="AQ88">
        <v>0</v>
      </c>
      <c r="AR88">
        <v>0</v>
      </c>
      <c r="AS88">
        <v>0</v>
      </c>
    </row>
    <row r="89" spans="1:4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 t="str">
        <f>IF(Employee_data[[#This Row],[MonthlyIncome]]&lt;5000,"Low Income",
IF(Employee_data[[#This Row],[MonthlyIncome]]&lt;10000,"Medium Income","High Income"))</f>
        <v>Low Income</v>
      </c>
      <c r="U89" t="s">
        <v>91</v>
      </c>
      <c r="V89" t="s">
        <v>91</v>
      </c>
      <c r="W89" t="s">
        <v>91</v>
      </c>
      <c r="X89" t="s">
        <v>91</v>
      </c>
      <c r="Y89">
        <v>18725</v>
      </c>
      <c r="Z89">
        <v>3</v>
      </c>
      <c r="AA89" t="s">
        <v>42</v>
      </c>
      <c r="AB89" t="s">
        <v>43</v>
      </c>
      <c r="AC89">
        <v>23</v>
      </c>
      <c r="AD89">
        <v>4</v>
      </c>
      <c r="AE89">
        <v>2</v>
      </c>
      <c r="AF89">
        <v>80</v>
      </c>
      <c r="AG89">
        <v>2</v>
      </c>
      <c r="AH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9">
        <v>10</v>
      </c>
      <c r="AJ89" t="s">
        <v>74</v>
      </c>
      <c r="AK89">
        <v>4</v>
      </c>
      <c r="AL89" t="s">
        <v>74</v>
      </c>
      <c r="AM89">
        <v>3</v>
      </c>
      <c r="AN89" t="s">
        <v>74</v>
      </c>
      <c r="AO89">
        <v>4</v>
      </c>
      <c r="AP89" t="s">
        <v>74</v>
      </c>
      <c r="AQ89">
        <v>2</v>
      </c>
      <c r="AR89">
        <v>0</v>
      </c>
      <c r="AS89">
        <v>3</v>
      </c>
    </row>
    <row r="90" spans="1:4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 t="str">
        <f>IF(Employee_data[[#This Row],[MonthlyIncome]]&lt;5000,"Low Income",
IF(Employee_data[[#This Row],[MonthlyIncome]]&lt;10000,"Medium Income","High Income"))</f>
        <v>Low Income</v>
      </c>
      <c r="U90" t="s">
        <v>91</v>
      </c>
      <c r="V90" t="s">
        <v>91</v>
      </c>
      <c r="W90" t="s">
        <v>91</v>
      </c>
      <c r="X90" t="s">
        <v>91</v>
      </c>
      <c r="Y90">
        <v>15830</v>
      </c>
      <c r="Z90">
        <v>1</v>
      </c>
      <c r="AA90" t="s">
        <v>42</v>
      </c>
      <c r="AB90" t="s">
        <v>43</v>
      </c>
      <c r="AC90">
        <v>19</v>
      </c>
      <c r="AD90">
        <v>3</v>
      </c>
      <c r="AE90">
        <v>1</v>
      </c>
      <c r="AF90">
        <v>80</v>
      </c>
      <c r="AG90">
        <v>3</v>
      </c>
      <c r="AH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0">
        <v>11</v>
      </c>
      <c r="AJ90" t="s">
        <v>75</v>
      </c>
      <c r="AK90">
        <v>3</v>
      </c>
      <c r="AL90" t="s">
        <v>75</v>
      </c>
      <c r="AM90">
        <v>3</v>
      </c>
      <c r="AN90" t="s">
        <v>75</v>
      </c>
      <c r="AO90">
        <v>11</v>
      </c>
      <c r="AP90" t="s">
        <v>75</v>
      </c>
      <c r="AQ90">
        <v>10</v>
      </c>
      <c r="AR90">
        <v>10</v>
      </c>
      <c r="AS90">
        <v>8</v>
      </c>
    </row>
    <row r="91" spans="1:4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 t="str">
        <f>IF(Employee_data[[#This Row],[MonthlyIncome]]&lt;5000,"Low Income",
IF(Employee_data[[#This Row],[MonthlyIncome]]&lt;10000,"Medium Income","High Income"))</f>
        <v>Medium Income</v>
      </c>
      <c r="U91" t="s">
        <v>92</v>
      </c>
      <c r="V91" t="s">
        <v>92</v>
      </c>
      <c r="W91" t="s">
        <v>92</v>
      </c>
      <c r="X91" t="s">
        <v>92</v>
      </c>
      <c r="Y91">
        <v>13596</v>
      </c>
      <c r="Z91">
        <v>1</v>
      </c>
      <c r="AA91" t="s">
        <v>42</v>
      </c>
      <c r="AB91" t="s">
        <v>43</v>
      </c>
      <c r="AC91">
        <v>16</v>
      </c>
      <c r="AD91">
        <v>3</v>
      </c>
      <c r="AE91">
        <v>4</v>
      </c>
      <c r="AF91">
        <v>80</v>
      </c>
      <c r="AG91">
        <v>0</v>
      </c>
      <c r="AH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1">
        <v>9</v>
      </c>
      <c r="AJ91" t="s">
        <v>78</v>
      </c>
      <c r="AK91">
        <v>3</v>
      </c>
      <c r="AL91" t="s">
        <v>78</v>
      </c>
      <c r="AM91">
        <v>3</v>
      </c>
      <c r="AN91" t="s">
        <v>78</v>
      </c>
      <c r="AO91">
        <v>9</v>
      </c>
      <c r="AP91" t="s">
        <v>78</v>
      </c>
      <c r="AQ91">
        <v>8</v>
      </c>
      <c r="AR91">
        <v>4</v>
      </c>
      <c r="AS91">
        <v>7</v>
      </c>
    </row>
    <row r="92" spans="1:4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 t="str">
        <f>IF(Employee_data[[#This Row],[MonthlyIncome]]&lt;5000,"Low Income",
IF(Employee_data[[#This Row],[MonthlyIncome]]&lt;10000,"Medium Income","High Income"))</f>
        <v>High Income</v>
      </c>
      <c r="U92" t="s">
        <v>90</v>
      </c>
      <c r="V92" t="s">
        <v>90</v>
      </c>
      <c r="W92" t="s">
        <v>90</v>
      </c>
      <c r="X92" t="s">
        <v>90</v>
      </c>
      <c r="Y92">
        <v>14115</v>
      </c>
      <c r="Z92">
        <v>1</v>
      </c>
      <c r="AA92" t="s">
        <v>42</v>
      </c>
      <c r="AB92" t="s">
        <v>43</v>
      </c>
      <c r="AC92">
        <v>22</v>
      </c>
      <c r="AD92">
        <v>4</v>
      </c>
      <c r="AE92">
        <v>4</v>
      </c>
      <c r="AF92">
        <v>80</v>
      </c>
      <c r="AG92">
        <v>1</v>
      </c>
      <c r="AH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2">
        <v>22</v>
      </c>
      <c r="AJ92" t="s">
        <v>76</v>
      </c>
      <c r="AK92">
        <v>3</v>
      </c>
      <c r="AL92" t="s">
        <v>76</v>
      </c>
      <c r="AM92">
        <v>2</v>
      </c>
      <c r="AN92" t="s">
        <v>76</v>
      </c>
      <c r="AO92">
        <v>22</v>
      </c>
      <c r="AP92" t="s">
        <v>76</v>
      </c>
      <c r="AQ92">
        <v>3</v>
      </c>
      <c r="AR92">
        <v>11</v>
      </c>
      <c r="AS92">
        <v>11</v>
      </c>
    </row>
    <row r="93" spans="1:4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 t="str">
        <f>IF(Employee_data[[#This Row],[MonthlyIncome]]&lt;5000,"Low Income",
IF(Employee_data[[#This Row],[MonthlyIncome]]&lt;10000,"Medium Income","High Income"))</f>
        <v>Medium Income</v>
      </c>
      <c r="U93" t="s">
        <v>92</v>
      </c>
      <c r="V93" t="s">
        <v>92</v>
      </c>
      <c r="W93" t="s">
        <v>92</v>
      </c>
      <c r="X93" t="s">
        <v>92</v>
      </c>
      <c r="Y93">
        <v>8423</v>
      </c>
      <c r="Z93">
        <v>0</v>
      </c>
      <c r="AA93" t="s">
        <v>42</v>
      </c>
      <c r="AB93" t="s">
        <v>35</v>
      </c>
      <c r="AC93">
        <v>22</v>
      </c>
      <c r="AD93">
        <v>4</v>
      </c>
      <c r="AE93">
        <v>4</v>
      </c>
      <c r="AF93">
        <v>80</v>
      </c>
      <c r="AG93">
        <v>0</v>
      </c>
      <c r="AH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3">
        <v>11</v>
      </c>
      <c r="AJ93" t="s">
        <v>75</v>
      </c>
      <c r="AK93">
        <v>2</v>
      </c>
      <c r="AL93" t="s">
        <v>75</v>
      </c>
      <c r="AM93">
        <v>1</v>
      </c>
      <c r="AN93" t="s">
        <v>75</v>
      </c>
      <c r="AO93">
        <v>10</v>
      </c>
      <c r="AP93" t="s">
        <v>75</v>
      </c>
      <c r="AQ93">
        <v>7</v>
      </c>
      <c r="AR93">
        <v>1</v>
      </c>
      <c r="AS93">
        <v>0</v>
      </c>
    </row>
    <row r="94" spans="1:4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 t="str">
        <f>IF(Employee_data[[#This Row],[MonthlyIncome]]&lt;5000,"Low Income",
IF(Employee_data[[#This Row],[MonthlyIncome]]&lt;10000,"Medium Income","High Income"))</f>
        <v>Medium Income</v>
      </c>
      <c r="U94" t="s">
        <v>92</v>
      </c>
      <c r="V94" t="s">
        <v>92</v>
      </c>
      <c r="W94" t="s">
        <v>92</v>
      </c>
      <c r="X94" t="s">
        <v>92</v>
      </c>
      <c r="Y94">
        <v>19760</v>
      </c>
      <c r="Z94">
        <v>1</v>
      </c>
      <c r="AA94" t="s">
        <v>42</v>
      </c>
      <c r="AB94" t="s">
        <v>35</v>
      </c>
      <c r="AC94">
        <v>12</v>
      </c>
      <c r="AD94">
        <v>3</v>
      </c>
      <c r="AE94">
        <v>2</v>
      </c>
      <c r="AF94">
        <v>80</v>
      </c>
      <c r="AG94">
        <v>3</v>
      </c>
      <c r="AH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4">
        <v>11</v>
      </c>
      <c r="AJ94" t="s">
        <v>75</v>
      </c>
      <c r="AK94">
        <v>4</v>
      </c>
      <c r="AL94" t="s">
        <v>75</v>
      </c>
      <c r="AM94">
        <v>2</v>
      </c>
      <c r="AN94" t="s">
        <v>75</v>
      </c>
      <c r="AO94">
        <v>11</v>
      </c>
      <c r="AP94" t="s">
        <v>75</v>
      </c>
      <c r="AQ94">
        <v>8</v>
      </c>
      <c r="AR94">
        <v>2</v>
      </c>
      <c r="AS94">
        <v>7</v>
      </c>
    </row>
    <row r="95" spans="1:4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 t="str">
        <f>IF(Employee_data[[#This Row],[MonthlyIncome]]&lt;5000,"Low Income",
IF(Employee_data[[#This Row],[MonthlyIncome]]&lt;10000,"Medium Income","High Income"))</f>
        <v>High Income</v>
      </c>
      <c r="U95" t="s">
        <v>90</v>
      </c>
      <c r="V95" t="s">
        <v>90</v>
      </c>
      <c r="W95" t="s">
        <v>90</v>
      </c>
      <c r="X95" t="s">
        <v>90</v>
      </c>
      <c r="Y95">
        <v>3142</v>
      </c>
      <c r="Z95">
        <v>2</v>
      </c>
      <c r="AA95" t="s">
        <v>42</v>
      </c>
      <c r="AB95" t="s">
        <v>35</v>
      </c>
      <c r="AC95">
        <v>13</v>
      </c>
      <c r="AD95">
        <v>3</v>
      </c>
      <c r="AE95">
        <v>3</v>
      </c>
      <c r="AF95">
        <v>80</v>
      </c>
      <c r="AG95">
        <v>1</v>
      </c>
      <c r="AH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5">
        <v>21</v>
      </c>
      <c r="AJ95" t="s">
        <v>75</v>
      </c>
      <c r="AK95">
        <v>5</v>
      </c>
      <c r="AL95" t="s">
        <v>75</v>
      </c>
      <c r="AM95">
        <v>2</v>
      </c>
      <c r="AN95" t="s">
        <v>75</v>
      </c>
      <c r="AO95">
        <v>10</v>
      </c>
      <c r="AP95" t="s">
        <v>75</v>
      </c>
      <c r="AQ95">
        <v>9</v>
      </c>
      <c r="AR95">
        <v>9</v>
      </c>
      <c r="AS95">
        <v>5</v>
      </c>
    </row>
    <row r="96" spans="1:4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 t="str">
        <f>IF(Employee_data[[#This Row],[MonthlyIncome]]&lt;5000,"Low Income",
IF(Employee_data[[#This Row],[MonthlyIncome]]&lt;10000,"Medium Income","High Income"))</f>
        <v>Medium Income</v>
      </c>
      <c r="U96" t="s">
        <v>92</v>
      </c>
      <c r="V96" t="s">
        <v>92</v>
      </c>
      <c r="W96" t="s">
        <v>92</v>
      </c>
      <c r="X96" t="s">
        <v>92</v>
      </c>
      <c r="Y96">
        <v>24301</v>
      </c>
      <c r="Z96">
        <v>1</v>
      </c>
      <c r="AA96" t="s">
        <v>42</v>
      </c>
      <c r="AB96" t="s">
        <v>43</v>
      </c>
      <c r="AC96">
        <v>16</v>
      </c>
      <c r="AD96">
        <v>3</v>
      </c>
      <c r="AE96">
        <v>1</v>
      </c>
      <c r="AF96">
        <v>80</v>
      </c>
      <c r="AG96">
        <v>0</v>
      </c>
      <c r="AH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6">
        <v>12</v>
      </c>
      <c r="AJ96" t="s">
        <v>75</v>
      </c>
      <c r="AK96">
        <v>0</v>
      </c>
      <c r="AL96" t="s">
        <v>75</v>
      </c>
      <c r="AM96">
        <v>3</v>
      </c>
      <c r="AN96" t="s">
        <v>75</v>
      </c>
      <c r="AO96">
        <v>11</v>
      </c>
      <c r="AP96" t="s">
        <v>75</v>
      </c>
      <c r="AQ96">
        <v>8</v>
      </c>
      <c r="AR96">
        <v>5</v>
      </c>
      <c r="AS96">
        <v>7</v>
      </c>
    </row>
    <row r="97" spans="1:4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 t="str">
        <f>IF(Employee_data[[#This Row],[MonthlyIncome]]&lt;5000,"Low Income",
IF(Employee_data[[#This Row],[MonthlyIncome]]&lt;10000,"Medium Income","High Income"))</f>
        <v>High Income</v>
      </c>
      <c r="U97" t="s">
        <v>90</v>
      </c>
      <c r="V97" t="s">
        <v>90</v>
      </c>
      <c r="W97" t="s">
        <v>90</v>
      </c>
      <c r="X97" t="s">
        <v>90</v>
      </c>
      <c r="Y97">
        <v>24001</v>
      </c>
      <c r="Z97">
        <v>9</v>
      </c>
      <c r="AA97" t="s">
        <v>42</v>
      </c>
      <c r="AB97" t="s">
        <v>43</v>
      </c>
      <c r="AC97">
        <v>12</v>
      </c>
      <c r="AD97">
        <v>3</v>
      </c>
      <c r="AE97">
        <v>1</v>
      </c>
      <c r="AF97">
        <v>80</v>
      </c>
      <c r="AG97">
        <v>1</v>
      </c>
      <c r="AH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7">
        <v>16</v>
      </c>
      <c r="AJ97" t="s">
        <v>74</v>
      </c>
      <c r="AK97">
        <v>5</v>
      </c>
      <c r="AL97" t="s">
        <v>74</v>
      </c>
      <c r="AM97">
        <v>1</v>
      </c>
      <c r="AN97" t="s">
        <v>74</v>
      </c>
      <c r="AO97">
        <v>4</v>
      </c>
      <c r="AP97" t="s">
        <v>74</v>
      </c>
      <c r="AQ97">
        <v>3</v>
      </c>
      <c r="AR97">
        <v>0</v>
      </c>
      <c r="AS97">
        <v>3</v>
      </c>
    </row>
    <row r="98" spans="1:4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 t="str">
        <f>IF(Employee_data[[#This Row],[MonthlyIncome]]&lt;5000,"Low Income",
IF(Employee_data[[#This Row],[MonthlyIncome]]&lt;10000,"Medium Income","High Income"))</f>
        <v>Low Income</v>
      </c>
      <c r="U98" t="s">
        <v>91</v>
      </c>
      <c r="V98" t="s">
        <v>91</v>
      </c>
      <c r="W98" t="s">
        <v>91</v>
      </c>
      <c r="X98" t="s">
        <v>91</v>
      </c>
      <c r="Y98">
        <v>17519</v>
      </c>
      <c r="Z98">
        <v>0</v>
      </c>
      <c r="AA98" t="s">
        <v>42</v>
      </c>
      <c r="AB98" t="s">
        <v>43</v>
      </c>
      <c r="AC98">
        <v>21</v>
      </c>
      <c r="AD98">
        <v>4</v>
      </c>
      <c r="AE98">
        <v>1</v>
      </c>
      <c r="AF98">
        <v>80</v>
      </c>
      <c r="AG98">
        <v>1</v>
      </c>
      <c r="AH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8">
        <v>4</v>
      </c>
      <c r="AJ98" t="s">
        <v>74</v>
      </c>
      <c r="AK98">
        <v>2</v>
      </c>
      <c r="AL98" t="s">
        <v>74</v>
      </c>
      <c r="AM98">
        <v>2</v>
      </c>
      <c r="AN98" t="s">
        <v>74</v>
      </c>
      <c r="AO98">
        <v>3</v>
      </c>
      <c r="AP98" t="s">
        <v>74</v>
      </c>
      <c r="AQ98">
        <v>2</v>
      </c>
      <c r="AR98">
        <v>0</v>
      </c>
      <c r="AS98">
        <v>2</v>
      </c>
    </row>
    <row r="99" spans="1:4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 t="str">
        <f>IF(Employee_data[[#This Row],[MonthlyIncome]]&lt;5000,"Low Income",
IF(Employee_data[[#This Row],[MonthlyIncome]]&lt;10000,"Medium Income","High Income"))</f>
        <v>Low Income</v>
      </c>
      <c r="U99" t="s">
        <v>91</v>
      </c>
      <c r="V99" t="s">
        <v>91</v>
      </c>
      <c r="W99" t="s">
        <v>91</v>
      </c>
      <c r="X99" t="s">
        <v>91</v>
      </c>
      <c r="Y99">
        <v>8863</v>
      </c>
      <c r="Z99">
        <v>1</v>
      </c>
      <c r="AA99" t="s">
        <v>42</v>
      </c>
      <c r="AB99" t="s">
        <v>43</v>
      </c>
      <c r="AC99">
        <v>15</v>
      </c>
      <c r="AD99">
        <v>3</v>
      </c>
      <c r="AE99">
        <v>2</v>
      </c>
      <c r="AF99">
        <v>80</v>
      </c>
      <c r="AG99">
        <v>0</v>
      </c>
      <c r="AH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9">
        <v>5</v>
      </c>
      <c r="AJ99" t="s">
        <v>78</v>
      </c>
      <c r="AK99">
        <v>3</v>
      </c>
      <c r="AL99" t="s">
        <v>78</v>
      </c>
      <c r="AM99">
        <v>4</v>
      </c>
      <c r="AN99" t="s">
        <v>78</v>
      </c>
      <c r="AO99">
        <v>5</v>
      </c>
      <c r="AP99" t="s">
        <v>78</v>
      </c>
      <c r="AQ99">
        <v>4</v>
      </c>
      <c r="AR99">
        <v>0</v>
      </c>
      <c r="AS99">
        <v>4</v>
      </c>
    </row>
    <row r="100" spans="1:4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 t="str">
        <f>IF(Employee_data[[#This Row],[MonthlyIncome]]&lt;5000,"Low Income",
IF(Employee_data[[#This Row],[MonthlyIncome]]&lt;10000,"Medium Income","High Income"))</f>
        <v>High Income</v>
      </c>
      <c r="U100" t="s">
        <v>90</v>
      </c>
      <c r="V100" t="s">
        <v>90</v>
      </c>
      <c r="W100" t="s">
        <v>90</v>
      </c>
      <c r="X100" t="s">
        <v>90</v>
      </c>
      <c r="Y100">
        <v>24409</v>
      </c>
      <c r="Z100">
        <v>0</v>
      </c>
      <c r="AA100" t="s">
        <v>42</v>
      </c>
      <c r="AB100" t="s">
        <v>43</v>
      </c>
      <c r="AC100">
        <v>13</v>
      </c>
      <c r="AD100">
        <v>3</v>
      </c>
      <c r="AE100">
        <v>3</v>
      </c>
      <c r="AF100">
        <v>80</v>
      </c>
      <c r="AG100">
        <v>0</v>
      </c>
      <c r="AH1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100">
        <v>38</v>
      </c>
      <c r="AJ100" t="s">
        <v>77</v>
      </c>
      <c r="AK100">
        <v>1</v>
      </c>
      <c r="AL100" t="s">
        <v>77</v>
      </c>
      <c r="AM100">
        <v>2</v>
      </c>
      <c r="AN100" t="s">
        <v>77</v>
      </c>
      <c r="AO100">
        <v>37</v>
      </c>
      <c r="AP100" t="s">
        <v>77</v>
      </c>
      <c r="AQ100">
        <v>10</v>
      </c>
      <c r="AR100">
        <v>1</v>
      </c>
      <c r="AS100">
        <v>8</v>
      </c>
    </row>
    <row r="101" spans="1:4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 t="str">
        <f>IF(Employee_data[[#This Row],[MonthlyIncome]]&lt;5000,"Low Income",
IF(Employee_data[[#This Row],[MonthlyIncome]]&lt;10000,"Medium Income","High Income"))</f>
        <v>Low Income</v>
      </c>
      <c r="U101" t="s">
        <v>91</v>
      </c>
      <c r="V101" t="s">
        <v>91</v>
      </c>
      <c r="W101" t="s">
        <v>91</v>
      </c>
      <c r="X101" t="s">
        <v>91</v>
      </c>
      <c r="Y101">
        <v>25043</v>
      </c>
      <c r="Z101">
        <v>4</v>
      </c>
      <c r="AA101" t="s">
        <v>42</v>
      </c>
      <c r="AB101" t="s">
        <v>43</v>
      </c>
      <c r="AC101">
        <v>12</v>
      </c>
      <c r="AD101">
        <v>3</v>
      </c>
      <c r="AE101">
        <v>3</v>
      </c>
      <c r="AF101">
        <v>80</v>
      </c>
      <c r="AG101">
        <v>1</v>
      </c>
      <c r="AH1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1">
        <v>17</v>
      </c>
      <c r="AJ101" t="s">
        <v>74</v>
      </c>
      <c r="AK101">
        <v>3</v>
      </c>
      <c r="AL101" t="s">
        <v>74</v>
      </c>
      <c r="AM101">
        <v>4</v>
      </c>
      <c r="AN101" t="s">
        <v>74</v>
      </c>
      <c r="AO101">
        <v>3</v>
      </c>
      <c r="AP101" t="s">
        <v>74</v>
      </c>
      <c r="AQ101">
        <v>2</v>
      </c>
      <c r="AR101">
        <v>1</v>
      </c>
      <c r="AS101">
        <v>2</v>
      </c>
    </row>
    <row r="102" spans="1:4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 t="str">
        <f>IF(Employee_data[[#This Row],[MonthlyIncome]]&lt;5000,"Low Income",
IF(Employee_data[[#This Row],[MonthlyIncome]]&lt;10000,"Medium Income","High Income"))</f>
        <v>Low Income</v>
      </c>
      <c r="U102" t="s">
        <v>91</v>
      </c>
      <c r="V102" t="s">
        <v>91</v>
      </c>
      <c r="W102" t="s">
        <v>91</v>
      </c>
      <c r="X102" t="s">
        <v>91</v>
      </c>
      <c r="Y102">
        <v>23648</v>
      </c>
      <c r="Z102">
        <v>4</v>
      </c>
      <c r="AA102" t="s">
        <v>42</v>
      </c>
      <c r="AB102" t="s">
        <v>35</v>
      </c>
      <c r="AC102">
        <v>22</v>
      </c>
      <c r="AD102">
        <v>4</v>
      </c>
      <c r="AE102">
        <v>4</v>
      </c>
      <c r="AF102">
        <v>80</v>
      </c>
      <c r="AG102">
        <v>0</v>
      </c>
      <c r="AH1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2">
        <v>7</v>
      </c>
      <c r="AJ102" t="s">
        <v>74</v>
      </c>
      <c r="AK102">
        <v>3</v>
      </c>
      <c r="AL102" t="s">
        <v>74</v>
      </c>
      <c r="AM102">
        <v>3</v>
      </c>
      <c r="AN102" t="s">
        <v>74</v>
      </c>
      <c r="AO102">
        <v>3</v>
      </c>
      <c r="AP102" t="s">
        <v>74</v>
      </c>
      <c r="AQ102">
        <v>2</v>
      </c>
      <c r="AR102">
        <v>0</v>
      </c>
      <c r="AS102">
        <v>2</v>
      </c>
    </row>
    <row r="103" spans="1:4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 t="str">
        <f>IF(Employee_data[[#This Row],[MonthlyIncome]]&lt;5000,"Low Income",
IF(Employee_data[[#This Row],[MonthlyIncome]]&lt;10000,"Medium Income","High Income"))</f>
        <v>Low Income</v>
      </c>
      <c r="U103" t="s">
        <v>91</v>
      </c>
      <c r="V103" t="s">
        <v>91</v>
      </c>
      <c r="W103" t="s">
        <v>91</v>
      </c>
      <c r="X103" t="s">
        <v>91</v>
      </c>
      <c r="Y103">
        <v>15178</v>
      </c>
      <c r="Z103">
        <v>1</v>
      </c>
      <c r="AA103" t="s">
        <v>42</v>
      </c>
      <c r="AB103" t="s">
        <v>43</v>
      </c>
      <c r="AC103">
        <v>13</v>
      </c>
      <c r="AD103">
        <v>3</v>
      </c>
      <c r="AE103">
        <v>4</v>
      </c>
      <c r="AF103">
        <v>80</v>
      </c>
      <c r="AG103">
        <v>0</v>
      </c>
      <c r="AH1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3">
        <v>1</v>
      </c>
      <c r="AJ103" t="s">
        <v>74</v>
      </c>
      <c r="AK103">
        <v>2</v>
      </c>
      <c r="AL103" t="s">
        <v>74</v>
      </c>
      <c r="AM103">
        <v>3</v>
      </c>
      <c r="AN103" t="s">
        <v>74</v>
      </c>
      <c r="AO103">
        <v>1</v>
      </c>
      <c r="AP103" t="s">
        <v>74</v>
      </c>
      <c r="AQ103">
        <v>0</v>
      </c>
      <c r="AR103">
        <v>0</v>
      </c>
      <c r="AS103">
        <v>0</v>
      </c>
    </row>
    <row r="104" spans="1:4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 t="str">
        <f>IF(Employee_data[[#This Row],[MonthlyIncome]]&lt;5000,"Low Income",
IF(Employee_data[[#This Row],[MonthlyIncome]]&lt;10000,"Medium Income","High Income"))</f>
        <v>Low Income</v>
      </c>
      <c r="U104" t="s">
        <v>91</v>
      </c>
      <c r="V104" t="s">
        <v>91</v>
      </c>
      <c r="W104" t="s">
        <v>91</v>
      </c>
      <c r="X104" t="s">
        <v>91</v>
      </c>
      <c r="Y104">
        <v>19783</v>
      </c>
      <c r="Z104">
        <v>1</v>
      </c>
      <c r="AA104" t="s">
        <v>42</v>
      </c>
      <c r="AB104" t="s">
        <v>35</v>
      </c>
      <c r="AC104">
        <v>18</v>
      </c>
      <c r="AD104">
        <v>3</v>
      </c>
      <c r="AE104">
        <v>2</v>
      </c>
      <c r="AF104">
        <v>80</v>
      </c>
      <c r="AG104">
        <v>0</v>
      </c>
      <c r="AH1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4">
        <v>1</v>
      </c>
      <c r="AJ104" t="s">
        <v>74</v>
      </c>
      <c r="AK104">
        <v>5</v>
      </c>
      <c r="AL104" t="s">
        <v>74</v>
      </c>
      <c r="AM104">
        <v>3</v>
      </c>
      <c r="AN104" t="s">
        <v>74</v>
      </c>
      <c r="AO104">
        <v>1</v>
      </c>
      <c r="AP104" t="s">
        <v>74</v>
      </c>
      <c r="AQ104">
        <v>0</v>
      </c>
      <c r="AR104">
        <v>1</v>
      </c>
      <c r="AS104">
        <v>0</v>
      </c>
    </row>
    <row r="105" spans="1:4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 t="str">
        <f>IF(Employee_data[[#This Row],[MonthlyIncome]]&lt;5000,"Low Income",
IF(Employee_data[[#This Row],[MonthlyIncome]]&lt;10000,"Medium Income","High Income"))</f>
        <v>Low Income</v>
      </c>
      <c r="U105" t="s">
        <v>91</v>
      </c>
      <c r="V105" t="s">
        <v>91</v>
      </c>
      <c r="W105" t="s">
        <v>91</v>
      </c>
      <c r="X105" t="s">
        <v>91</v>
      </c>
      <c r="Y105">
        <v>12482</v>
      </c>
      <c r="Z105">
        <v>1</v>
      </c>
      <c r="AA105" t="s">
        <v>42</v>
      </c>
      <c r="AB105" t="s">
        <v>43</v>
      </c>
      <c r="AC105">
        <v>14</v>
      </c>
      <c r="AD105">
        <v>3</v>
      </c>
      <c r="AE105">
        <v>3</v>
      </c>
      <c r="AF105">
        <v>80</v>
      </c>
      <c r="AG105">
        <v>0</v>
      </c>
      <c r="AH1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05">
        <v>16</v>
      </c>
      <c r="AJ105" t="s">
        <v>76</v>
      </c>
      <c r="AK105">
        <v>3</v>
      </c>
      <c r="AL105" t="s">
        <v>76</v>
      </c>
      <c r="AM105">
        <v>3</v>
      </c>
      <c r="AN105" t="s">
        <v>76</v>
      </c>
      <c r="AO105">
        <v>16</v>
      </c>
      <c r="AP105" t="s">
        <v>76</v>
      </c>
      <c r="AQ105">
        <v>13</v>
      </c>
      <c r="AR105">
        <v>2</v>
      </c>
      <c r="AS105">
        <v>10</v>
      </c>
    </row>
    <row r="106" spans="1:4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 t="str">
        <f>IF(Employee_data[[#This Row],[MonthlyIncome]]&lt;5000,"Low Income",
IF(Employee_data[[#This Row],[MonthlyIncome]]&lt;10000,"Medium Income","High Income"))</f>
        <v>Medium Income</v>
      </c>
      <c r="U106" t="s">
        <v>92</v>
      </c>
      <c r="V106" t="s">
        <v>92</v>
      </c>
      <c r="W106" t="s">
        <v>92</v>
      </c>
      <c r="X106" t="s">
        <v>92</v>
      </c>
      <c r="Y106">
        <v>15850</v>
      </c>
      <c r="Z106">
        <v>5</v>
      </c>
      <c r="AA106" t="s">
        <v>42</v>
      </c>
      <c r="AB106" t="s">
        <v>43</v>
      </c>
      <c r="AC106">
        <v>14</v>
      </c>
      <c r="AD106">
        <v>3</v>
      </c>
      <c r="AE106">
        <v>4</v>
      </c>
      <c r="AF106">
        <v>80</v>
      </c>
      <c r="AG106">
        <v>1</v>
      </c>
      <c r="AH1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6">
        <v>17</v>
      </c>
      <c r="AJ106" t="s">
        <v>74</v>
      </c>
      <c r="AK106">
        <v>2</v>
      </c>
      <c r="AL106" t="s">
        <v>74</v>
      </c>
      <c r="AM106">
        <v>4</v>
      </c>
      <c r="AN106" t="s">
        <v>74</v>
      </c>
      <c r="AO106">
        <v>1</v>
      </c>
      <c r="AP106" t="s">
        <v>74</v>
      </c>
      <c r="AQ106">
        <v>0</v>
      </c>
      <c r="AR106">
        <v>0</v>
      </c>
      <c r="AS106">
        <v>0</v>
      </c>
    </row>
    <row r="107" spans="1:4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 t="str">
        <f>IF(Employee_data[[#This Row],[MonthlyIncome]]&lt;5000,"Low Income",
IF(Employee_data[[#This Row],[MonthlyIncome]]&lt;10000,"Medium Income","High Income"))</f>
        <v>High Income</v>
      </c>
      <c r="U107" t="s">
        <v>90</v>
      </c>
      <c r="V107" t="s">
        <v>90</v>
      </c>
      <c r="W107" t="s">
        <v>90</v>
      </c>
      <c r="X107" t="s">
        <v>90</v>
      </c>
      <c r="Y107">
        <v>21922</v>
      </c>
      <c r="Z107">
        <v>9</v>
      </c>
      <c r="AA107" t="s">
        <v>42</v>
      </c>
      <c r="AB107" t="s">
        <v>43</v>
      </c>
      <c r="AC107">
        <v>21</v>
      </c>
      <c r="AD107">
        <v>4</v>
      </c>
      <c r="AE107">
        <v>4</v>
      </c>
      <c r="AF107">
        <v>80</v>
      </c>
      <c r="AG107">
        <v>1</v>
      </c>
      <c r="AH1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7">
        <v>30</v>
      </c>
      <c r="AJ107" t="s">
        <v>74</v>
      </c>
      <c r="AK107">
        <v>3</v>
      </c>
      <c r="AL107" t="s">
        <v>74</v>
      </c>
      <c r="AM107">
        <v>3</v>
      </c>
      <c r="AN107" t="s">
        <v>74</v>
      </c>
      <c r="AO107">
        <v>3</v>
      </c>
      <c r="AP107" t="s">
        <v>74</v>
      </c>
      <c r="AQ107">
        <v>2</v>
      </c>
      <c r="AR107">
        <v>2</v>
      </c>
      <c r="AS107">
        <v>2</v>
      </c>
    </row>
    <row r="108" spans="1:4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 t="str">
        <f>IF(Employee_data[[#This Row],[MonthlyIncome]]&lt;5000,"Low Income",
IF(Employee_data[[#This Row],[MonthlyIncome]]&lt;10000,"Medium Income","High Income"))</f>
        <v>High Income</v>
      </c>
      <c r="U108" t="s">
        <v>90</v>
      </c>
      <c r="V108" t="s">
        <v>90</v>
      </c>
      <c r="W108" t="s">
        <v>90</v>
      </c>
      <c r="X108" t="s">
        <v>90</v>
      </c>
      <c r="Y108">
        <v>9755</v>
      </c>
      <c r="Z108">
        <v>3</v>
      </c>
      <c r="AA108" t="s">
        <v>42</v>
      </c>
      <c r="AB108" t="s">
        <v>35</v>
      </c>
      <c r="AC108">
        <v>19</v>
      </c>
      <c r="AD108">
        <v>3</v>
      </c>
      <c r="AE108">
        <v>1</v>
      </c>
      <c r="AF108">
        <v>80</v>
      </c>
      <c r="AG108">
        <v>0</v>
      </c>
      <c r="AH1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8">
        <v>28</v>
      </c>
      <c r="AJ108" t="s">
        <v>78</v>
      </c>
      <c r="AK108">
        <v>1</v>
      </c>
      <c r="AL108" t="s">
        <v>78</v>
      </c>
      <c r="AM108">
        <v>2</v>
      </c>
      <c r="AN108" t="s">
        <v>78</v>
      </c>
      <c r="AO108">
        <v>8</v>
      </c>
      <c r="AP108" t="s">
        <v>78</v>
      </c>
      <c r="AQ108">
        <v>3</v>
      </c>
      <c r="AR108">
        <v>0</v>
      </c>
      <c r="AS108">
        <v>7</v>
      </c>
    </row>
    <row r="109" spans="1:4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 t="str">
        <f>IF(Employee_data[[#This Row],[MonthlyIncome]]&lt;5000,"Low Income",
IF(Employee_data[[#This Row],[MonthlyIncome]]&lt;10000,"Medium Income","High Income"))</f>
        <v>Medium Income</v>
      </c>
      <c r="U109" t="s">
        <v>92</v>
      </c>
      <c r="V109" t="s">
        <v>92</v>
      </c>
      <c r="W109" t="s">
        <v>92</v>
      </c>
      <c r="X109" t="s">
        <v>92</v>
      </c>
      <c r="Y109">
        <v>26959</v>
      </c>
      <c r="Z109">
        <v>1</v>
      </c>
      <c r="AA109" t="s">
        <v>42</v>
      </c>
      <c r="AB109" t="s">
        <v>35</v>
      </c>
      <c r="AC109">
        <v>11</v>
      </c>
      <c r="AD109">
        <v>3</v>
      </c>
      <c r="AE109">
        <v>4</v>
      </c>
      <c r="AF109">
        <v>80</v>
      </c>
      <c r="AG109">
        <v>0</v>
      </c>
      <c r="AH1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9">
        <v>6</v>
      </c>
      <c r="AJ109" t="s">
        <v>78</v>
      </c>
      <c r="AK109">
        <v>1</v>
      </c>
      <c r="AL109" t="s">
        <v>78</v>
      </c>
      <c r="AM109">
        <v>3</v>
      </c>
      <c r="AN109" t="s">
        <v>78</v>
      </c>
      <c r="AO109">
        <v>6</v>
      </c>
      <c r="AP109" t="s">
        <v>78</v>
      </c>
      <c r="AQ109">
        <v>4</v>
      </c>
      <c r="AR109">
        <v>0</v>
      </c>
      <c r="AS109">
        <v>3</v>
      </c>
    </row>
    <row r="110" spans="1:4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 t="str">
        <f>IF(Employee_data[[#This Row],[MonthlyIncome]]&lt;5000,"Low Income",
IF(Employee_data[[#This Row],[MonthlyIncome]]&lt;10000,"Medium Income","High Income"))</f>
        <v>Low Income</v>
      </c>
      <c r="U110" t="s">
        <v>91</v>
      </c>
      <c r="V110" t="s">
        <v>91</v>
      </c>
      <c r="W110" t="s">
        <v>91</v>
      </c>
      <c r="X110" t="s">
        <v>91</v>
      </c>
      <c r="Y110">
        <v>26897</v>
      </c>
      <c r="Z110">
        <v>1</v>
      </c>
      <c r="AA110" t="s">
        <v>42</v>
      </c>
      <c r="AB110" t="s">
        <v>43</v>
      </c>
      <c r="AC110">
        <v>11</v>
      </c>
      <c r="AD110">
        <v>3</v>
      </c>
      <c r="AE110">
        <v>3</v>
      </c>
      <c r="AF110">
        <v>80</v>
      </c>
      <c r="AG110">
        <v>2</v>
      </c>
      <c r="AH1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0">
        <v>2</v>
      </c>
      <c r="AJ110" t="s">
        <v>74</v>
      </c>
      <c r="AK110">
        <v>2</v>
      </c>
      <c r="AL110" t="s">
        <v>74</v>
      </c>
      <c r="AM110">
        <v>3</v>
      </c>
      <c r="AN110" t="s">
        <v>74</v>
      </c>
      <c r="AO110">
        <v>2</v>
      </c>
      <c r="AP110" t="s">
        <v>74</v>
      </c>
      <c r="AQ110">
        <v>2</v>
      </c>
      <c r="AR110">
        <v>2</v>
      </c>
      <c r="AS110">
        <v>1</v>
      </c>
    </row>
    <row r="111" spans="1:4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 t="str">
        <f>IF(Employee_data[[#This Row],[MonthlyIncome]]&lt;5000,"Low Income",
IF(Employee_data[[#This Row],[MonthlyIncome]]&lt;10000,"Medium Income","High Income"))</f>
        <v>Low Income</v>
      </c>
      <c r="U111" t="s">
        <v>91</v>
      </c>
      <c r="V111" t="s">
        <v>91</v>
      </c>
      <c r="W111" t="s">
        <v>91</v>
      </c>
      <c r="X111" t="s">
        <v>91</v>
      </c>
      <c r="Y111">
        <v>23785</v>
      </c>
      <c r="Z111">
        <v>1</v>
      </c>
      <c r="AA111" t="s">
        <v>42</v>
      </c>
      <c r="AB111" t="s">
        <v>43</v>
      </c>
      <c r="AC111">
        <v>15</v>
      </c>
      <c r="AD111">
        <v>3</v>
      </c>
      <c r="AE111">
        <v>3</v>
      </c>
      <c r="AF111">
        <v>80</v>
      </c>
      <c r="AG111">
        <v>0</v>
      </c>
      <c r="AH1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1">
        <v>1</v>
      </c>
      <c r="AJ111" t="s">
        <v>74</v>
      </c>
      <c r="AK111">
        <v>5</v>
      </c>
      <c r="AL111" t="s">
        <v>74</v>
      </c>
      <c r="AM111">
        <v>3</v>
      </c>
      <c r="AN111" t="s">
        <v>74</v>
      </c>
      <c r="AO111">
        <v>0</v>
      </c>
      <c r="AP111" t="s">
        <v>74</v>
      </c>
      <c r="AQ111">
        <v>0</v>
      </c>
      <c r="AR111">
        <v>0</v>
      </c>
      <c r="AS111">
        <v>0</v>
      </c>
    </row>
    <row r="112" spans="1:4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 t="str">
        <f>IF(Employee_data[[#This Row],[MonthlyIncome]]&lt;5000,"Low Income",
IF(Employee_data[[#This Row],[MonthlyIncome]]&lt;10000,"Medium Income","High Income"))</f>
        <v>Medium Income</v>
      </c>
      <c r="U112" t="s">
        <v>92</v>
      </c>
      <c r="V112" t="s">
        <v>92</v>
      </c>
      <c r="W112" t="s">
        <v>92</v>
      </c>
      <c r="X112" t="s">
        <v>92</v>
      </c>
      <c r="Y112">
        <v>25796</v>
      </c>
      <c r="Z112">
        <v>3</v>
      </c>
      <c r="AA112" t="s">
        <v>42</v>
      </c>
      <c r="AB112" t="s">
        <v>43</v>
      </c>
      <c r="AC112">
        <v>20</v>
      </c>
      <c r="AD112">
        <v>4</v>
      </c>
      <c r="AE112">
        <v>3</v>
      </c>
      <c r="AF112">
        <v>80</v>
      </c>
      <c r="AG112">
        <v>0</v>
      </c>
      <c r="AH1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2">
        <v>23</v>
      </c>
      <c r="AJ112" t="s">
        <v>75</v>
      </c>
      <c r="AK112">
        <v>1</v>
      </c>
      <c r="AL112" t="s">
        <v>75</v>
      </c>
      <c r="AM112">
        <v>2</v>
      </c>
      <c r="AN112" t="s">
        <v>75</v>
      </c>
      <c r="AO112">
        <v>13</v>
      </c>
      <c r="AP112" t="s">
        <v>75</v>
      </c>
      <c r="AQ112">
        <v>12</v>
      </c>
      <c r="AR112">
        <v>12</v>
      </c>
      <c r="AS112">
        <v>8</v>
      </c>
    </row>
    <row r="113" spans="1:4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 t="str">
        <f>IF(Employee_data[[#This Row],[MonthlyIncome]]&lt;5000,"Low Income",
IF(Employee_data[[#This Row],[MonthlyIncome]]&lt;10000,"Medium Income","High Income"))</f>
        <v>Medium Income</v>
      </c>
      <c r="U113" t="s">
        <v>92</v>
      </c>
      <c r="V113" t="s">
        <v>92</v>
      </c>
      <c r="W113" t="s">
        <v>92</v>
      </c>
      <c r="X113" t="s">
        <v>92</v>
      </c>
      <c r="Y113">
        <v>22887</v>
      </c>
      <c r="Z113">
        <v>1</v>
      </c>
      <c r="AA113" t="s">
        <v>42</v>
      </c>
      <c r="AB113" t="s">
        <v>35</v>
      </c>
      <c r="AC113">
        <v>24</v>
      </c>
      <c r="AD113">
        <v>4</v>
      </c>
      <c r="AE113">
        <v>4</v>
      </c>
      <c r="AF113">
        <v>80</v>
      </c>
      <c r="AG113">
        <v>0</v>
      </c>
      <c r="AH1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3">
        <v>9</v>
      </c>
      <c r="AJ113" t="s">
        <v>78</v>
      </c>
      <c r="AK113">
        <v>3</v>
      </c>
      <c r="AL113" t="s">
        <v>78</v>
      </c>
      <c r="AM113">
        <v>3</v>
      </c>
      <c r="AN113" t="s">
        <v>78</v>
      </c>
      <c r="AO113">
        <v>9</v>
      </c>
      <c r="AP113" t="s">
        <v>78</v>
      </c>
      <c r="AQ113">
        <v>7</v>
      </c>
      <c r="AR113">
        <v>0</v>
      </c>
      <c r="AS113">
        <v>6</v>
      </c>
    </row>
    <row r="114" spans="1:4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 t="str">
        <f>IF(Employee_data[[#This Row],[MonthlyIncome]]&lt;5000,"Low Income",
IF(Employee_data[[#This Row],[MonthlyIncome]]&lt;10000,"Medium Income","High Income"))</f>
        <v>High Income</v>
      </c>
      <c r="U114" t="s">
        <v>90</v>
      </c>
      <c r="V114" t="s">
        <v>90</v>
      </c>
      <c r="W114" t="s">
        <v>90</v>
      </c>
      <c r="X114" t="s">
        <v>90</v>
      </c>
      <c r="Y114">
        <v>13871</v>
      </c>
      <c r="Z114">
        <v>2</v>
      </c>
      <c r="AA114" t="s">
        <v>42</v>
      </c>
      <c r="AB114" t="s">
        <v>35</v>
      </c>
      <c r="AC114">
        <v>12</v>
      </c>
      <c r="AD114">
        <v>3</v>
      </c>
      <c r="AE114">
        <v>3</v>
      </c>
      <c r="AF114">
        <v>80</v>
      </c>
      <c r="AG114">
        <v>0</v>
      </c>
      <c r="AH1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4">
        <v>23</v>
      </c>
      <c r="AJ114" t="s">
        <v>78</v>
      </c>
      <c r="AK114">
        <v>3</v>
      </c>
      <c r="AL114" t="s">
        <v>78</v>
      </c>
      <c r="AM114">
        <v>3</v>
      </c>
      <c r="AN114" t="s">
        <v>78</v>
      </c>
      <c r="AO114">
        <v>5</v>
      </c>
      <c r="AP114" t="s">
        <v>78</v>
      </c>
      <c r="AQ114">
        <v>3</v>
      </c>
      <c r="AR114">
        <v>4</v>
      </c>
      <c r="AS114">
        <v>4</v>
      </c>
    </row>
    <row r="115" spans="1:4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 t="str">
        <f>IF(Employee_data[[#This Row],[MonthlyIncome]]&lt;5000,"Low Income",
IF(Employee_data[[#This Row],[MonthlyIncome]]&lt;10000,"Medium Income","High Income"))</f>
        <v>Low Income</v>
      </c>
      <c r="U115" t="s">
        <v>91</v>
      </c>
      <c r="V115" t="s">
        <v>91</v>
      </c>
      <c r="W115" t="s">
        <v>91</v>
      </c>
      <c r="X115" t="s">
        <v>91</v>
      </c>
      <c r="Y115">
        <v>13257</v>
      </c>
      <c r="Z115">
        <v>0</v>
      </c>
      <c r="AA115" t="s">
        <v>42</v>
      </c>
      <c r="AB115" t="s">
        <v>43</v>
      </c>
      <c r="AC115">
        <v>12</v>
      </c>
      <c r="AD115">
        <v>3</v>
      </c>
      <c r="AE115">
        <v>3</v>
      </c>
      <c r="AF115">
        <v>80</v>
      </c>
      <c r="AG115">
        <v>1</v>
      </c>
      <c r="AH1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5">
        <v>6</v>
      </c>
      <c r="AJ115" t="s">
        <v>78</v>
      </c>
      <c r="AK115">
        <v>2</v>
      </c>
      <c r="AL115" t="s">
        <v>78</v>
      </c>
      <c r="AM115">
        <v>3</v>
      </c>
      <c r="AN115" t="s">
        <v>78</v>
      </c>
      <c r="AO115">
        <v>5</v>
      </c>
      <c r="AP115" t="s">
        <v>78</v>
      </c>
      <c r="AQ115">
        <v>3</v>
      </c>
      <c r="AR115">
        <v>1</v>
      </c>
      <c r="AS115">
        <v>2</v>
      </c>
    </row>
    <row r="116" spans="1:4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 t="str">
        <f>IF(Employee_data[[#This Row],[MonthlyIncome]]&lt;5000,"Low Income",
IF(Employee_data[[#This Row],[MonthlyIncome]]&lt;10000,"Medium Income","High Income"))</f>
        <v>Low Income</v>
      </c>
      <c r="U116" t="s">
        <v>91</v>
      </c>
      <c r="V116" t="s">
        <v>91</v>
      </c>
      <c r="W116" t="s">
        <v>91</v>
      </c>
      <c r="X116" t="s">
        <v>91</v>
      </c>
      <c r="Y116">
        <v>15000</v>
      </c>
      <c r="Z116">
        <v>6</v>
      </c>
      <c r="AA116" t="s">
        <v>42</v>
      </c>
      <c r="AB116" t="s">
        <v>43</v>
      </c>
      <c r="AC116">
        <v>15</v>
      </c>
      <c r="AD116">
        <v>3</v>
      </c>
      <c r="AE116">
        <v>3</v>
      </c>
      <c r="AF116">
        <v>80</v>
      </c>
      <c r="AG116">
        <v>1</v>
      </c>
      <c r="AH1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6">
        <v>12</v>
      </c>
      <c r="AJ116" t="s">
        <v>74</v>
      </c>
      <c r="AK116">
        <v>3</v>
      </c>
      <c r="AL116" t="s">
        <v>74</v>
      </c>
      <c r="AM116">
        <v>3</v>
      </c>
      <c r="AN116" t="s">
        <v>74</v>
      </c>
      <c r="AO116">
        <v>1</v>
      </c>
      <c r="AP116" t="s">
        <v>74</v>
      </c>
      <c r="AQ116">
        <v>0</v>
      </c>
      <c r="AR116">
        <v>0</v>
      </c>
      <c r="AS116">
        <v>0</v>
      </c>
    </row>
    <row r="117" spans="1:4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 t="str">
        <f>IF(Employee_data[[#This Row],[MonthlyIncome]]&lt;5000,"Low Income",
IF(Employee_data[[#This Row],[MonthlyIncome]]&lt;10000,"Medium Income","High Income"))</f>
        <v>Medium Income</v>
      </c>
      <c r="U117" t="s">
        <v>92</v>
      </c>
      <c r="V117" t="s">
        <v>92</v>
      </c>
      <c r="W117" t="s">
        <v>92</v>
      </c>
      <c r="X117" t="s">
        <v>92</v>
      </c>
      <c r="Y117">
        <v>14506</v>
      </c>
      <c r="Z117">
        <v>2</v>
      </c>
      <c r="AA117" t="s">
        <v>42</v>
      </c>
      <c r="AB117" t="s">
        <v>43</v>
      </c>
      <c r="AC117">
        <v>12</v>
      </c>
      <c r="AD117">
        <v>3</v>
      </c>
      <c r="AE117">
        <v>1</v>
      </c>
      <c r="AF117">
        <v>80</v>
      </c>
      <c r="AG117">
        <v>0</v>
      </c>
      <c r="AH1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7">
        <v>12</v>
      </c>
      <c r="AJ117" t="s">
        <v>78</v>
      </c>
      <c r="AK117">
        <v>3</v>
      </c>
      <c r="AL117" t="s">
        <v>78</v>
      </c>
      <c r="AM117">
        <v>3</v>
      </c>
      <c r="AN117" t="s">
        <v>78</v>
      </c>
      <c r="AO117">
        <v>5</v>
      </c>
      <c r="AP117" t="s">
        <v>78</v>
      </c>
      <c r="AQ117">
        <v>3</v>
      </c>
      <c r="AR117">
        <v>1</v>
      </c>
      <c r="AS117">
        <v>3</v>
      </c>
    </row>
    <row r="118" spans="1:4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 t="str">
        <f>IF(Employee_data[[#This Row],[MonthlyIncome]]&lt;5000,"Low Income",
IF(Employee_data[[#This Row],[MonthlyIncome]]&lt;10000,"Medium Income","High Income"))</f>
        <v>High Income</v>
      </c>
      <c r="U118" t="s">
        <v>90</v>
      </c>
      <c r="V118" t="s">
        <v>90</v>
      </c>
      <c r="W118" t="s">
        <v>90</v>
      </c>
      <c r="X118" t="s">
        <v>90</v>
      </c>
      <c r="Y118">
        <v>5615</v>
      </c>
      <c r="Z118">
        <v>2</v>
      </c>
      <c r="AA118" t="s">
        <v>42</v>
      </c>
      <c r="AB118" t="s">
        <v>43</v>
      </c>
      <c r="AC118">
        <v>12</v>
      </c>
      <c r="AD118">
        <v>3</v>
      </c>
      <c r="AE118">
        <v>4</v>
      </c>
      <c r="AF118">
        <v>80</v>
      </c>
      <c r="AG118">
        <v>0</v>
      </c>
      <c r="AH1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8">
        <v>14</v>
      </c>
      <c r="AJ118" t="s">
        <v>75</v>
      </c>
      <c r="AK118">
        <v>6</v>
      </c>
      <c r="AL118" t="s">
        <v>75</v>
      </c>
      <c r="AM118">
        <v>3</v>
      </c>
      <c r="AN118" t="s">
        <v>75</v>
      </c>
      <c r="AO118">
        <v>11</v>
      </c>
      <c r="AP118" t="s">
        <v>75</v>
      </c>
      <c r="AQ118">
        <v>10</v>
      </c>
      <c r="AR118">
        <v>5</v>
      </c>
      <c r="AS118">
        <v>8</v>
      </c>
    </row>
    <row r="119" spans="1:4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 t="str">
        <f>IF(Employee_data[[#This Row],[MonthlyIncome]]&lt;5000,"Low Income",
IF(Employee_data[[#This Row],[MonthlyIncome]]&lt;10000,"Medium Income","High Income"))</f>
        <v>Medium Income</v>
      </c>
      <c r="U119" t="s">
        <v>92</v>
      </c>
      <c r="V119" t="s">
        <v>92</v>
      </c>
      <c r="W119" t="s">
        <v>92</v>
      </c>
      <c r="X119" t="s">
        <v>92</v>
      </c>
      <c r="Y119">
        <v>22952</v>
      </c>
      <c r="Z119">
        <v>0</v>
      </c>
      <c r="AA119" t="s">
        <v>42</v>
      </c>
      <c r="AB119" t="s">
        <v>43</v>
      </c>
      <c r="AC119">
        <v>14</v>
      </c>
      <c r="AD119">
        <v>3</v>
      </c>
      <c r="AE119">
        <v>3</v>
      </c>
      <c r="AF119">
        <v>80</v>
      </c>
      <c r="AG119">
        <v>1</v>
      </c>
      <c r="AH1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9">
        <v>10</v>
      </c>
      <c r="AJ119" t="s">
        <v>78</v>
      </c>
      <c r="AK119">
        <v>6</v>
      </c>
      <c r="AL119" t="s">
        <v>78</v>
      </c>
      <c r="AM119">
        <v>3</v>
      </c>
      <c r="AN119" t="s">
        <v>78</v>
      </c>
      <c r="AO119">
        <v>9</v>
      </c>
      <c r="AP119" t="s">
        <v>78</v>
      </c>
      <c r="AQ119">
        <v>7</v>
      </c>
      <c r="AR119">
        <v>2</v>
      </c>
      <c r="AS119">
        <v>8</v>
      </c>
    </row>
    <row r="120" spans="1:4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 t="str">
        <f>IF(Employee_data[[#This Row],[MonthlyIncome]]&lt;5000,"Low Income",
IF(Employee_data[[#This Row],[MonthlyIncome]]&lt;10000,"Medium Income","High Income"))</f>
        <v>Low Income</v>
      </c>
      <c r="U120" t="s">
        <v>91</v>
      </c>
      <c r="V120" t="s">
        <v>91</v>
      </c>
      <c r="W120" t="s">
        <v>91</v>
      </c>
      <c r="X120" t="s">
        <v>91</v>
      </c>
      <c r="Y120">
        <v>2561</v>
      </c>
      <c r="Z120">
        <v>5</v>
      </c>
      <c r="AA120" t="s">
        <v>42</v>
      </c>
      <c r="AB120" t="s">
        <v>43</v>
      </c>
      <c r="AC120">
        <v>22</v>
      </c>
      <c r="AD120">
        <v>4</v>
      </c>
      <c r="AE120">
        <v>1</v>
      </c>
      <c r="AF120">
        <v>80</v>
      </c>
      <c r="AG120">
        <v>1</v>
      </c>
      <c r="AH1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0">
        <v>7</v>
      </c>
      <c r="AJ120" t="s">
        <v>74</v>
      </c>
      <c r="AK120">
        <v>2</v>
      </c>
      <c r="AL120" t="s">
        <v>74</v>
      </c>
      <c r="AM120">
        <v>3</v>
      </c>
      <c r="AN120" t="s">
        <v>74</v>
      </c>
      <c r="AO120">
        <v>1</v>
      </c>
      <c r="AP120" t="s">
        <v>74</v>
      </c>
      <c r="AQ120">
        <v>0</v>
      </c>
      <c r="AR120">
        <v>0</v>
      </c>
      <c r="AS120">
        <v>0</v>
      </c>
    </row>
    <row r="121" spans="1:4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 t="str">
        <f>IF(Employee_data[[#This Row],[MonthlyIncome]]&lt;5000,"Low Income",
IF(Employee_data[[#This Row],[MonthlyIncome]]&lt;10000,"Medium Income","High Income"))</f>
        <v>High Income</v>
      </c>
      <c r="U121" t="s">
        <v>90</v>
      </c>
      <c r="V121" t="s">
        <v>90</v>
      </c>
      <c r="W121" t="s">
        <v>90</v>
      </c>
      <c r="X121" t="s">
        <v>90</v>
      </c>
      <c r="Y121">
        <v>19494</v>
      </c>
      <c r="Z121">
        <v>1</v>
      </c>
      <c r="AA121" t="s">
        <v>42</v>
      </c>
      <c r="AB121" t="s">
        <v>35</v>
      </c>
      <c r="AC121">
        <v>12</v>
      </c>
      <c r="AD121">
        <v>3</v>
      </c>
      <c r="AE121">
        <v>4</v>
      </c>
      <c r="AF121">
        <v>80</v>
      </c>
      <c r="AG121">
        <v>2</v>
      </c>
      <c r="AH1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121">
        <v>25</v>
      </c>
      <c r="AJ121" t="s">
        <v>77</v>
      </c>
      <c r="AK121">
        <v>3</v>
      </c>
      <c r="AL121" t="s">
        <v>77</v>
      </c>
      <c r="AM121">
        <v>4</v>
      </c>
      <c r="AN121" t="s">
        <v>77</v>
      </c>
      <c r="AO121">
        <v>25</v>
      </c>
      <c r="AP121" t="s">
        <v>77</v>
      </c>
      <c r="AQ121">
        <v>12</v>
      </c>
      <c r="AR121">
        <v>4</v>
      </c>
      <c r="AS121">
        <v>12</v>
      </c>
    </row>
    <row r="122" spans="1:4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 t="str">
        <f>IF(Employee_data[[#This Row],[MonthlyIncome]]&lt;5000,"Low Income",
IF(Employee_data[[#This Row],[MonthlyIncome]]&lt;10000,"Medium Income","High Income"))</f>
        <v>Low Income</v>
      </c>
      <c r="U122" t="s">
        <v>91</v>
      </c>
      <c r="V122" t="s">
        <v>91</v>
      </c>
      <c r="W122" t="s">
        <v>91</v>
      </c>
      <c r="X122" t="s">
        <v>91</v>
      </c>
      <c r="Y122">
        <v>22310</v>
      </c>
      <c r="Z122">
        <v>1</v>
      </c>
      <c r="AA122" t="s">
        <v>42</v>
      </c>
      <c r="AB122" t="s">
        <v>43</v>
      </c>
      <c r="AC122">
        <v>25</v>
      </c>
      <c r="AD122">
        <v>4</v>
      </c>
      <c r="AE122">
        <v>3</v>
      </c>
      <c r="AF122">
        <v>80</v>
      </c>
      <c r="AG122">
        <v>3</v>
      </c>
      <c r="AH1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2">
        <v>10</v>
      </c>
      <c r="AJ122" t="s">
        <v>75</v>
      </c>
      <c r="AK122">
        <v>2</v>
      </c>
      <c r="AL122" t="s">
        <v>75</v>
      </c>
      <c r="AM122">
        <v>2</v>
      </c>
      <c r="AN122" t="s">
        <v>75</v>
      </c>
      <c r="AO122">
        <v>10</v>
      </c>
      <c r="AP122" t="s">
        <v>75</v>
      </c>
      <c r="AQ122">
        <v>7</v>
      </c>
      <c r="AR122">
        <v>0</v>
      </c>
      <c r="AS122">
        <v>9</v>
      </c>
    </row>
    <row r="123" spans="1:4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 t="str">
        <f>IF(Employee_data[[#This Row],[MonthlyIncome]]&lt;5000,"Low Income",
IF(Employee_data[[#This Row],[MonthlyIncome]]&lt;10000,"Medium Income","High Income"))</f>
        <v>Medium Income</v>
      </c>
      <c r="U123" t="s">
        <v>92</v>
      </c>
      <c r="V123" t="s">
        <v>92</v>
      </c>
      <c r="W123" t="s">
        <v>92</v>
      </c>
      <c r="X123" t="s">
        <v>92</v>
      </c>
      <c r="Y123">
        <v>15480</v>
      </c>
      <c r="Z123">
        <v>0</v>
      </c>
      <c r="AA123" t="s">
        <v>42</v>
      </c>
      <c r="AB123" t="s">
        <v>43</v>
      </c>
      <c r="AC123">
        <v>13</v>
      </c>
      <c r="AD123">
        <v>3</v>
      </c>
      <c r="AE123">
        <v>1</v>
      </c>
      <c r="AF123">
        <v>80</v>
      </c>
      <c r="AG123">
        <v>1</v>
      </c>
      <c r="AH1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3">
        <v>8</v>
      </c>
      <c r="AJ123" t="s">
        <v>78</v>
      </c>
      <c r="AK123">
        <v>2</v>
      </c>
      <c r="AL123" t="s">
        <v>78</v>
      </c>
      <c r="AM123">
        <v>4</v>
      </c>
      <c r="AN123" t="s">
        <v>78</v>
      </c>
      <c r="AO123">
        <v>7</v>
      </c>
      <c r="AP123" t="s">
        <v>78</v>
      </c>
      <c r="AQ123">
        <v>7</v>
      </c>
      <c r="AR123">
        <v>0</v>
      </c>
      <c r="AS123">
        <v>7</v>
      </c>
    </row>
    <row r="124" spans="1:4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 t="str">
        <f>IF(Employee_data[[#This Row],[MonthlyIncome]]&lt;5000,"Low Income",
IF(Employee_data[[#This Row],[MonthlyIncome]]&lt;10000,"Medium Income","High Income"))</f>
        <v>Low Income</v>
      </c>
      <c r="U124" t="s">
        <v>91</v>
      </c>
      <c r="V124" t="s">
        <v>91</v>
      </c>
      <c r="W124" t="s">
        <v>91</v>
      </c>
      <c r="X124" t="s">
        <v>91</v>
      </c>
      <c r="Y124">
        <v>4510</v>
      </c>
      <c r="Z124">
        <v>9</v>
      </c>
      <c r="AA124" t="s">
        <v>42</v>
      </c>
      <c r="AB124" t="s">
        <v>35</v>
      </c>
      <c r="AC124">
        <v>18</v>
      </c>
      <c r="AD124">
        <v>3</v>
      </c>
      <c r="AE124">
        <v>1</v>
      </c>
      <c r="AF124">
        <v>80</v>
      </c>
      <c r="AG124">
        <v>3</v>
      </c>
      <c r="AH1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4">
        <v>7</v>
      </c>
      <c r="AJ124" t="s">
        <v>78</v>
      </c>
      <c r="AK124">
        <v>2</v>
      </c>
      <c r="AL124" t="s">
        <v>78</v>
      </c>
      <c r="AM124">
        <v>3</v>
      </c>
      <c r="AN124" t="s">
        <v>78</v>
      </c>
      <c r="AO124">
        <v>5</v>
      </c>
      <c r="AP124" t="s">
        <v>78</v>
      </c>
      <c r="AQ124">
        <v>4</v>
      </c>
      <c r="AR124">
        <v>4</v>
      </c>
      <c r="AS124">
        <v>3</v>
      </c>
    </row>
    <row r="125" spans="1:4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 t="str">
        <f>IF(Employee_data[[#This Row],[MonthlyIncome]]&lt;5000,"Low Income",
IF(Employee_data[[#This Row],[MonthlyIncome]]&lt;10000,"Medium Income","High Income"))</f>
        <v>High Income</v>
      </c>
      <c r="U125" t="s">
        <v>90</v>
      </c>
      <c r="V125" t="s">
        <v>90</v>
      </c>
      <c r="W125" t="s">
        <v>90</v>
      </c>
      <c r="X125" t="s">
        <v>90</v>
      </c>
      <c r="Y125">
        <v>6462</v>
      </c>
      <c r="Z125">
        <v>7</v>
      </c>
      <c r="AA125" t="s">
        <v>42</v>
      </c>
      <c r="AB125" t="s">
        <v>43</v>
      </c>
      <c r="AC125">
        <v>13</v>
      </c>
      <c r="AD125">
        <v>3</v>
      </c>
      <c r="AE125">
        <v>3</v>
      </c>
      <c r="AF125">
        <v>80</v>
      </c>
      <c r="AG125">
        <v>0</v>
      </c>
      <c r="AH1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25">
        <v>23</v>
      </c>
      <c r="AJ125" t="s">
        <v>76</v>
      </c>
      <c r="AK125">
        <v>5</v>
      </c>
      <c r="AL125" t="s">
        <v>76</v>
      </c>
      <c r="AM125">
        <v>3</v>
      </c>
      <c r="AN125" t="s">
        <v>76</v>
      </c>
      <c r="AO125">
        <v>20</v>
      </c>
      <c r="AP125" t="s">
        <v>76</v>
      </c>
      <c r="AQ125">
        <v>18</v>
      </c>
      <c r="AR125">
        <v>15</v>
      </c>
      <c r="AS125">
        <v>15</v>
      </c>
    </row>
    <row r="126" spans="1:4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 t="str">
        <f>IF(Employee_data[[#This Row],[MonthlyIncome]]&lt;5000,"Low Income",
IF(Employee_data[[#This Row],[MonthlyIncome]]&lt;10000,"Medium Income","High Income"))</f>
        <v>Medium Income</v>
      </c>
      <c r="U126" t="s">
        <v>92</v>
      </c>
      <c r="V126" t="s">
        <v>92</v>
      </c>
      <c r="W126" t="s">
        <v>92</v>
      </c>
      <c r="X126" t="s">
        <v>92</v>
      </c>
      <c r="Y126">
        <v>20739</v>
      </c>
      <c r="Z126">
        <v>4</v>
      </c>
      <c r="AA126" t="s">
        <v>42</v>
      </c>
      <c r="AB126" t="s">
        <v>35</v>
      </c>
      <c r="AC126">
        <v>18</v>
      </c>
      <c r="AD126">
        <v>3</v>
      </c>
      <c r="AE126">
        <v>2</v>
      </c>
      <c r="AF126">
        <v>80</v>
      </c>
      <c r="AG126">
        <v>0</v>
      </c>
      <c r="AH1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6">
        <v>12</v>
      </c>
      <c r="AJ126" t="s">
        <v>78</v>
      </c>
      <c r="AK126">
        <v>3</v>
      </c>
      <c r="AL126" t="s">
        <v>78</v>
      </c>
      <c r="AM126">
        <v>2</v>
      </c>
      <c r="AN126" t="s">
        <v>78</v>
      </c>
      <c r="AO126">
        <v>7</v>
      </c>
      <c r="AP126" t="s">
        <v>78</v>
      </c>
      <c r="AQ126">
        <v>7</v>
      </c>
      <c r="AR126">
        <v>7</v>
      </c>
      <c r="AS126">
        <v>7</v>
      </c>
    </row>
    <row r="127" spans="1:4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 t="str">
        <f>IF(Employee_data[[#This Row],[MonthlyIncome]]&lt;5000,"Low Income",
IF(Employee_data[[#This Row],[MonthlyIncome]]&lt;10000,"Medium Income","High Income"))</f>
        <v>Low Income</v>
      </c>
      <c r="U127" t="s">
        <v>91</v>
      </c>
      <c r="V127" t="s">
        <v>91</v>
      </c>
      <c r="W127" t="s">
        <v>91</v>
      </c>
      <c r="X127" t="s">
        <v>91</v>
      </c>
      <c r="Y127">
        <v>23300</v>
      </c>
      <c r="Z127">
        <v>1</v>
      </c>
      <c r="AA127" t="s">
        <v>42</v>
      </c>
      <c r="AB127" t="s">
        <v>43</v>
      </c>
      <c r="AC127">
        <v>19</v>
      </c>
      <c r="AD127">
        <v>3</v>
      </c>
      <c r="AE127">
        <v>3</v>
      </c>
      <c r="AF127">
        <v>80</v>
      </c>
      <c r="AG127">
        <v>0</v>
      </c>
      <c r="AH1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7">
        <v>5</v>
      </c>
      <c r="AJ127" t="s">
        <v>78</v>
      </c>
      <c r="AK127">
        <v>3</v>
      </c>
      <c r="AL127" t="s">
        <v>78</v>
      </c>
      <c r="AM127">
        <v>2</v>
      </c>
      <c r="AN127" t="s">
        <v>78</v>
      </c>
      <c r="AO127">
        <v>5</v>
      </c>
      <c r="AP127" t="s">
        <v>78</v>
      </c>
      <c r="AQ127">
        <v>4</v>
      </c>
      <c r="AR127">
        <v>4</v>
      </c>
      <c r="AS127">
        <v>3</v>
      </c>
    </row>
    <row r="128" spans="1:4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 t="str">
        <f>IF(Employee_data[[#This Row],[MonthlyIncome]]&lt;5000,"Low Income",
IF(Employee_data[[#This Row],[MonthlyIncome]]&lt;10000,"Medium Income","High Income"))</f>
        <v>High Income</v>
      </c>
      <c r="U128" t="s">
        <v>90</v>
      </c>
      <c r="V128" t="s">
        <v>90</v>
      </c>
      <c r="W128" t="s">
        <v>90</v>
      </c>
      <c r="X128" t="s">
        <v>90</v>
      </c>
      <c r="Y128">
        <v>3465</v>
      </c>
      <c r="Z128">
        <v>1</v>
      </c>
      <c r="AA128" t="s">
        <v>42</v>
      </c>
      <c r="AB128" t="s">
        <v>43</v>
      </c>
      <c r="AC128">
        <v>12</v>
      </c>
      <c r="AD128">
        <v>3</v>
      </c>
      <c r="AE128">
        <v>4</v>
      </c>
      <c r="AF128">
        <v>80</v>
      </c>
      <c r="AG128">
        <v>1</v>
      </c>
      <c r="AH1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128">
        <v>40</v>
      </c>
      <c r="AJ128" t="s">
        <v>77</v>
      </c>
      <c r="AK128">
        <v>3</v>
      </c>
      <c r="AL128" t="s">
        <v>77</v>
      </c>
      <c r="AM128">
        <v>2</v>
      </c>
      <c r="AN128" t="s">
        <v>77</v>
      </c>
      <c r="AO128">
        <v>40</v>
      </c>
      <c r="AP128" t="s">
        <v>77</v>
      </c>
      <c r="AQ128">
        <v>10</v>
      </c>
      <c r="AR128">
        <v>15</v>
      </c>
      <c r="AS128">
        <v>6</v>
      </c>
    </row>
    <row r="129" spans="1:4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 t="str">
        <f>IF(Employee_data[[#This Row],[MonthlyIncome]]&lt;5000,"Low Income",
IF(Employee_data[[#This Row],[MonthlyIncome]]&lt;10000,"Medium Income","High Income"))</f>
        <v>Low Income</v>
      </c>
      <c r="U129" t="s">
        <v>91</v>
      </c>
      <c r="V129" t="s">
        <v>91</v>
      </c>
      <c r="W129" t="s">
        <v>91</v>
      </c>
      <c r="X129" t="s">
        <v>91</v>
      </c>
      <c r="Y129">
        <v>26820</v>
      </c>
      <c r="Z129">
        <v>1</v>
      </c>
      <c r="AA129" t="s">
        <v>42</v>
      </c>
      <c r="AB129" t="s">
        <v>35</v>
      </c>
      <c r="AC129">
        <v>19</v>
      </c>
      <c r="AD129">
        <v>3</v>
      </c>
      <c r="AE129">
        <v>4</v>
      </c>
      <c r="AF129">
        <v>80</v>
      </c>
      <c r="AG129">
        <v>0</v>
      </c>
      <c r="AH1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9">
        <v>0</v>
      </c>
      <c r="AJ129" t="s">
        <v>74</v>
      </c>
      <c r="AK129">
        <v>2</v>
      </c>
      <c r="AL129" t="s">
        <v>74</v>
      </c>
      <c r="AM129">
        <v>2</v>
      </c>
      <c r="AN129" t="s">
        <v>74</v>
      </c>
      <c r="AO129">
        <v>0</v>
      </c>
      <c r="AP129" t="s">
        <v>74</v>
      </c>
      <c r="AQ129">
        <v>0</v>
      </c>
      <c r="AR129">
        <v>0</v>
      </c>
      <c r="AS129">
        <v>0</v>
      </c>
    </row>
    <row r="130" spans="1:4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 t="str">
        <f>IF(Employee_data[[#This Row],[MonthlyIncome]]&lt;5000,"Low Income",
IF(Employee_data[[#This Row],[MonthlyIncome]]&lt;10000,"Medium Income","High Income"))</f>
        <v>Low Income</v>
      </c>
      <c r="U130" t="s">
        <v>91</v>
      </c>
      <c r="V130" t="s">
        <v>91</v>
      </c>
      <c r="W130" t="s">
        <v>91</v>
      </c>
      <c r="X130" t="s">
        <v>91</v>
      </c>
      <c r="Y130">
        <v>19299</v>
      </c>
      <c r="Z130">
        <v>0</v>
      </c>
      <c r="AA130" t="s">
        <v>42</v>
      </c>
      <c r="AB130" t="s">
        <v>43</v>
      </c>
      <c r="AC130">
        <v>14</v>
      </c>
      <c r="AD130">
        <v>3</v>
      </c>
      <c r="AE130">
        <v>3</v>
      </c>
      <c r="AF130">
        <v>80</v>
      </c>
      <c r="AG130">
        <v>1</v>
      </c>
      <c r="AH1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0">
        <v>3</v>
      </c>
      <c r="AJ130" t="s">
        <v>74</v>
      </c>
      <c r="AK130">
        <v>2</v>
      </c>
      <c r="AL130" t="s">
        <v>74</v>
      </c>
      <c r="AM130">
        <v>3</v>
      </c>
      <c r="AN130" t="s">
        <v>74</v>
      </c>
      <c r="AO130">
        <v>2</v>
      </c>
      <c r="AP130" t="s">
        <v>74</v>
      </c>
      <c r="AQ130">
        <v>1</v>
      </c>
      <c r="AR130">
        <v>2</v>
      </c>
      <c r="AS130">
        <v>1</v>
      </c>
    </row>
    <row r="131" spans="1:4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 t="str">
        <f>IF(Employee_data[[#This Row],[MonthlyIncome]]&lt;5000,"Low Income",
IF(Employee_data[[#This Row],[MonthlyIncome]]&lt;10000,"Medium Income","High Income"))</f>
        <v>Medium Income</v>
      </c>
      <c r="U131" t="s">
        <v>92</v>
      </c>
      <c r="V131" t="s">
        <v>92</v>
      </c>
      <c r="W131" t="s">
        <v>92</v>
      </c>
      <c r="X131" t="s">
        <v>92</v>
      </c>
      <c r="Y131">
        <v>5549</v>
      </c>
      <c r="Z131">
        <v>1</v>
      </c>
      <c r="AA131" t="s">
        <v>42</v>
      </c>
      <c r="AB131" t="s">
        <v>43</v>
      </c>
      <c r="AC131">
        <v>14</v>
      </c>
      <c r="AD131">
        <v>3</v>
      </c>
      <c r="AE131">
        <v>3</v>
      </c>
      <c r="AF131">
        <v>80</v>
      </c>
      <c r="AG131">
        <v>0</v>
      </c>
      <c r="AH1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1">
        <v>16</v>
      </c>
      <c r="AJ131" t="s">
        <v>76</v>
      </c>
      <c r="AK131">
        <v>2</v>
      </c>
      <c r="AL131" t="s">
        <v>76</v>
      </c>
      <c r="AM131">
        <v>2</v>
      </c>
      <c r="AN131" t="s">
        <v>76</v>
      </c>
      <c r="AO131">
        <v>15</v>
      </c>
      <c r="AP131" t="s">
        <v>76</v>
      </c>
      <c r="AQ131">
        <v>11</v>
      </c>
      <c r="AR131">
        <v>5</v>
      </c>
      <c r="AS131">
        <v>11</v>
      </c>
    </row>
    <row r="132" spans="1:4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 t="str">
        <f>IF(Employee_data[[#This Row],[MonthlyIncome]]&lt;5000,"Low Income",
IF(Employee_data[[#This Row],[MonthlyIncome]]&lt;10000,"Medium Income","High Income"))</f>
        <v>Low Income</v>
      </c>
      <c r="U132" t="s">
        <v>91</v>
      </c>
      <c r="V132" t="s">
        <v>91</v>
      </c>
      <c r="W132" t="s">
        <v>91</v>
      </c>
      <c r="X132" t="s">
        <v>91</v>
      </c>
      <c r="Y132">
        <v>16090</v>
      </c>
      <c r="Z132">
        <v>4</v>
      </c>
      <c r="AA132" t="s">
        <v>42</v>
      </c>
      <c r="AB132" t="s">
        <v>43</v>
      </c>
      <c r="AC132">
        <v>12</v>
      </c>
      <c r="AD132">
        <v>3</v>
      </c>
      <c r="AE132">
        <v>4</v>
      </c>
      <c r="AF132">
        <v>80</v>
      </c>
      <c r="AG132">
        <v>0</v>
      </c>
      <c r="AH1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2">
        <v>18</v>
      </c>
      <c r="AJ132" t="s">
        <v>74</v>
      </c>
      <c r="AK132">
        <v>2</v>
      </c>
      <c r="AL132" t="s">
        <v>74</v>
      </c>
      <c r="AM132">
        <v>3</v>
      </c>
      <c r="AN132" t="s">
        <v>74</v>
      </c>
      <c r="AO132">
        <v>3</v>
      </c>
      <c r="AP132" t="s">
        <v>74</v>
      </c>
      <c r="AQ132">
        <v>2</v>
      </c>
      <c r="AR132">
        <v>1</v>
      </c>
      <c r="AS132">
        <v>2</v>
      </c>
    </row>
    <row r="133" spans="1:4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 t="str">
        <f>IF(Employee_data[[#This Row],[MonthlyIncome]]&lt;5000,"Low Income",
IF(Employee_data[[#This Row],[MonthlyIncome]]&lt;10000,"Medium Income","High Income"))</f>
        <v>Medium Income</v>
      </c>
      <c r="U133" t="s">
        <v>92</v>
      </c>
      <c r="V133" t="s">
        <v>92</v>
      </c>
      <c r="W133" t="s">
        <v>92</v>
      </c>
      <c r="X133" t="s">
        <v>92</v>
      </c>
      <c r="Y133">
        <v>6645</v>
      </c>
      <c r="Z133">
        <v>4</v>
      </c>
      <c r="AA133" t="s">
        <v>42</v>
      </c>
      <c r="AB133" t="s">
        <v>43</v>
      </c>
      <c r="AC133">
        <v>11</v>
      </c>
      <c r="AD133">
        <v>3</v>
      </c>
      <c r="AE133">
        <v>4</v>
      </c>
      <c r="AF133">
        <v>80</v>
      </c>
      <c r="AG133">
        <v>0</v>
      </c>
      <c r="AH1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3">
        <v>16</v>
      </c>
      <c r="AJ133" t="s">
        <v>74</v>
      </c>
      <c r="AK133">
        <v>3</v>
      </c>
      <c r="AL133" t="s">
        <v>74</v>
      </c>
      <c r="AM133">
        <v>3</v>
      </c>
      <c r="AN133" t="s">
        <v>74</v>
      </c>
      <c r="AO133">
        <v>2</v>
      </c>
      <c r="AP133" t="s">
        <v>74</v>
      </c>
      <c r="AQ133">
        <v>2</v>
      </c>
      <c r="AR133">
        <v>2</v>
      </c>
      <c r="AS133">
        <v>1</v>
      </c>
    </row>
    <row r="134" spans="1:4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 t="str">
        <f>IF(Employee_data[[#This Row],[MonthlyIncome]]&lt;5000,"Low Income",
IF(Employee_data[[#This Row],[MonthlyIncome]]&lt;10000,"Medium Income","High Income"))</f>
        <v>Low Income</v>
      </c>
      <c r="U134" t="s">
        <v>91</v>
      </c>
      <c r="V134" t="s">
        <v>91</v>
      </c>
      <c r="W134" t="s">
        <v>91</v>
      </c>
      <c r="X134" t="s">
        <v>91</v>
      </c>
      <c r="Y134">
        <v>24788</v>
      </c>
      <c r="Z134">
        <v>3</v>
      </c>
      <c r="AA134" t="s">
        <v>42</v>
      </c>
      <c r="AB134" t="s">
        <v>35</v>
      </c>
      <c r="AC134">
        <v>11</v>
      </c>
      <c r="AD134">
        <v>3</v>
      </c>
      <c r="AE134">
        <v>3</v>
      </c>
      <c r="AF134">
        <v>80</v>
      </c>
      <c r="AG134">
        <v>1</v>
      </c>
      <c r="AH1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4">
        <v>4</v>
      </c>
      <c r="AJ134" t="s">
        <v>74</v>
      </c>
      <c r="AK134">
        <v>2</v>
      </c>
      <c r="AL134" t="s">
        <v>74</v>
      </c>
      <c r="AM134">
        <v>3</v>
      </c>
      <c r="AN134" t="s">
        <v>74</v>
      </c>
      <c r="AO134">
        <v>2</v>
      </c>
      <c r="AP134" t="s">
        <v>74</v>
      </c>
      <c r="AQ134">
        <v>2</v>
      </c>
      <c r="AR134">
        <v>2</v>
      </c>
      <c r="AS134">
        <v>2</v>
      </c>
    </row>
    <row r="135" spans="1:4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 t="str">
        <f>IF(Employee_data[[#This Row],[MonthlyIncome]]&lt;5000,"Low Income",
IF(Employee_data[[#This Row],[MonthlyIncome]]&lt;10000,"Medium Income","High Income"))</f>
        <v>Medium Income</v>
      </c>
      <c r="U135" t="s">
        <v>92</v>
      </c>
      <c r="V135" t="s">
        <v>92</v>
      </c>
      <c r="W135" t="s">
        <v>92</v>
      </c>
      <c r="X135" t="s">
        <v>92</v>
      </c>
      <c r="Y135">
        <v>21196</v>
      </c>
      <c r="Z135">
        <v>3</v>
      </c>
      <c r="AA135" t="s">
        <v>42</v>
      </c>
      <c r="AB135" t="s">
        <v>35</v>
      </c>
      <c r="AC135">
        <v>13</v>
      </c>
      <c r="AD135">
        <v>3</v>
      </c>
      <c r="AE135">
        <v>3</v>
      </c>
      <c r="AF135">
        <v>80</v>
      </c>
      <c r="AG135">
        <v>1</v>
      </c>
      <c r="AH1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5">
        <v>12</v>
      </c>
      <c r="AJ135" t="s">
        <v>78</v>
      </c>
      <c r="AK135">
        <v>2</v>
      </c>
      <c r="AL135" t="s">
        <v>78</v>
      </c>
      <c r="AM135">
        <v>3</v>
      </c>
      <c r="AN135" t="s">
        <v>78</v>
      </c>
      <c r="AO135">
        <v>9</v>
      </c>
      <c r="AP135" t="s">
        <v>78</v>
      </c>
      <c r="AQ135">
        <v>7</v>
      </c>
      <c r="AR135">
        <v>0</v>
      </c>
      <c r="AS135">
        <v>7</v>
      </c>
    </row>
    <row r="136" spans="1:4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 t="str">
        <f>IF(Employee_data[[#This Row],[MonthlyIncome]]&lt;5000,"Low Income",
IF(Employee_data[[#This Row],[MonthlyIncome]]&lt;10000,"Medium Income","High Income"))</f>
        <v>Low Income</v>
      </c>
      <c r="U136" t="s">
        <v>91</v>
      </c>
      <c r="V136" t="s">
        <v>91</v>
      </c>
      <c r="W136" t="s">
        <v>91</v>
      </c>
      <c r="X136" t="s">
        <v>91</v>
      </c>
      <c r="Y136">
        <v>8916</v>
      </c>
      <c r="Z136">
        <v>1</v>
      </c>
      <c r="AA136" t="s">
        <v>42</v>
      </c>
      <c r="AB136" t="s">
        <v>43</v>
      </c>
      <c r="AC136">
        <v>23</v>
      </c>
      <c r="AD136">
        <v>4</v>
      </c>
      <c r="AE136">
        <v>4</v>
      </c>
      <c r="AF136">
        <v>80</v>
      </c>
      <c r="AG136">
        <v>1</v>
      </c>
      <c r="AH1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6">
        <v>8</v>
      </c>
      <c r="AJ136" t="s">
        <v>78</v>
      </c>
      <c r="AK136">
        <v>3</v>
      </c>
      <c r="AL136" t="s">
        <v>78</v>
      </c>
      <c r="AM136">
        <v>3</v>
      </c>
      <c r="AN136" t="s">
        <v>78</v>
      </c>
      <c r="AO136">
        <v>8</v>
      </c>
      <c r="AP136" t="s">
        <v>78</v>
      </c>
      <c r="AQ136">
        <v>7</v>
      </c>
      <c r="AR136">
        <v>5</v>
      </c>
      <c r="AS136">
        <v>7</v>
      </c>
    </row>
    <row r="137" spans="1:4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 t="str">
        <f>IF(Employee_data[[#This Row],[MonthlyIncome]]&lt;5000,"Low Income",
IF(Employee_data[[#This Row],[MonthlyIncome]]&lt;10000,"Medium Income","High Income"))</f>
        <v>Low Income</v>
      </c>
      <c r="U137" t="s">
        <v>91</v>
      </c>
      <c r="V137" t="s">
        <v>91</v>
      </c>
      <c r="W137" t="s">
        <v>91</v>
      </c>
      <c r="X137" t="s">
        <v>91</v>
      </c>
      <c r="Y137">
        <v>2819</v>
      </c>
      <c r="Z137">
        <v>6</v>
      </c>
      <c r="AA137" t="s">
        <v>42</v>
      </c>
      <c r="AB137" t="s">
        <v>43</v>
      </c>
      <c r="AC137">
        <v>20</v>
      </c>
      <c r="AD137">
        <v>4</v>
      </c>
      <c r="AE137">
        <v>4</v>
      </c>
      <c r="AF137">
        <v>80</v>
      </c>
      <c r="AG137">
        <v>2</v>
      </c>
      <c r="AH1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7">
        <v>7</v>
      </c>
      <c r="AJ137" t="s">
        <v>74</v>
      </c>
      <c r="AK137">
        <v>0</v>
      </c>
      <c r="AL137" t="s">
        <v>74</v>
      </c>
      <c r="AM137">
        <v>3</v>
      </c>
      <c r="AN137" t="s">
        <v>74</v>
      </c>
      <c r="AO137">
        <v>3</v>
      </c>
      <c r="AP137" t="s">
        <v>74</v>
      </c>
      <c r="AQ137">
        <v>2</v>
      </c>
      <c r="AR137">
        <v>0</v>
      </c>
      <c r="AS137">
        <v>1</v>
      </c>
    </row>
    <row r="138" spans="1:4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 t="str">
        <f>IF(Employee_data[[#This Row],[MonthlyIncome]]&lt;5000,"Low Income",
IF(Employee_data[[#This Row],[MonthlyIncome]]&lt;10000,"Medium Income","High Income"))</f>
        <v>High Income</v>
      </c>
      <c r="U138" t="s">
        <v>90</v>
      </c>
      <c r="V138" t="s">
        <v>90</v>
      </c>
      <c r="W138" t="s">
        <v>90</v>
      </c>
      <c r="X138" t="s">
        <v>90</v>
      </c>
      <c r="Y138">
        <v>25150</v>
      </c>
      <c r="Z138">
        <v>2</v>
      </c>
      <c r="AA138" t="s">
        <v>42</v>
      </c>
      <c r="AB138" t="s">
        <v>43</v>
      </c>
      <c r="AC138">
        <v>15</v>
      </c>
      <c r="AD138">
        <v>3</v>
      </c>
      <c r="AE138">
        <v>4</v>
      </c>
      <c r="AF138">
        <v>80</v>
      </c>
      <c r="AG138">
        <v>0</v>
      </c>
      <c r="AH1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8">
        <v>18</v>
      </c>
      <c r="AJ138" t="s">
        <v>74</v>
      </c>
      <c r="AK138">
        <v>2</v>
      </c>
      <c r="AL138" t="s">
        <v>74</v>
      </c>
      <c r="AM138">
        <v>3</v>
      </c>
      <c r="AN138" t="s">
        <v>74</v>
      </c>
      <c r="AO138">
        <v>4</v>
      </c>
      <c r="AP138" t="s">
        <v>74</v>
      </c>
      <c r="AQ138">
        <v>2</v>
      </c>
      <c r="AR138">
        <v>0</v>
      </c>
      <c r="AS138">
        <v>3</v>
      </c>
    </row>
    <row r="139" spans="1:4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 t="str">
        <f>IF(Employee_data[[#This Row],[MonthlyIncome]]&lt;5000,"Low Income",
IF(Employee_data[[#This Row],[MonthlyIncome]]&lt;10000,"Medium Income","High Income"))</f>
        <v>Medium Income</v>
      </c>
      <c r="U139" t="s">
        <v>92</v>
      </c>
      <c r="V139" t="s">
        <v>92</v>
      </c>
      <c r="W139" t="s">
        <v>92</v>
      </c>
      <c r="X139" t="s">
        <v>92</v>
      </c>
      <c r="Y139">
        <v>14590</v>
      </c>
      <c r="Z139">
        <v>4</v>
      </c>
      <c r="AA139" t="s">
        <v>42</v>
      </c>
      <c r="AB139" t="s">
        <v>43</v>
      </c>
      <c r="AC139">
        <v>14</v>
      </c>
      <c r="AD139">
        <v>3</v>
      </c>
      <c r="AE139">
        <v>3</v>
      </c>
      <c r="AF139">
        <v>80</v>
      </c>
      <c r="AG139">
        <v>1</v>
      </c>
      <c r="AH1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9">
        <v>17</v>
      </c>
      <c r="AJ139" t="s">
        <v>76</v>
      </c>
      <c r="AK139">
        <v>1</v>
      </c>
      <c r="AL139" t="s">
        <v>76</v>
      </c>
      <c r="AM139">
        <v>4</v>
      </c>
      <c r="AN139" t="s">
        <v>76</v>
      </c>
      <c r="AO139">
        <v>15</v>
      </c>
      <c r="AP139" t="s">
        <v>76</v>
      </c>
      <c r="AQ139">
        <v>11</v>
      </c>
      <c r="AR139">
        <v>5</v>
      </c>
      <c r="AS139">
        <v>9</v>
      </c>
    </row>
    <row r="140" spans="1:4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 t="str">
        <f>IF(Employee_data[[#This Row],[MonthlyIncome]]&lt;5000,"Low Income",
IF(Employee_data[[#This Row],[MonthlyIncome]]&lt;10000,"Medium Income","High Income"))</f>
        <v>Medium Income</v>
      </c>
      <c r="U140" t="s">
        <v>92</v>
      </c>
      <c r="V140" t="s">
        <v>92</v>
      </c>
      <c r="W140" t="s">
        <v>92</v>
      </c>
      <c r="X140" t="s">
        <v>92</v>
      </c>
      <c r="Y140">
        <v>24835</v>
      </c>
      <c r="Z140">
        <v>2</v>
      </c>
      <c r="AA140" t="s">
        <v>42</v>
      </c>
      <c r="AB140" t="s">
        <v>43</v>
      </c>
      <c r="AC140">
        <v>18</v>
      </c>
      <c r="AD140">
        <v>3</v>
      </c>
      <c r="AE140">
        <v>4</v>
      </c>
      <c r="AF140">
        <v>80</v>
      </c>
      <c r="AG140">
        <v>0</v>
      </c>
      <c r="AH1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0">
        <v>6</v>
      </c>
      <c r="AJ140" t="s">
        <v>74</v>
      </c>
      <c r="AK140">
        <v>3</v>
      </c>
      <c r="AL140" t="s">
        <v>74</v>
      </c>
      <c r="AM140">
        <v>3</v>
      </c>
      <c r="AN140" t="s">
        <v>74</v>
      </c>
      <c r="AO140">
        <v>2</v>
      </c>
      <c r="AP140" t="s">
        <v>74</v>
      </c>
      <c r="AQ140">
        <v>2</v>
      </c>
      <c r="AR140">
        <v>2</v>
      </c>
      <c r="AS140">
        <v>2</v>
      </c>
    </row>
    <row r="141" spans="1:4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 t="str">
        <f>IF(Employee_data[[#This Row],[MonthlyIncome]]&lt;5000,"Low Income",
IF(Employee_data[[#This Row],[MonthlyIncome]]&lt;10000,"Medium Income","High Income"))</f>
        <v>Medium Income</v>
      </c>
      <c r="U141" t="s">
        <v>92</v>
      </c>
      <c r="V141" t="s">
        <v>92</v>
      </c>
      <c r="W141" t="s">
        <v>92</v>
      </c>
      <c r="X141" t="s">
        <v>92</v>
      </c>
      <c r="Y141">
        <v>13982</v>
      </c>
      <c r="Z141">
        <v>0</v>
      </c>
      <c r="AA141" t="s">
        <v>42</v>
      </c>
      <c r="AB141" t="s">
        <v>35</v>
      </c>
      <c r="AC141">
        <v>19</v>
      </c>
      <c r="AD141">
        <v>3</v>
      </c>
      <c r="AE141">
        <v>4</v>
      </c>
      <c r="AF141">
        <v>80</v>
      </c>
      <c r="AG141">
        <v>0</v>
      </c>
      <c r="AH1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1">
        <v>12</v>
      </c>
      <c r="AJ141" t="s">
        <v>75</v>
      </c>
      <c r="AK141">
        <v>2</v>
      </c>
      <c r="AL141" t="s">
        <v>75</v>
      </c>
      <c r="AM141">
        <v>1</v>
      </c>
      <c r="AN141" t="s">
        <v>75</v>
      </c>
      <c r="AO141">
        <v>11</v>
      </c>
      <c r="AP141" t="s">
        <v>75</v>
      </c>
      <c r="AQ141">
        <v>9</v>
      </c>
      <c r="AR141">
        <v>4</v>
      </c>
      <c r="AS141">
        <v>7</v>
      </c>
    </row>
    <row r="142" spans="1:4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 t="str">
        <f>IF(Employee_data[[#This Row],[MonthlyIncome]]&lt;5000,"Low Income",
IF(Employee_data[[#This Row],[MonthlyIncome]]&lt;10000,"Medium Income","High Income"))</f>
        <v>Low Income</v>
      </c>
      <c r="U142" t="s">
        <v>91</v>
      </c>
      <c r="V142" t="s">
        <v>91</v>
      </c>
      <c r="W142" t="s">
        <v>91</v>
      </c>
      <c r="X142" t="s">
        <v>91</v>
      </c>
      <c r="Y142">
        <v>10224</v>
      </c>
      <c r="Z142">
        <v>7</v>
      </c>
      <c r="AA142" t="s">
        <v>42</v>
      </c>
      <c r="AB142" t="s">
        <v>43</v>
      </c>
      <c r="AC142">
        <v>22</v>
      </c>
      <c r="AD142">
        <v>4</v>
      </c>
      <c r="AE142">
        <v>1</v>
      </c>
      <c r="AF142">
        <v>80</v>
      </c>
      <c r="AG142">
        <v>0</v>
      </c>
      <c r="AH1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2">
        <v>10</v>
      </c>
      <c r="AJ142" t="s">
        <v>78</v>
      </c>
      <c r="AK142">
        <v>2</v>
      </c>
      <c r="AL142" t="s">
        <v>78</v>
      </c>
      <c r="AM142">
        <v>4</v>
      </c>
      <c r="AN142" t="s">
        <v>78</v>
      </c>
      <c r="AO142">
        <v>5</v>
      </c>
      <c r="AP142" t="s">
        <v>78</v>
      </c>
      <c r="AQ142">
        <v>4</v>
      </c>
      <c r="AR142">
        <v>0</v>
      </c>
      <c r="AS142">
        <v>4</v>
      </c>
    </row>
    <row r="143" spans="1:4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 t="str">
        <f>IF(Employee_data[[#This Row],[MonthlyIncome]]&lt;5000,"Low Income",
IF(Employee_data[[#This Row],[MonthlyIncome]]&lt;10000,"Medium Income","High Income"))</f>
        <v>Low Income</v>
      </c>
      <c r="U143" t="s">
        <v>91</v>
      </c>
      <c r="V143" t="s">
        <v>91</v>
      </c>
      <c r="W143" t="s">
        <v>91</v>
      </c>
      <c r="X143" t="s">
        <v>91</v>
      </c>
      <c r="Y143">
        <v>9752</v>
      </c>
      <c r="Z143">
        <v>5</v>
      </c>
      <c r="AA143" t="s">
        <v>42</v>
      </c>
      <c r="AB143" t="s">
        <v>43</v>
      </c>
      <c r="AC143">
        <v>13</v>
      </c>
      <c r="AD143">
        <v>3</v>
      </c>
      <c r="AE143">
        <v>2</v>
      </c>
      <c r="AF143">
        <v>80</v>
      </c>
      <c r="AG143">
        <v>0</v>
      </c>
      <c r="AH1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3">
        <v>9</v>
      </c>
      <c r="AJ143" t="s">
        <v>78</v>
      </c>
      <c r="AK143">
        <v>2</v>
      </c>
      <c r="AL143" t="s">
        <v>78</v>
      </c>
      <c r="AM143">
        <v>2</v>
      </c>
      <c r="AN143" t="s">
        <v>78</v>
      </c>
      <c r="AO143">
        <v>6</v>
      </c>
      <c r="AP143" t="s">
        <v>78</v>
      </c>
      <c r="AQ143">
        <v>5</v>
      </c>
      <c r="AR143">
        <v>0</v>
      </c>
      <c r="AS143">
        <v>3</v>
      </c>
    </row>
    <row r="144" spans="1:4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 t="str">
        <f>IF(Employee_data[[#This Row],[MonthlyIncome]]&lt;5000,"Low Income",
IF(Employee_data[[#This Row],[MonthlyIncome]]&lt;10000,"Medium Income","High Income"))</f>
        <v>Low Income</v>
      </c>
      <c r="U144" t="s">
        <v>91</v>
      </c>
      <c r="V144" t="s">
        <v>91</v>
      </c>
      <c r="W144" t="s">
        <v>91</v>
      </c>
      <c r="X144" t="s">
        <v>91</v>
      </c>
      <c r="Y144">
        <v>2302</v>
      </c>
      <c r="Z144">
        <v>3</v>
      </c>
      <c r="AA144" t="s">
        <v>42</v>
      </c>
      <c r="AB144" t="s">
        <v>35</v>
      </c>
      <c r="AC144">
        <v>20</v>
      </c>
      <c r="AD144">
        <v>4</v>
      </c>
      <c r="AE144">
        <v>2</v>
      </c>
      <c r="AF144">
        <v>80</v>
      </c>
      <c r="AG144">
        <v>0</v>
      </c>
      <c r="AH1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4">
        <v>19</v>
      </c>
      <c r="AJ144" t="s">
        <v>74</v>
      </c>
      <c r="AK144">
        <v>2</v>
      </c>
      <c r="AL144" t="s">
        <v>74</v>
      </c>
      <c r="AM144">
        <v>3</v>
      </c>
      <c r="AN144" t="s">
        <v>74</v>
      </c>
      <c r="AO144">
        <v>3</v>
      </c>
      <c r="AP144" t="s">
        <v>74</v>
      </c>
      <c r="AQ144">
        <v>2</v>
      </c>
      <c r="AR144">
        <v>2</v>
      </c>
      <c r="AS144">
        <v>2</v>
      </c>
    </row>
    <row r="145" spans="1:4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 t="str">
        <f>IF(Employee_data[[#This Row],[MonthlyIncome]]&lt;5000,"Low Income",
IF(Employee_data[[#This Row],[MonthlyIncome]]&lt;10000,"Medium Income","High Income"))</f>
        <v>Low Income</v>
      </c>
      <c r="U145" t="s">
        <v>91</v>
      </c>
      <c r="V145" t="s">
        <v>91</v>
      </c>
      <c r="W145" t="s">
        <v>91</v>
      </c>
      <c r="X145" t="s">
        <v>91</v>
      </c>
      <c r="Y145">
        <v>23910</v>
      </c>
      <c r="Z145">
        <v>1</v>
      </c>
      <c r="AA145" t="s">
        <v>42</v>
      </c>
      <c r="AB145" t="s">
        <v>43</v>
      </c>
      <c r="AC145">
        <v>14</v>
      </c>
      <c r="AD145">
        <v>3</v>
      </c>
      <c r="AE145">
        <v>3</v>
      </c>
      <c r="AF145">
        <v>80</v>
      </c>
      <c r="AG145">
        <v>0</v>
      </c>
      <c r="AH1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5">
        <v>5</v>
      </c>
      <c r="AJ145" t="s">
        <v>78</v>
      </c>
      <c r="AK145">
        <v>4</v>
      </c>
      <c r="AL145" t="s">
        <v>78</v>
      </c>
      <c r="AM145">
        <v>2</v>
      </c>
      <c r="AN145" t="s">
        <v>78</v>
      </c>
      <c r="AO145">
        <v>5</v>
      </c>
      <c r="AP145" t="s">
        <v>78</v>
      </c>
      <c r="AQ145">
        <v>4</v>
      </c>
      <c r="AR145">
        <v>0</v>
      </c>
      <c r="AS145">
        <v>4</v>
      </c>
    </row>
    <row r="146" spans="1:4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 t="str">
        <f>IF(Employee_data[[#This Row],[MonthlyIncome]]&lt;5000,"Low Income",
IF(Employee_data[[#This Row],[MonthlyIncome]]&lt;10000,"Medium Income","High Income"))</f>
        <v>Low Income</v>
      </c>
      <c r="U146" t="s">
        <v>91</v>
      </c>
      <c r="V146" t="s">
        <v>91</v>
      </c>
      <c r="W146" t="s">
        <v>91</v>
      </c>
      <c r="X146" t="s">
        <v>91</v>
      </c>
      <c r="Y146">
        <v>22812</v>
      </c>
      <c r="Z146">
        <v>0</v>
      </c>
      <c r="AA146" t="s">
        <v>42</v>
      </c>
      <c r="AB146" t="s">
        <v>43</v>
      </c>
      <c r="AC146">
        <v>17</v>
      </c>
      <c r="AD146">
        <v>3</v>
      </c>
      <c r="AE146">
        <v>4</v>
      </c>
      <c r="AF146">
        <v>80</v>
      </c>
      <c r="AG146">
        <v>3</v>
      </c>
      <c r="AH1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6">
        <v>9</v>
      </c>
      <c r="AJ146" t="s">
        <v>78</v>
      </c>
      <c r="AK146">
        <v>2</v>
      </c>
      <c r="AL146" t="s">
        <v>78</v>
      </c>
      <c r="AM146">
        <v>4</v>
      </c>
      <c r="AN146" t="s">
        <v>78</v>
      </c>
      <c r="AO146">
        <v>8</v>
      </c>
      <c r="AP146" t="s">
        <v>78</v>
      </c>
      <c r="AQ146">
        <v>7</v>
      </c>
      <c r="AR146">
        <v>0</v>
      </c>
      <c r="AS146">
        <v>7</v>
      </c>
    </row>
    <row r="147" spans="1:4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 t="str">
        <f>IF(Employee_data[[#This Row],[MonthlyIncome]]&lt;5000,"Low Income",
IF(Employee_data[[#This Row],[MonthlyIncome]]&lt;10000,"Medium Income","High Income"))</f>
        <v>Low Income</v>
      </c>
      <c r="U147" t="s">
        <v>91</v>
      </c>
      <c r="V147" t="s">
        <v>91</v>
      </c>
      <c r="W147" t="s">
        <v>91</v>
      </c>
      <c r="X147" t="s">
        <v>91</v>
      </c>
      <c r="Y147">
        <v>10415</v>
      </c>
      <c r="Z147">
        <v>5</v>
      </c>
      <c r="AA147" t="s">
        <v>42</v>
      </c>
      <c r="AB147" t="s">
        <v>43</v>
      </c>
      <c r="AC147">
        <v>14</v>
      </c>
      <c r="AD147">
        <v>3</v>
      </c>
      <c r="AE147">
        <v>4</v>
      </c>
      <c r="AF147">
        <v>80</v>
      </c>
      <c r="AG147">
        <v>1</v>
      </c>
      <c r="AH1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7">
        <v>8</v>
      </c>
      <c r="AJ147" t="s">
        <v>74</v>
      </c>
      <c r="AK147">
        <v>3</v>
      </c>
      <c r="AL147" t="s">
        <v>74</v>
      </c>
      <c r="AM147">
        <v>3</v>
      </c>
      <c r="AN147" t="s">
        <v>74</v>
      </c>
      <c r="AO147">
        <v>3</v>
      </c>
      <c r="AP147" t="s">
        <v>74</v>
      </c>
      <c r="AQ147">
        <v>2</v>
      </c>
      <c r="AR147">
        <v>2</v>
      </c>
      <c r="AS147">
        <v>2</v>
      </c>
    </row>
    <row r="148" spans="1:4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 t="str">
        <f>IF(Employee_data[[#This Row],[MonthlyIncome]]&lt;5000,"Low Income",
IF(Employee_data[[#This Row],[MonthlyIncome]]&lt;10000,"Medium Income","High Income"))</f>
        <v>Low Income</v>
      </c>
      <c r="U148" t="s">
        <v>91</v>
      </c>
      <c r="V148" t="s">
        <v>91</v>
      </c>
      <c r="W148" t="s">
        <v>91</v>
      </c>
      <c r="X148" t="s">
        <v>91</v>
      </c>
      <c r="Y148">
        <v>11162</v>
      </c>
      <c r="Z148">
        <v>0</v>
      </c>
      <c r="AA148" t="s">
        <v>42</v>
      </c>
      <c r="AB148" t="s">
        <v>43</v>
      </c>
      <c r="AC148">
        <v>13</v>
      </c>
      <c r="AD148">
        <v>3</v>
      </c>
      <c r="AE148">
        <v>4</v>
      </c>
      <c r="AF148">
        <v>80</v>
      </c>
      <c r="AG148">
        <v>0</v>
      </c>
      <c r="AH1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8">
        <v>6</v>
      </c>
      <c r="AJ148" t="s">
        <v>78</v>
      </c>
      <c r="AK148">
        <v>3</v>
      </c>
      <c r="AL148" t="s">
        <v>78</v>
      </c>
      <c r="AM148">
        <v>3</v>
      </c>
      <c r="AN148" t="s">
        <v>78</v>
      </c>
      <c r="AO148">
        <v>5</v>
      </c>
      <c r="AP148" t="s">
        <v>78</v>
      </c>
      <c r="AQ148">
        <v>3</v>
      </c>
      <c r="AR148">
        <v>1</v>
      </c>
      <c r="AS148">
        <v>2</v>
      </c>
    </row>
    <row r="149" spans="1:4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 t="str">
        <f>IF(Employee_data[[#This Row],[MonthlyIncome]]&lt;5000,"Low Income",
IF(Employee_data[[#This Row],[MonthlyIncome]]&lt;10000,"Medium Income","High Income"))</f>
        <v>High Income</v>
      </c>
      <c r="U149" t="s">
        <v>90</v>
      </c>
      <c r="V149" t="s">
        <v>90</v>
      </c>
      <c r="W149" t="s">
        <v>90</v>
      </c>
      <c r="X149" t="s">
        <v>90</v>
      </c>
      <c r="Y149">
        <v>12888</v>
      </c>
      <c r="Z149">
        <v>4</v>
      </c>
      <c r="AA149" t="s">
        <v>42</v>
      </c>
      <c r="AB149" t="s">
        <v>43</v>
      </c>
      <c r="AC149">
        <v>13</v>
      </c>
      <c r="AD149">
        <v>3</v>
      </c>
      <c r="AE149">
        <v>2</v>
      </c>
      <c r="AF149">
        <v>80</v>
      </c>
      <c r="AG149">
        <v>1</v>
      </c>
      <c r="AH1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9">
        <v>21</v>
      </c>
      <c r="AJ149" t="s">
        <v>78</v>
      </c>
      <c r="AK149">
        <v>2</v>
      </c>
      <c r="AL149" t="s">
        <v>78</v>
      </c>
      <c r="AM149">
        <v>2</v>
      </c>
      <c r="AN149" t="s">
        <v>78</v>
      </c>
      <c r="AO149">
        <v>7</v>
      </c>
      <c r="AP149" t="s">
        <v>78</v>
      </c>
      <c r="AQ149">
        <v>6</v>
      </c>
      <c r="AR149">
        <v>7</v>
      </c>
      <c r="AS149">
        <v>7</v>
      </c>
    </row>
    <row r="150" spans="1:4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 t="str">
        <f>IF(Employee_data[[#This Row],[MonthlyIncome]]&lt;5000,"Low Income",
IF(Employee_data[[#This Row],[MonthlyIncome]]&lt;10000,"Medium Income","High Income"))</f>
        <v>Low Income</v>
      </c>
      <c r="U150" t="s">
        <v>91</v>
      </c>
      <c r="V150" t="s">
        <v>91</v>
      </c>
      <c r="W150" t="s">
        <v>91</v>
      </c>
      <c r="X150" t="s">
        <v>91</v>
      </c>
      <c r="Y150">
        <v>6961</v>
      </c>
      <c r="Z150">
        <v>2</v>
      </c>
      <c r="AA150" t="s">
        <v>42</v>
      </c>
      <c r="AB150" t="s">
        <v>43</v>
      </c>
      <c r="AC150">
        <v>21</v>
      </c>
      <c r="AD150">
        <v>4</v>
      </c>
      <c r="AE150">
        <v>4</v>
      </c>
      <c r="AF150">
        <v>80</v>
      </c>
      <c r="AG150">
        <v>1</v>
      </c>
      <c r="AH1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50">
        <v>7</v>
      </c>
      <c r="AJ150" t="s">
        <v>78</v>
      </c>
      <c r="AK150">
        <v>2</v>
      </c>
      <c r="AL150" t="s">
        <v>78</v>
      </c>
      <c r="AM150">
        <v>3</v>
      </c>
      <c r="AN150" t="s">
        <v>78</v>
      </c>
      <c r="AO150">
        <v>5</v>
      </c>
      <c r="AP150" t="s">
        <v>78</v>
      </c>
      <c r="AQ150">
        <v>0</v>
      </c>
      <c r="AR150">
        <v>1</v>
      </c>
      <c r="AS150">
        <v>4</v>
      </c>
    </row>
    <row r="151" spans="1:4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 t="str">
        <f>IF(Employee_data[[#This Row],[MonthlyIncome]]&lt;5000,"Low Income",
IF(Employee_data[[#This Row],[MonthlyIncome]]&lt;10000,"Medium Income","High Income"))</f>
        <v>Low Income</v>
      </c>
      <c r="U151" t="s">
        <v>91</v>
      </c>
      <c r="V151" t="s">
        <v>91</v>
      </c>
      <c r="W151" t="s">
        <v>91</v>
      </c>
      <c r="X151" t="s">
        <v>91</v>
      </c>
      <c r="Y151">
        <v>16102</v>
      </c>
      <c r="Z151">
        <v>1</v>
      </c>
      <c r="AA151" t="s">
        <v>42</v>
      </c>
      <c r="AB151" t="s">
        <v>43</v>
      </c>
      <c r="AC151">
        <v>14</v>
      </c>
      <c r="AD151">
        <v>3</v>
      </c>
      <c r="AE151">
        <v>4</v>
      </c>
      <c r="AF151">
        <v>80</v>
      </c>
      <c r="AG151">
        <v>0</v>
      </c>
      <c r="AH1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51">
        <v>1</v>
      </c>
      <c r="AJ151" t="s">
        <v>74</v>
      </c>
      <c r="AK151">
        <v>3</v>
      </c>
      <c r="AL151" t="s">
        <v>74</v>
      </c>
      <c r="AM151">
        <v>3</v>
      </c>
      <c r="AN151" t="s">
        <v>74</v>
      </c>
      <c r="AO151">
        <v>1</v>
      </c>
      <c r="AP151" t="s">
        <v>74</v>
      </c>
      <c r="AQ151">
        <v>0</v>
      </c>
      <c r="AR151">
        <v>0</v>
      </c>
      <c r="AS151">
        <v>0</v>
      </c>
    </row>
    <row r="152" spans="1:4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 t="str">
        <f>IF(Employee_data[[#This Row],[MonthlyIncome]]&lt;5000,"Low Income",
IF(Employee_data[[#This Row],[MonthlyIncome]]&lt;10000,"Medium Income","High Income"))</f>
        <v>Medium Income</v>
      </c>
      <c r="U152" t="s">
        <v>92</v>
      </c>
      <c r="V152" t="s">
        <v>92</v>
      </c>
      <c r="W152" t="s">
        <v>92</v>
      </c>
      <c r="X152" t="s">
        <v>92</v>
      </c>
      <c r="Y152">
        <v>8504</v>
      </c>
      <c r="Z152">
        <v>1</v>
      </c>
      <c r="AA152" t="s">
        <v>42</v>
      </c>
      <c r="AB152" t="s">
        <v>43</v>
      </c>
      <c r="AC152">
        <v>11</v>
      </c>
      <c r="AD152">
        <v>3</v>
      </c>
      <c r="AE152">
        <v>1</v>
      </c>
      <c r="AF152">
        <v>80</v>
      </c>
      <c r="AG152">
        <v>1</v>
      </c>
      <c r="AH1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52">
        <v>20</v>
      </c>
      <c r="AJ152" t="s">
        <v>76</v>
      </c>
      <c r="AK152">
        <v>2</v>
      </c>
      <c r="AL152" t="s">
        <v>76</v>
      </c>
      <c r="AM152">
        <v>3</v>
      </c>
      <c r="AN152" t="s">
        <v>76</v>
      </c>
      <c r="AO152">
        <v>20</v>
      </c>
      <c r="AP152" t="s">
        <v>76</v>
      </c>
      <c r="AQ152">
        <v>7</v>
      </c>
      <c r="AR152">
        <v>2</v>
      </c>
      <c r="AS152">
        <v>13</v>
      </c>
    </row>
    <row r="153" spans="1:4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 t="str">
        <f>IF(Employee_data[[#This Row],[MonthlyIncome]]&lt;5000,"Low Income",
IF(Employee_data[[#This Row],[MonthlyIncome]]&lt;10000,"Medium Income","High Income"))</f>
        <v>Medium Income</v>
      </c>
      <c r="U153" t="s">
        <v>92</v>
      </c>
      <c r="V153" t="s">
        <v>92</v>
      </c>
      <c r="W153" t="s">
        <v>92</v>
      </c>
      <c r="X153" t="s">
        <v>92</v>
      </c>
      <c r="Y153">
        <v>11439</v>
      </c>
      <c r="Z153">
        <v>1</v>
      </c>
      <c r="AA153" t="s">
        <v>42</v>
      </c>
      <c r="AB153" t="s">
        <v>43</v>
      </c>
      <c r="AC153">
        <v>13</v>
      </c>
      <c r="AD153">
        <v>3</v>
      </c>
      <c r="AE153">
        <v>1</v>
      </c>
      <c r="AF153">
        <v>80</v>
      </c>
      <c r="AG153">
        <v>2</v>
      </c>
      <c r="AH1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53">
        <v>10</v>
      </c>
      <c r="AJ153" t="s">
        <v>75</v>
      </c>
      <c r="AK153">
        <v>3</v>
      </c>
      <c r="AL153" t="s">
        <v>75</v>
      </c>
      <c r="AM153">
        <v>3</v>
      </c>
      <c r="AN153" t="s">
        <v>75</v>
      </c>
      <c r="AO153">
        <v>10</v>
      </c>
      <c r="AP153" t="s">
        <v>75</v>
      </c>
      <c r="AQ153">
        <v>8</v>
      </c>
      <c r="AR153">
        <v>0</v>
      </c>
      <c r="AS153">
        <v>6</v>
      </c>
    </row>
    <row r="154" spans="1:4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 t="str">
        <f>IF(Employee_data[[#This Row],[MonthlyIncome]]&lt;5000,"Low Income",
IF(Employee_data[[#This Row],[MonthlyIncome]]&lt;10000,"Medium Income","High Income"))</f>
        <v>Low Income</v>
      </c>
      <c r="U154" t="s">
        <v>91</v>
      </c>
      <c r="V154" t="s">
        <v>91</v>
      </c>
      <c r="W154" t="s">
        <v>91</v>
      </c>
      <c r="X154" t="s">
        <v>91</v>
      </c>
      <c r="Y154">
        <v>16047</v>
      </c>
      <c r="Z154">
        <v>2</v>
      </c>
      <c r="AA154" t="s">
        <v>42</v>
      </c>
      <c r="AB154" t="s">
        <v>35</v>
      </c>
      <c r="AC154">
        <v>20</v>
      </c>
      <c r="AD154">
        <v>4</v>
      </c>
      <c r="AE154">
        <v>4</v>
      </c>
      <c r="AF154">
        <v>80</v>
      </c>
      <c r="AG154">
        <v>1</v>
      </c>
      <c r="AH1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54">
        <v>13</v>
      </c>
      <c r="AJ154" t="s">
        <v>78</v>
      </c>
      <c r="AK154">
        <v>3</v>
      </c>
      <c r="AL154" t="s">
        <v>78</v>
      </c>
      <c r="AM154">
        <v>1</v>
      </c>
      <c r="AN154" t="s">
        <v>78</v>
      </c>
      <c r="AO154">
        <v>7</v>
      </c>
      <c r="AP154" t="s">
        <v>78</v>
      </c>
      <c r="AQ154">
        <v>7</v>
      </c>
      <c r="AR154">
        <v>4</v>
      </c>
      <c r="AS154">
        <v>5</v>
      </c>
    </row>
    <row r="155" spans="1:4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 t="str">
        <f>IF(Employee_data[[#This Row],[MonthlyIncome]]&lt;5000,"Low Income",
IF(Employee_data[[#This Row],[MonthlyIncome]]&lt;10000,"Medium Income","High Income"))</f>
        <v>Low Income</v>
      </c>
      <c r="U155" t="s">
        <v>91</v>
      </c>
      <c r="V155" t="s">
        <v>91</v>
      </c>
      <c r="W155" t="s">
        <v>91</v>
      </c>
      <c r="X155" t="s">
        <v>91</v>
      </c>
      <c r="Y155">
        <v>10901</v>
      </c>
      <c r="Z155">
        <v>8</v>
      </c>
      <c r="AA155" t="s">
        <v>42</v>
      </c>
      <c r="AB155" t="s">
        <v>43</v>
      </c>
      <c r="AC155">
        <v>18</v>
      </c>
      <c r="AD155">
        <v>3</v>
      </c>
      <c r="AE155">
        <v>3</v>
      </c>
      <c r="AF155">
        <v>80</v>
      </c>
      <c r="AG155">
        <v>1</v>
      </c>
      <c r="AH1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55">
        <v>20</v>
      </c>
      <c r="AJ155" t="s">
        <v>76</v>
      </c>
      <c r="AK155">
        <v>2</v>
      </c>
      <c r="AL155" t="s">
        <v>76</v>
      </c>
      <c r="AM155">
        <v>1</v>
      </c>
      <c r="AN155" t="s">
        <v>76</v>
      </c>
      <c r="AO155">
        <v>17</v>
      </c>
      <c r="AP155" t="s">
        <v>76</v>
      </c>
      <c r="AQ155">
        <v>9</v>
      </c>
      <c r="AR155">
        <v>0</v>
      </c>
      <c r="AS155">
        <v>15</v>
      </c>
    </row>
    <row r="156" spans="1:4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 t="str">
        <f>IF(Employee_data[[#This Row],[MonthlyIncome]]&lt;5000,"Low Income",
IF(Employee_data[[#This Row],[MonthlyIncome]]&lt;10000,"Medium Income","High Income"))</f>
        <v>Medium Income</v>
      </c>
      <c r="U156" t="s">
        <v>92</v>
      </c>
      <c r="V156" t="s">
        <v>92</v>
      </c>
      <c r="W156" t="s">
        <v>92</v>
      </c>
      <c r="X156" t="s">
        <v>92</v>
      </c>
      <c r="Y156">
        <v>15589</v>
      </c>
      <c r="Z156">
        <v>1</v>
      </c>
      <c r="AA156" t="s">
        <v>42</v>
      </c>
      <c r="AB156" t="s">
        <v>43</v>
      </c>
      <c r="AC156">
        <v>14</v>
      </c>
      <c r="AD156">
        <v>3</v>
      </c>
      <c r="AE156">
        <v>4</v>
      </c>
      <c r="AF156">
        <v>80</v>
      </c>
      <c r="AG156">
        <v>0</v>
      </c>
      <c r="AH1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56">
        <v>9</v>
      </c>
      <c r="AJ156" t="s">
        <v>78</v>
      </c>
      <c r="AK156">
        <v>2</v>
      </c>
      <c r="AL156" t="s">
        <v>78</v>
      </c>
      <c r="AM156">
        <v>3</v>
      </c>
      <c r="AN156" t="s">
        <v>78</v>
      </c>
      <c r="AO156">
        <v>9</v>
      </c>
      <c r="AP156" t="s">
        <v>78</v>
      </c>
      <c r="AQ156">
        <v>8</v>
      </c>
      <c r="AR156">
        <v>3</v>
      </c>
      <c r="AS156">
        <v>7</v>
      </c>
    </row>
    <row r="157" spans="1:4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 t="str">
        <f>IF(Employee_data[[#This Row],[MonthlyIncome]]&lt;5000,"Low Income",
IF(Employee_data[[#This Row],[MonthlyIncome]]&lt;10000,"Medium Income","High Income"))</f>
        <v>Low Income</v>
      </c>
      <c r="U157" t="s">
        <v>91</v>
      </c>
      <c r="V157" t="s">
        <v>91</v>
      </c>
      <c r="W157" t="s">
        <v>91</v>
      </c>
      <c r="X157" t="s">
        <v>91</v>
      </c>
      <c r="Y157">
        <v>26283</v>
      </c>
      <c r="Z157">
        <v>1</v>
      </c>
      <c r="AA157" t="s">
        <v>42</v>
      </c>
      <c r="AB157" t="s">
        <v>43</v>
      </c>
      <c r="AC157">
        <v>13</v>
      </c>
      <c r="AD157">
        <v>3</v>
      </c>
      <c r="AE157">
        <v>1</v>
      </c>
      <c r="AF157">
        <v>80</v>
      </c>
      <c r="AG157">
        <v>1</v>
      </c>
      <c r="AH1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57">
        <v>10</v>
      </c>
      <c r="AJ157" t="s">
        <v>75</v>
      </c>
      <c r="AK157">
        <v>1</v>
      </c>
      <c r="AL157" t="s">
        <v>75</v>
      </c>
      <c r="AM157">
        <v>3</v>
      </c>
      <c r="AN157" t="s">
        <v>75</v>
      </c>
      <c r="AO157">
        <v>10</v>
      </c>
      <c r="AP157" t="s">
        <v>75</v>
      </c>
      <c r="AQ157">
        <v>7</v>
      </c>
      <c r="AR157">
        <v>0</v>
      </c>
      <c r="AS157">
        <v>9</v>
      </c>
    </row>
    <row r="158" spans="1:4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 t="str">
        <f>IF(Employee_data[[#This Row],[MonthlyIncome]]&lt;5000,"Low Income",
IF(Employee_data[[#This Row],[MonthlyIncome]]&lt;10000,"Medium Income","High Income"))</f>
        <v>Medium Income</v>
      </c>
      <c r="U158" t="s">
        <v>92</v>
      </c>
      <c r="V158" t="s">
        <v>92</v>
      </c>
      <c r="W158" t="s">
        <v>92</v>
      </c>
      <c r="X158" t="s">
        <v>92</v>
      </c>
      <c r="Y158">
        <v>13983</v>
      </c>
      <c r="Z158">
        <v>2</v>
      </c>
      <c r="AA158" t="s">
        <v>42</v>
      </c>
      <c r="AB158" t="s">
        <v>43</v>
      </c>
      <c r="AC158">
        <v>17</v>
      </c>
      <c r="AD158">
        <v>3</v>
      </c>
      <c r="AE158">
        <v>3</v>
      </c>
      <c r="AF158">
        <v>80</v>
      </c>
      <c r="AG158">
        <v>0</v>
      </c>
      <c r="AH1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58">
        <v>10</v>
      </c>
      <c r="AJ158" t="s">
        <v>74</v>
      </c>
      <c r="AK158">
        <v>2</v>
      </c>
      <c r="AL158" t="s">
        <v>74</v>
      </c>
      <c r="AM158">
        <v>3</v>
      </c>
      <c r="AN158" t="s">
        <v>74</v>
      </c>
      <c r="AO158">
        <v>1</v>
      </c>
      <c r="AP158" t="s">
        <v>74</v>
      </c>
      <c r="AQ158">
        <v>0</v>
      </c>
      <c r="AR158">
        <v>0</v>
      </c>
      <c r="AS158">
        <v>0</v>
      </c>
    </row>
    <row r="159" spans="1:4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 t="str">
        <f>IF(Employee_data[[#This Row],[MonthlyIncome]]&lt;5000,"Low Income",
IF(Employee_data[[#This Row],[MonthlyIncome]]&lt;10000,"Medium Income","High Income"))</f>
        <v>Low Income</v>
      </c>
      <c r="U159" t="s">
        <v>91</v>
      </c>
      <c r="V159" t="s">
        <v>91</v>
      </c>
      <c r="W159" t="s">
        <v>91</v>
      </c>
      <c r="X159" t="s">
        <v>91</v>
      </c>
      <c r="Y159">
        <v>11873</v>
      </c>
      <c r="Z159">
        <v>4</v>
      </c>
      <c r="AA159" t="s">
        <v>42</v>
      </c>
      <c r="AB159" t="s">
        <v>35</v>
      </c>
      <c r="AC159">
        <v>20</v>
      </c>
      <c r="AD159">
        <v>4</v>
      </c>
      <c r="AE159">
        <v>2</v>
      </c>
      <c r="AF159">
        <v>80</v>
      </c>
      <c r="AG159">
        <v>1</v>
      </c>
      <c r="AH1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59">
        <v>9</v>
      </c>
      <c r="AJ159" t="s">
        <v>74</v>
      </c>
      <c r="AK159">
        <v>3</v>
      </c>
      <c r="AL159" t="s">
        <v>74</v>
      </c>
      <c r="AM159">
        <v>2</v>
      </c>
      <c r="AN159" t="s">
        <v>74</v>
      </c>
      <c r="AO159">
        <v>1</v>
      </c>
      <c r="AP159" t="s">
        <v>74</v>
      </c>
      <c r="AQ159">
        <v>0</v>
      </c>
      <c r="AR159">
        <v>0</v>
      </c>
      <c r="AS159">
        <v>0</v>
      </c>
    </row>
    <row r="160" spans="1:4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 t="str">
        <f>IF(Employee_data[[#This Row],[MonthlyIncome]]&lt;5000,"Low Income",
IF(Employee_data[[#This Row],[MonthlyIncome]]&lt;10000,"Medium Income","High Income"))</f>
        <v>High Income</v>
      </c>
      <c r="U160" t="s">
        <v>90</v>
      </c>
      <c r="V160" t="s">
        <v>90</v>
      </c>
      <c r="W160" t="s">
        <v>90</v>
      </c>
      <c r="X160" t="s">
        <v>90</v>
      </c>
      <c r="Y160">
        <v>8552</v>
      </c>
      <c r="Z160">
        <v>7</v>
      </c>
      <c r="AA160" t="s">
        <v>42</v>
      </c>
      <c r="AB160" t="s">
        <v>43</v>
      </c>
      <c r="AC160">
        <v>11</v>
      </c>
      <c r="AD160">
        <v>3</v>
      </c>
      <c r="AE160">
        <v>1</v>
      </c>
      <c r="AF160">
        <v>80</v>
      </c>
      <c r="AG160">
        <v>1</v>
      </c>
      <c r="AH1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60">
        <v>15</v>
      </c>
      <c r="AJ160" t="s">
        <v>75</v>
      </c>
      <c r="AK160">
        <v>2</v>
      </c>
      <c r="AL160" t="s">
        <v>75</v>
      </c>
      <c r="AM160">
        <v>2</v>
      </c>
      <c r="AN160" t="s">
        <v>75</v>
      </c>
      <c r="AO160">
        <v>12</v>
      </c>
      <c r="AP160" t="s">
        <v>75</v>
      </c>
      <c r="AQ160">
        <v>11</v>
      </c>
      <c r="AR160">
        <v>2</v>
      </c>
      <c r="AS160">
        <v>11</v>
      </c>
    </row>
    <row r="161" spans="1:4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 t="str">
        <f>IF(Employee_data[[#This Row],[MonthlyIncome]]&lt;5000,"Low Income",
IF(Employee_data[[#This Row],[MonthlyIncome]]&lt;10000,"Medium Income","High Income"))</f>
        <v>Low Income</v>
      </c>
      <c r="U161" t="s">
        <v>91</v>
      </c>
      <c r="V161" t="s">
        <v>91</v>
      </c>
      <c r="W161" t="s">
        <v>91</v>
      </c>
      <c r="X161" t="s">
        <v>91</v>
      </c>
      <c r="Y161">
        <v>11314</v>
      </c>
      <c r="Z161">
        <v>6</v>
      </c>
      <c r="AA161" t="s">
        <v>42</v>
      </c>
      <c r="AB161" t="s">
        <v>43</v>
      </c>
      <c r="AC161">
        <v>18</v>
      </c>
      <c r="AD161">
        <v>3</v>
      </c>
      <c r="AE161">
        <v>4</v>
      </c>
      <c r="AF161">
        <v>80</v>
      </c>
      <c r="AG161">
        <v>1</v>
      </c>
      <c r="AH1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61">
        <v>6</v>
      </c>
      <c r="AJ161" t="s">
        <v>74</v>
      </c>
      <c r="AK161">
        <v>3</v>
      </c>
      <c r="AL161" t="s">
        <v>74</v>
      </c>
      <c r="AM161">
        <v>3</v>
      </c>
      <c r="AN161" t="s">
        <v>74</v>
      </c>
      <c r="AO161">
        <v>4</v>
      </c>
      <c r="AP161" t="s">
        <v>74</v>
      </c>
      <c r="AQ161">
        <v>3</v>
      </c>
      <c r="AR161">
        <v>1</v>
      </c>
      <c r="AS161">
        <v>2</v>
      </c>
    </row>
    <row r="162" spans="1:4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 t="str">
        <f>IF(Employee_data[[#This Row],[MonthlyIncome]]&lt;5000,"Low Income",
IF(Employee_data[[#This Row],[MonthlyIncome]]&lt;10000,"Medium Income","High Income"))</f>
        <v>Low Income</v>
      </c>
      <c r="U162" t="s">
        <v>91</v>
      </c>
      <c r="V162" t="s">
        <v>91</v>
      </c>
      <c r="W162" t="s">
        <v>91</v>
      </c>
      <c r="X162" t="s">
        <v>91</v>
      </c>
      <c r="Y162">
        <v>11992</v>
      </c>
      <c r="Z162">
        <v>1</v>
      </c>
      <c r="AA162" t="s">
        <v>42</v>
      </c>
      <c r="AB162" t="s">
        <v>43</v>
      </c>
      <c r="AC162">
        <v>24</v>
      </c>
      <c r="AD162">
        <v>4</v>
      </c>
      <c r="AE162">
        <v>1</v>
      </c>
      <c r="AF162">
        <v>80</v>
      </c>
      <c r="AG162">
        <v>2</v>
      </c>
      <c r="AH1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62">
        <v>2</v>
      </c>
      <c r="AJ162" t="s">
        <v>74</v>
      </c>
      <c r="AK162">
        <v>6</v>
      </c>
      <c r="AL162" t="s">
        <v>74</v>
      </c>
      <c r="AM162">
        <v>3</v>
      </c>
      <c r="AN162" t="s">
        <v>74</v>
      </c>
      <c r="AO162">
        <v>2</v>
      </c>
      <c r="AP162" t="s">
        <v>74</v>
      </c>
      <c r="AQ162">
        <v>2</v>
      </c>
      <c r="AR162">
        <v>2</v>
      </c>
      <c r="AS162">
        <v>2</v>
      </c>
    </row>
    <row r="163" spans="1:4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 t="str">
        <f>IF(Employee_data[[#This Row],[MonthlyIncome]]&lt;5000,"Low Income",
IF(Employee_data[[#This Row],[MonthlyIncome]]&lt;10000,"Medium Income","High Income"))</f>
        <v>Low Income</v>
      </c>
      <c r="U163" t="s">
        <v>91</v>
      </c>
      <c r="V163" t="s">
        <v>91</v>
      </c>
      <c r="W163" t="s">
        <v>91</v>
      </c>
      <c r="X163" t="s">
        <v>91</v>
      </c>
      <c r="Y163">
        <v>5970</v>
      </c>
      <c r="Z163">
        <v>6</v>
      </c>
      <c r="AA163" t="s">
        <v>42</v>
      </c>
      <c r="AB163" t="s">
        <v>43</v>
      </c>
      <c r="AC163">
        <v>18</v>
      </c>
      <c r="AD163">
        <v>3</v>
      </c>
      <c r="AE163">
        <v>4</v>
      </c>
      <c r="AF163">
        <v>80</v>
      </c>
      <c r="AG163">
        <v>1</v>
      </c>
      <c r="AH1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63">
        <v>6</v>
      </c>
      <c r="AJ163" t="s">
        <v>74</v>
      </c>
      <c r="AK163">
        <v>1</v>
      </c>
      <c r="AL163" t="s">
        <v>74</v>
      </c>
      <c r="AM163">
        <v>1</v>
      </c>
      <c r="AN163" t="s">
        <v>74</v>
      </c>
      <c r="AO163">
        <v>2</v>
      </c>
      <c r="AP163" t="s">
        <v>74</v>
      </c>
      <c r="AQ163">
        <v>2</v>
      </c>
      <c r="AR163">
        <v>2</v>
      </c>
      <c r="AS163">
        <v>2</v>
      </c>
    </row>
    <row r="164" spans="1:4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 t="str">
        <f>IF(Employee_data[[#This Row],[MonthlyIncome]]&lt;5000,"Low Income",
IF(Employee_data[[#This Row],[MonthlyIncome]]&lt;10000,"Medium Income","High Income"))</f>
        <v>Low Income</v>
      </c>
      <c r="U164" t="s">
        <v>91</v>
      </c>
      <c r="V164" t="s">
        <v>91</v>
      </c>
      <c r="W164" t="s">
        <v>91</v>
      </c>
      <c r="X164" t="s">
        <v>91</v>
      </c>
      <c r="Y164">
        <v>6672</v>
      </c>
      <c r="Z164">
        <v>1</v>
      </c>
      <c r="AA164" t="s">
        <v>42</v>
      </c>
      <c r="AB164" t="s">
        <v>43</v>
      </c>
      <c r="AC164">
        <v>11</v>
      </c>
      <c r="AD164">
        <v>3</v>
      </c>
      <c r="AE164">
        <v>3</v>
      </c>
      <c r="AF164">
        <v>80</v>
      </c>
      <c r="AG164">
        <v>1</v>
      </c>
      <c r="AH1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64">
        <v>5</v>
      </c>
      <c r="AJ164" t="s">
        <v>78</v>
      </c>
      <c r="AK164">
        <v>2</v>
      </c>
      <c r="AL164" t="s">
        <v>78</v>
      </c>
      <c r="AM164">
        <v>1</v>
      </c>
      <c r="AN164" t="s">
        <v>78</v>
      </c>
      <c r="AO164">
        <v>5</v>
      </c>
      <c r="AP164" t="s">
        <v>78</v>
      </c>
      <c r="AQ164">
        <v>2</v>
      </c>
      <c r="AR164">
        <v>0</v>
      </c>
      <c r="AS164">
        <v>2</v>
      </c>
    </row>
    <row r="165" spans="1:4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 t="str">
        <f>IF(Employee_data[[#This Row],[MonthlyIncome]]&lt;5000,"Low Income",
IF(Employee_data[[#This Row],[MonthlyIncome]]&lt;10000,"Medium Income","High Income"))</f>
        <v>Medium Income</v>
      </c>
      <c r="U165" t="s">
        <v>92</v>
      </c>
      <c r="V165" t="s">
        <v>92</v>
      </c>
      <c r="W165" t="s">
        <v>92</v>
      </c>
      <c r="X165" t="s">
        <v>92</v>
      </c>
      <c r="Y165">
        <v>23402</v>
      </c>
      <c r="Z165">
        <v>3</v>
      </c>
      <c r="AA165" t="s">
        <v>42</v>
      </c>
      <c r="AB165" t="s">
        <v>35</v>
      </c>
      <c r="AC165">
        <v>16</v>
      </c>
      <c r="AD165">
        <v>3</v>
      </c>
      <c r="AE165">
        <v>2</v>
      </c>
      <c r="AF165">
        <v>80</v>
      </c>
      <c r="AG165">
        <v>1</v>
      </c>
      <c r="AH1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65">
        <v>12</v>
      </c>
      <c r="AJ165" t="s">
        <v>78</v>
      </c>
      <c r="AK165">
        <v>2</v>
      </c>
      <c r="AL165" t="s">
        <v>78</v>
      </c>
      <c r="AM165">
        <v>1</v>
      </c>
      <c r="AN165" t="s">
        <v>78</v>
      </c>
      <c r="AO165">
        <v>5</v>
      </c>
      <c r="AP165" t="s">
        <v>78</v>
      </c>
      <c r="AQ165">
        <v>3</v>
      </c>
      <c r="AR165">
        <v>1</v>
      </c>
      <c r="AS165">
        <v>4</v>
      </c>
    </row>
    <row r="166" spans="1:4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 t="str">
        <f>IF(Employee_data[[#This Row],[MonthlyIncome]]&lt;5000,"Low Income",
IF(Employee_data[[#This Row],[MonthlyIncome]]&lt;10000,"Medium Income","High Income"))</f>
        <v>Low Income</v>
      </c>
      <c r="U166" t="s">
        <v>91</v>
      </c>
      <c r="V166" t="s">
        <v>91</v>
      </c>
      <c r="W166" t="s">
        <v>91</v>
      </c>
      <c r="X166" t="s">
        <v>91</v>
      </c>
      <c r="Y166">
        <v>25326</v>
      </c>
      <c r="Z166">
        <v>1</v>
      </c>
      <c r="AA166" t="s">
        <v>42</v>
      </c>
      <c r="AB166" t="s">
        <v>35</v>
      </c>
      <c r="AC166">
        <v>15</v>
      </c>
      <c r="AD166">
        <v>3</v>
      </c>
      <c r="AE166">
        <v>4</v>
      </c>
      <c r="AF166">
        <v>80</v>
      </c>
      <c r="AG166">
        <v>1</v>
      </c>
      <c r="AH1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66">
        <v>1</v>
      </c>
      <c r="AJ166" t="s">
        <v>74</v>
      </c>
      <c r="AK166">
        <v>2</v>
      </c>
      <c r="AL166" t="s">
        <v>74</v>
      </c>
      <c r="AM166">
        <v>2</v>
      </c>
      <c r="AN166" t="s">
        <v>74</v>
      </c>
      <c r="AO166">
        <v>1</v>
      </c>
      <c r="AP166" t="s">
        <v>74</v>
      </c>
      <c r="AQ166">
        <v>1</v>
      </c>
      <c r="AR166">
        <v>0</v>
      </c>
      <c r="AS166">
        <v>1</v>
      </c>
    </row>
    <row r="167" spans="1:4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 t="str">
        <f>IF(Employee_data[[#This Row],[MonthlyIncome]]&lt;5000,"Low Income",
IF(Employee_data[[#This Row],[MonthlyIncome]]&lt;10000,"Medium Income","High Income"))</f>
        <v>High Income</v>
      </c>
      <c r="U167" t="s">
        <v>90</v>
      </c>
      <c r="V167" t="s">
        <v>90</v>
      </c>
      <c r="W167" t="s">
        <v>90</v>
      </c>
      <c r="X167" t="s">
        <v>90</v>
      </c>
      <c r="Y167">
        <v>17053</v>
      </c>
      <c r="Z167">
        <v>3</v>
      </c>
      <c r="AA167" t="s">
        <v>42</v>
      </c>
      <c r="AB167" t="s">
        <v>43</v>
      </c>
      <c r="AC167">
        <v>15</v>
      </c>
      <c r="AD167">
        <v>3</v>
      </c>
      <c r="AE167">
        <v>2</v>
      </c>
      <c r="AF167">
        <v>80</v>
      </c>
      <c r="AG167">
        <v>0</v>
      </c>
      <c r="AH1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67">
        <v>21</v>
      </c>
      <c r="AJ167" t="s">
        <v>78</v>
      </c>
      <c r="AK167">
        <v>5</v>
      </c>
      <c r="AL167" t="s">
        <v>78</v>
      </c>
      <c r="AM167">
        <v>3</v>
      </c>
      <c r="AN167" t="s">
        <v>78</v>
      </c>
      <c r="AO167">
        <v>5</v>
      </c>
      <c r="AP167" t="s">
        <v>78</v>
      </c>
      <c r="AQ167">
        <v>4</v>
      </c>
      <c r="AR167">
        <v>4</v>
      </c>
      <c r="AS167">
        <v>4</v>
      </c>
    </row>
    <row r="168" spans="1:4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 t="str">
        <f>IF(Employee_data[[#This Row],[MonthlyIncome]]&lt;5000,"Low Income",
IF(Employee_data[[#This Row],[MonthlyIncome]]&lt;10000,"Medium Income","High Income"))</f>
        <v>Low Income</v>
      </c>
      <c r="U168" t="s">
        <v>91</v>
      </c>
      <c r="V168" t="s">
        <v>91</v>
      </c>
      <c r="W168" t="s">
        <v>91</v>
      </c>
      <c r="X168" t="s">
        <v>91</v>
      </c>
      <c r="Y168">
        <v>4609</v>
      </c>
      <c r="Z168">
        <v>4</v>
      </c>
      <c r="AA168" t="s">
        <v>42</v>
      </c>
      <c r="AB168" t="s">
        <v>43</v>
      </c>
      <c r="AC168">
        <v>12</v>
      </c>
      <c r="AD168">
        <v>3</v>
      </c>
      <c r="AE168">
        <v>1</v>
      </c>
      <c r="AF168">
        <v>80</v>
      </c>
      <c r="AG168">
        <v>1</v>
      </c>
      <c r="AH1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68">
        <v>13</v>
      </c>
      <c r="AJ168" t="s">
        <v>78</v>
      </c>
      <c r="AK168">
        <v>2</v>
      </c>
      <c r="AL168" t="s">
        <v>78</v>
      </c>
      <c r="AM168">
        <v>3</v>
      </c>
      <c r="AN168" t="s">
        <v>78</v>
      </c>
      <c r="AO168">
        <v>9</v>
      </c>
      <c r="AP168" t="s">
        <v>78</v>
      </c>
      <c r="AQ168">
        <v>8</v>
      </c>
      <c r="AR168">
        <v>1</v>
      </c>
      <c r="AS168">
        <v>8</v>
      </c>
    </row>
    <row r="169" spans="1:4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 t="str">
        <f>IF(Employee_data[[#This Row],[MonthlyIncome]]&lt;5000,"Low Income",
IF(Employee_data[[#This Row],[MonthlyIncome]]&lt;10000,"Medium Income","High Income"))</f>
        <v>Medium Income</v>
      </c>
      <c r="U169" t="s">
        <v>92</v>
      </c>
      <c r="V169" t="s">
        <v>92</v>
      </c>
      <c r="W169" t="s">
        <v>92</v>
      </c>
      <c r="X169" t="s">
        <v>92</v>
      </c>
      <c r="Y169">
        <v>8053</v>
      </c>
      <c r="Z169">
        <v>2</v>
      </c>
      <c r="AA169" t="s">
        <v>42</v>
      </c>
      <c r="AB169" t="s">
        <v>43</v>
      </c>
      <c r="AC169">
        <v>12</v>
      </c>
      <c r="AD169">
        <v>3</v>
      </c>
      <c r="AE169">
        <v>3</v>
      </c>
      <c r="AF169">
        <v>80</v>
      </c>
      <c r="AG169">
        <v>1</v>
      </c>
      <c r="AH1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69">
        <v>12</v>
      </c>
      <c r="AJ169" t="s">
        <v>75</v>
      </c>
      <c r="AK169">
        <v>2</v>
      </c>
      <c r="AL169" t="s">
        <v>75</v>
      </c>
      <c r="AM169">
        <v>3</v>
      </c>
      <c r="AN169" t="s">
        <v>75</v>
      </c>
      <c r="AO169">
        <v>10</v>
      </c>
      <c r="AP169" t="s">
        <v>75</v>
      </c>
      <c r="AQ169">
        <v>9</v>
      </c>
      <c r="AR169">
        <v>7</v>
      </c>
      <c r="AS169">
        <v>4</v>
      </c>
    </row>
    <row r="170" spans="1:4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 t="str">
        <f>IF(Employee_data[[#This Row],[MonthlyIncome]]&lt;5000,"Low Income",
IF(Employee_data[[#This Row],[MonthlyIncome]]&lt;10000,"Medium Income","High Income"))</f>
        <v>Medium Income</v>
      </c>
      <c r="U170" t="s">
        <v>92</v>
      </c>
      <c r="V170" t="s">
        <v>92</v>
      </c>
      <c r="W170" t="s">
        <v>92</v>
      </c>
      <c r="X170" t="s">
        <v>92</v>
      </c>
      <c r="Y170">
        <v>12930</v>
      </c>
      <c r="Z170">
        <v>4</v>
      </c>
      <c r="AA170" t="s">
        <v>42</v>
      </c>
      <c r="AB170" t="s">
        <v>43</v>
      </c>
      <c r="AC170">
        <v>22</v>
      </c>
      <c r="AD170">
        <v>4</v>
      </c>
      <c r="AE170">
        <v>3</v>
      </c>
      <c r="AF170">
        <v>80</v>
      </c>
      <c r="AG170">
        <v>0</v>
      </c>
      <c r="AH1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70">
        <v>12</v>
      </c>
      <c r="AJ170" t="s">
        <v>78</v>
      </c>
      <c r="AK170">
        <v>2</v>
      </c>
      <c r="AL170" t="s">
        <v>78</v>
      </c>
      <c r="AM170">
        <v>4</v>
      </c>
      <c r="AN170" t="s">
        <v>78</v>
      </c>
      <c r="AO170">
        <v>8</v>
      </c>
      <c r="AP170" t="s">
        <v>78</v>
      </c>
      <c r="AQ170">
        <v>3</v>
      </c>
      <c r="AR170">
        <v>0</v>
      </c>
      <c r="AS170">
        <v>7</v>
      </c>
    </row>
    <row r="171" spans="1:4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 t="str">
        <f>IF(Employee_data[[#This Row],[MonthlyIncome]]&lt;5000,"Low Income",
IF(Employee_data[[#This Row],[MonthlyIncome]]&lt;10000,"Medium Income","High Income"))</f>
        <v>Low Income</v>
      </c>
      <c r="U171" t="s">
        <v>91</v>
      </c>
      <c r="V171" t="s">
        <v>91</v>
      </c>
      <c r="W171" t="s">
        <v>91</v>
      </c>
      <c r="X171" t="s">
        <v>91</v>
      </c>
      <c r="Y171">
        <v>12430</v>
      </c>
      <c r="Z171">
        <v>3</v>
      </c>
      <c r="AA171" t="s">
        <v>42</v>
      </c>
      <c r="AB171" t="s">
        <v>43</v>
      </c>
      <c r="AC171">
        <v>20</v>
      </c>
      <c r="AD171">
        <v>4</v>
      </c>
      <c r="AE171">
        <v>1</v>
      </c>
      <c r="AF171">
        <v>80</v>
      </c>
      <c r="AG171">
        <v>0</v>
      </c>
      <c r="AH1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71">
        <v>8</v>
      </c>
      <c r="AJ171" t="s">
        <v>78</v>
      </c>
      <c r="AK171">
        <v>2</v>
      </c>
      <c r="AL171" t="s">
        <v>78</v>
      </c>
      <c r="AM171">
        <v>3</v>
      </c>
      <c r="AN171" t="s">
        <v>78</v>
      </c>
      <c r="AO171">
        <v>5</v>
      </c>
      <c r="AP171" t="s">
        <v>78</v>
      </c>
      <c r="AQ171">
        <v>4</v>
      </c>
      <c r="AR171">
        <v>1</v>
      </c>
      <c r="AS171">
        <v>4</v>
      </c>
    </row>
    <row r="172" spans="1:4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 t="str">
        <f>IF(Employee_data[[#This Row],[MonthlyIncome]]&lt;5000,"Low Income",
IF(Employee_data[[#This Row],[MonthlyIncome]]&lt;10000,"Medium Income","High Income"))</f>
        <v>Low Income</v>
      </c>
      <c r="U172" t="s">
        <v>91</v>
      </c>
      <c r="V172" t="s">
        <v>91</v>
      </c>
      <c r="W172" t="s">
        <v>91</v>
      </c>
      <c r="X172" t="s">
        <v>91</v>
      </c>
      <c r="Y172">
        <v>13364</v>
      </c>
      <c r="Z172">
        <v>0</v>
      </c>
      <c r="AA172" t="s">
        <v>42</v>
      </c>
      <c r="AB172" t="s">
        <v>35</v>
      </c>
      <c r="AC172">
        <v>16</v>
      </c>
      <c r="AD172">
        <v>3</v>
      </c>
      <c r="AE172">
        <v>4</v>
      </c>
      <c r="AF172">
        <v>80</v>
      </c>
      <c r="AG172">
        <v>1</v>
      </c>
      <c r="AH1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72">
        <v>6</v>
      </c>
      <c r="AJ172" t="s">
        <v>78</v>
      </c>
      <c r="AK172">
        <v>3</v>
      </c>
      <c r="AL172" t="s">
        <v>78</v>
      </c>
      <c r="AM172">
        <v>2</v>
      </c>
      <c r="AN172" t="s">
        <v>78</v>
      </c>
      <c r="AO172">
        <v>5</v>
      </c>
      <c r="AP172" t="s">
        <v>78</v>
      </c>
      <c r="AQ172">
        <v>2</v>
      </c>
      <c r="AR172">
        <v>1</v>
      </c>
      <c r="AS172">
        <v>1</v>
      </c>
    </row>
    <row r="173" spans="1:4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 t="str">
        <f>IF(Employee_data[[#This Row],[MonthlyIncome]]&lt;5000,"Low Income",
IF(Employee_data[[#This Row],[MonthlyIncome]]&lt;10000,"Medium Income","High Income"))</f>
        <v>Low Income</v>
      </c>
      <c r="U173" t="s">
        <v>91</v>
      </c>
      <c r="V173" t="s">
        <v>91</v>
      </c>
      <c r="W173" t="s">
        <v>91</v>
      </c>
      <c r="X173" t="s">
        <v>91</v>
      </c>
      <c r="Y173">
        <v>20989</v>
      </c>
      <c r="Z173">
        <v>0</v>
      </c>
      <c r="AA173" t="s">
        <v>42</v>
      </c>
      <c r="AB173" t="s">
        <v>43</v>
      </c>
      <c r="AC173">
        <v>21</v>
      </c>
      <c r="AD173">
        <v>4</v>
      </c>
      <c r="AE173">
        <v>1</v>
      </c>
      <c r="AF173">
        <v>80</v>
      </c>
      <c r="AG173">
        <v>0</v>
      </c>
      <c r="AH1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73">
        <v>1</v>
      </c>
      <c r="AJ173" t="s">
        <v>74</v>
      </c>
      <c r="AK173">
        <v>5</v>
      </c>
      <c r="AL173" t="s">
        <v>74</v>
      </c>
      <c r="AM173">
        <v>4</v>
      </c>
      <c r="AN173" t="s">
        <v>74</v>
      </c>
      <c r="AO173">
        <v>0</v>
      </c>
      <c r="AP173" t="s">
        <v>74</v>
      </c>
      <c r="AQ173">
        <v>0</v>
      </c>
      <c r="AR173">
        <v>0</v>
      </c>
      <c r="AS173">
        <v>0</v>
      </c>
    </row>
    <row r="174" spans="1:4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 t="str">
        <f>IF(Employee_data[[#This Row],[MonthlyIncome]]&lt;5000,"Low Income",
IF(Employee_data[[#This Row],[MonthlyIncome]]&lt;10000,"Medium Income","High Income"))</f>
        <v>Low Income</v>
      </c>
      <c r="U174" t="s">
        <v>91</v>
      </c>
      <c r="V174" t="s">
        <v>91</v>
      </c>
      <c r="W174" t="s">
        <v>91</v>
      </c>
      <c r="X174" t="s">
        <v>91</v>
      </c>
      <c r="Y174">
        <v>15062</v>
      </c>
      <c r="Z174">
        <v>4</v>
      </c>
      <c r="AA174" t="s">
        <v>42</v>
      </c>
      <c r="AB174" t="s">
        <v>43</v>
      </c>
      <c r="AC174">
        <v>12</v>
      </c>
      <c r="AD174">
        <v>3</v>
      </c>
      <c r="AE174">
        <v>3</v>
      </c>
      <c r="AF174">
        <v>80</v>
      </c>
      <c r="AG174">
        <v>0</v>
      </c>
      <c r="AH1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74">
        <v>13</v>
      </c>
      <c r="AJ174" t="s">
        <v>78</v>
      </c>
      <c r="AK174">
        <v>3</v>
      </c>
      <c r="AL174" t="s">
        <v>78</v>
      </c>
      <c r="AM174">
        <v>2</v>
      </c>
      <c r="AN174" t="s">
        <v>78</v>
      </c>
      <c r="AO174">
        <v>8</v>
      </c>
      <c r="AP174" t="s">
        <v>78</v>
      </c>
      <c r="AQ174">
        <v>7</v>
      </c>
      <c r="AR174">
        <v>7</v>
      </c>
      <c r="AS174">
        <v>2</v>
      </c>
    </row>
    <row r="175" spans="1:4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 t="str">
        <f>IF(Employee_data[[#This Row],[MonthlyIncome]]&lt;5000,"Low Income",
IF(Employee_data[[#This Row],[MonthlyIncome]]&lt;10000,"Medium Income","High Income"))</f>
        <v>Low Income</v>
      </c>
      <c r="U175" t="s">
        <v>91</v>
      </c>
      <c r="V175" t="s">
        <v>91</v>
      </c>
      <c r="W175" t="s">
        <v>91</v>
      </c>
      <c r="X175" t="s">
        <v>91</v>
      </c>
      <c r="Y175">
        <v>11012</v>
      </c>
      <c r="Z175">
        <v>1</v>
      </c>
      <c r="AA175" t="s">
        <v>42</v>
      </c>
      <c r="AB175" t="s">
        <v>43</v>
      </c>
      <c r="AC175">
        <v>11</v>
      </c>
      <c r="AD175">
        <v>3</v>
      </c>
      <c r="AE175">
        <v>3</v>
      </c>
      <c r="AF175">
        <v>80</v>
      </c>
      <c r="AG175">
        <v>2</v>
      </c>
      <c r="AH1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75">
        <v>12</v>
      </c>
      <c r="AJ175" t="s">
        <v>75</v>
      </c>
      <c r="AK175">
        <v>4</v>
      </c>
      <c r="AL175" t="s">
        <v>75</v>
      </c>
      <c r="AM175">
        <v>3</v>
      </c>
      <c r="AN175" t="s">
        <v>75</v>
      </c>
      <c r="AO175">
        <v>12</v>
      </c>
      <c r="AP175" t="s">
        <v>75</v>
      </c>
      <c r="AQ175">
        <v>9</v>
      </c>
      <c r="AR175">
        <v>6</v>
      </c>
      <c r="AS175">
        <v>10</v>
      </c>
    </row>
    <row r="176" spans="1:4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 t="str">
        <f>IF(Employee_data[[#This Row],[MonthlyIncome]]&lt;5000,"Low Income",
IF(Employee_data[[#This Row],[MonthlyIncome]]&lt;10000,"Medium Income","High Income"))</f>
        <v>Medium Income</v>
      </c>
      <c r="U176" t="s">
        <v>92</v>
      </c>
      <c r="V176" t="s">
        <v>92</v>
      </c>
      <c r="W176" t="s">
        <v>92</v>
      </c>
      <c r="X176" t="s">
        <v>92</v>
      </c>
      <c r="Y176">
        <v>6319</v>
      </c>
      <c r="Z176">
        <v>4</v>
      </c>
      <c r="AA176" t="s">
        <v>42</v>
      </c>
      <c r="AB176" t="s">
        <v>35</v>
      </c>
      <c r="AC176">
        <v>11</v>
      </c>
      <c r="AD176">
        <v>3</v>
      </c>
      <c r="AE176">
        <v>1</v>
      </c>
      <c r="AF176">
        <v>80</v>
      </c>
      <c r="AG176">
        <v>1</v>
      </c>
      <c r="AH1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76">
        <v>9</v>
      </c>
      <c r="AJ176" t="s">
        <v>78</v>
      </c>
      <c r="AK176">
        <v>3</v>
      </c>
      <c r="AL176" t="s">
        <v>78</v>
      </c>
      <c r="AM176">
        <v>4</v>
      </c>
      <c r="AN176" t="s">
        <v>78</v>
      </c>
      <c r="AO176">
        <v>5</v>
      </c>
      <c r="AP176" t="s">
        <v>78</v>
      </c>
      <c r="AQ176">
        <v>4</v>
      </c>
      <c r="AR176">
        <v>0</v>
      </c>
      <c r="AS176">
        <v>3</v>
      </c>
    </row>
    <row r="177" spans="1:4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 t="str">
        <f>IF(Employee_data[[#This Row],[MonthlyIncome]]&lt;5000,"Low Income",
IF(Employee_data[[#This Row],[MonthlyIncome]]&lt;10000,"Medium Income","High Income"))</f>
        <v>Low Income</v>
      </c>
      <c r="U177" t="s">
        <v>91</v>
      </c>
      <c r="V177" t="s">
        <v>91</v>
      </c>
      <c r="W177" t="s">
        <v>91</v>
      </c>
      <c r="X177" t="s">
        <v>91</v>
      </c>
      <c r="Y177">
        <v>13939</v>
      </c>
      <c r="Z177">
        <v>4</v>
      </c>
      <c r="AA177" t="s">
        <v>42</v>
      </c>
      <c r="AB177" t="s">
        <v>35</v>
      </c>
      <c r="AC177">
        <v>18</v>
      </c>
      <c r="AD177">
        <v>3</v>
      </c>
      <c r="AE177">
        <v>3</v>
      </c>
      <c r="AF177">
        <v>80</v>
      </c>
      <c r="AG177">
        <v>1</v>
      </c>
      <c r="AH1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77">
        <v>19</v>
      </c>
      <c r="AJ177" t="s">
        <v>74</v>
      </c>
      <c r="AK177">
        <v>3</v>
      </c>
      <c r="AL177" t="s">
        <v>74</v>
      </c>
      <c r="AM177">
        <v>3</v>
      </c>
      <c r="AN177" t="s">
        <v>74</v>
      </c>
      <c r="AO177">
        <v>2</v>
      </c>
      <c r="AP177" t="s">
        <v>74</v>
      </c>
      <c r="AQ177">
        <v>2</v>
      </c>
      <c r="AR177">
        <v>2</v>
      </c>
      <c r="AS177">
        <v>2</v>
      </c>
    </row>
    <row r="178" spans="1:4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 t="str">
        <f>IF(Employee_data[[#This Row],[MonthlyIncome]]&lt;5000,"Low Income",
IF(Employee_data[[#This Row],[MonthlyIncome]]&lt;10000,"Medium Income","High Income"))</f>
        <v>Low Income</v>
      </c>
      <c r="U178" t="s">
        <v>91</v>
      </c>
      <c r="V178" t="s">
        <v>91</v>
      </c>
      <c r="W178" t="s">
        <v>91</v>
      </c>
      <c r="X178" t="s">
        <v>91</v>
      </c>
      <c r="Y178">
        <v>10515</v>
      </c>
      <c r="Z178">
        <v>0</v>
      </c>
      <c r="AA178" t="s">
        <v>42</v>
      </c>
      <c r="AB178" t="s">
        <v>43</v>
      </c>
      <c r="AC178">
        <v>14</v>
      </c>
      <c r="AD178">
        <v>3</v>
      </c>
      <c r="AE178">
        <v>1</v>
      </c>
      <c r="AF178">
        <v>80</v>
      </c>
      <c r="AG178">
        <v>0</v>
      </c>
      <c r="AH1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78">
        <v>4</v>
      </c>
      <c r="AJ178" t="s">
        <v>74</v>
      </c>
      <c r="AK178">
        <v>2</v>
      </c>
      <c r="AL178" t="s">
        <v>74</v>
      </c>
      <c r="AM178">
        <v>4</v>
      </c>
      <c r="AN178" t="s">
        <v>74</v>
      </c>
      <c r="AO178">
        <v>3</v>
      </c>
      <c r="AP178" t="s">
        <v>74</v>
      </c>
      <c r="AQ178">
        <v>1</v>
      </c>
      <c r="AR178">
        <v>0</v>
      </c>
      <c r="AS178">
        <v>2</v>
      </c>
    </row>
    <row r="179" spans="1:4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 t="str">
        <f>IF(Employee_data[[#This Row],[MonthlyIncome]]&lt;5000,"Low Income",
IF(Employee_data[[#This Row],[MonthlyIncome]]&lt;10000,"Medium Income","High Income"))</f>
        <v>Low Income</v>
      </c>
      <c r="U179" t="s">
        <v>91</v>
      </c>
      <c r="V179" t="s">
        <v>91</v>
      </c>
      <c r="W179" t="s">
        <v>91</v>
      </c>
      <c r="X179" t="s">
        <v>91</v>
      </c>
      <c r="Y179">
        <v>9241</v>
      </c>
      <c r="Z179">
        <v>1</v>
      </c>
      <c r="AA179" t="s">
        <v>42</v>
      </c>
      <c r="AB179" t="s">
        <v>43</v>
      </c>
      <c r="AC179">
        <v>22</v>
      </c>
      <c r="AD179">
        <v>4</v>
      </c>
      <c r="AE179">
        <v>3</v>
      </c>
      <c r="AF179">
        <v>80</v>
      </c>
      <c r="AG179">
        <v>0</v>
      </c>
      <c r="AH1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79">
        <v>1</v>
      </c>
      <c r="AJ179" t="s">
        <v>74</v>
      </c>
      <c r="AK179">
        <v>3</v>
      </c>
      <c r="AL179" t="s">
        <v>74</v>
      </c>
      <c r="AM179">
        <v>2</v>
      </c>
      <c r="AN179" t="s">
        <v>74</v>
      </c>
      <c r="AO179">
        <v>1</v>
      </c>
      <c r="AP179" t="s">
        <v>74</v>
      </c>
      <c r="AQ179">
        <v>0</v>
      </c>
      <c r="AR179">
        <v>1</v>
      </c>
      <c r="AS179">
        <v>0</v>
      </c>
    </row>
    <row r="180" spans="1:4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 t="str">
        <f>IF(Employee_data[[#This Row],[MonthlyIncome]]&lt;5000,"Low Income",
IF(Employee_data[[#This Row],[MonthlyIncome]]&lt;10000,"Medium Income","High Income"))</f>
        <v>High Income</v>
      </c>
      <c r="U180" t="s">
        <v>90</v>
      </c>
      <c r="V180" t="s">
        <v>90</v>
      </c>
      <c r="W180" t="s">
        <v>90</v>
      </c>
      <c r="X180" t="s">
        <v>90</v>
      </c>
      <c r="Y180">
        <v>2137</v>
      </c>
      <c r="Z180">
        <v>1</v>
      </c>
      <c r="AA180" t="s">
        <v>42</v>
      </c>
      <c r="AB180" t="s">
        <v>43</v>
      </c>
      <c r="AC180">
        <v>25</v>
      </c>
      <c r="AD180">
        <v>4</v>
      </c>
      <c r="AE180">
        <v>3</v>
      </c>
      <c r="AF180">
        <v>80</v>
      </c>
      <c r="AG180">
        <v>3</v>
      </c>
      <c r="AH1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80">
        <v>24</v>
      </c>
      <c r="AJ180" t="s">
        <v>76</v>
      </c>
      <c r="AK180">
        <v>2</v>
      </c>
      <c r="AL180" t="s">
        <v>76</v>
      </c>
      <c r="AM180">
        <v>3</v>
      </c>
      <c r="AN180" t="s">
        <v>76</v>
      </c>
      <c r="AO180">
        <v>24</v>
      </c>
      <c r="AP180" t="s">
        <v>76</v>
      </c>
      <c r="AQ180">
        <v>13</v>
      </c>
      <c r="AR180">
        <v>15</v>
      </c>
      <c r="AS180">
        <v>7</v>
      </c>
    </row>
    <row r="181" spans="1:4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 t="str">
        <f>IF(Employee_data[[#This Row],[MonthlyIncome]]&lt;5000,"Low Income",
IF(Employee_data[[#This Row],[MonthlyIncome]]&lt;10000,"Medium Income","High Income"))</f>
        <v>Low Income</v>
      </c>
      <c r="U181" t="s">
        <v>91</v>
      </c>
      <c r="V181" t="s">
        <v>91</v>
      </c>
      <c r="W181" t="s">
        <v>91</v>
      </c>
      <c r="X181" t="s">
        <v>91</v>
      </c>
      <c r="Y181">
        <v>6319</v>
      </c>
      <c r="Z181">
        <v>1</v>
      </c>
      <c r="AA181" t="s">
        <v>42</v>
      </c>
      <c r="AB181" t="s">
        <v>43</v>
      </c>
      <c r="AC181">
        <v>12</v>
      </c>
      <c r="AD181">
        <v>3</v>
      </c>
      <c r="AE181">
        <v>3</v>
      </c>
      <c r="AF181">
        <v>80</v>
      </c>
      <c r="AG181">
        <v>0</v>
      </c>
      <c r="AH1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81">
        <v>2</v>
      </c>
      <c r="AJ181" t="s">
        <v>74</v>
      </c>
      <c r="AK181">
        <v>3</v>
      </c>
      <c r="AL181" t="s">
        <v>74</v>
      </c>
      <c r="AM181">
        <v>3</v>
      </c>
      <c r="AN181" t="s">
        <v>74</v>
      </c>
      <c r="AO181">
        <v>2</v>
      </c>
      <c r="AP181" t="s">
        <v>74</v>
      </c>
      <c r="AQ181">
        <v>2</v>
      </c>
      <c r="AR181">
        <v>2</v>
      </c>
      <c r="AS181">
        <v>1</v>
      </c>
    </row>
    <row r="182" spans="1:4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 t="str">
        <f>IF(Employee_data[[#This Row],[MonthlyIncome]]&lt;5000,"Low Income",
IF(Employee_data[[#This Row],[MonthlyIncome]]&lt;10000,"Medium Income","High Income"))</f>
        <v>Low Income</v>
      </c>
      <c r="U182" t="s">
        <v>91</v>
      </c>
      <c r="V182" t="s">
        <v>91</v>
      </c>
      <c r="W182" t="s">
        <v>91</v>
      </c>
      <c r="X182" t="s">
        <v>91</v>
      </c>
      <c r="Y182">
        <v>6984</v>
      </c>
      <c r="Z182">
        <v>8</v>
      </c>
      <c r="AA182" t="s">
        <v>42</v>
      </c>
      <c r="AB182" t="s">
        <v>35</v>
      </c>
      <c r="AC182">
        <v>23</v>
      </c>
      <c r="AD182">
        <v>4</v>
      </c>
      <c r="AE182">
        <v>3</v>
      </c>
      <c r="AF182">
        <v>80</v>
      </c>
      <c r="AG182">
        <v>1</v>
      </c>
      <c r="AH1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82">
        <v>7</v>
      </c>
      <c r="AJ182" t="s">
        <v>74</v>
      </c>
      <c r="AK182">
        <v>0</v>
      </c>
      <c r="AL182" t="s">
        <v>74</v>
      </c>
      <c r="AM182">
        <v>3</v>
      </c>
      <c r="AN182" t="s">
        <v>74</v>
      </c>
      <c r="AO182">
        <v>4</v>
      </c>
      <c r="AP182" t="s">
        <v>74</v>
      </c>
      <c r="AQ182">
        <v>2</v>
      </c>
      <c r="AR182">
        <v>0</v>
      </c>
      <c r="AS182">
        <v>2</v>
      </c>
    </row>
    <row r="183" spans="1:4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 t="str">
        <f>IF(Employee_data[[#This Row],[MonthlyIncome]]&lt;5000,"Low Income",
IF(Employee_data[[#This Row],[MonthlyIncome]]&lt;10000,"Medium Income","High Income"))</f>
        <v>Low Income</v>
      </c>
      <c r="U183" t="s">
        <v>91</v>
      </c>
      <c r="V183" t="s">
        <v>91</v>
      </c>
      <c r="W183" t="s">
        <v>91</v>
      </c>
      <c r="X183" t="s">
        <v>91</v>
      </c>
      <c r="Y183">
        <v>5711</v>
      </c>
      <c r="Z183">
        <v>2</v>
      </c>
      <c r="AA183" t="s">
        <v>42</v>
      </c>
      <c r="AB183" t="s">
        <v>43</v>
      </c>
      <c r="AC183">
        <v>15</v>
      </c>
      <c r="AD183">
        <v>3</v>
      </c>
      <c r="AE183">
        <v>4</v>
      </c>
      <c r="AF183">
        <v>80</v>
      </c>
      <c r="AG183">
        <v>0</v>
      </c>
      <c r="AH1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83">
        <v>9</v>
      </c>
      <c r="AJ183" t="s">
        <v>74</v>
      </c>
      <c r="AK183">
        <v>3</v>
      </c>
      <c r="AL183" t="s">
        <v>74</v>
      </c>
      <c r="AM183">
        <v>3</v>
      </c>
      <c r="AN183" t="s">
        <v>74</v>
      </c>
      <c r="AO183">
        <v>3</v>
      </c>
      <c r="AP183" t="s">
        <v>74</v>
      </c>
      <c r="AQ183">
        <v>2</v>
      </c>
      <c r="AR183">
        <v>1</v>
      </c>
      <c r="AS183">
        <v>2</v>
      </c>
    </row>
    <row r="184" spans="1:4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 t="str">
        <f>IF(Employee_data[[#This Row],[MonthlyIncome]]&lt;5000,"Low Income",
IF(Employee_data[[#This Row],[MonthlyIncome]]&lt;10000,"Medium Income","High Income"))</f>
        <v>Low Income</v>
      </c>
      <c r="U184" t="s">
        <v>91</v>
      </c>
      <c r="V184" t="s">
        <v>91</v>
      </c>
      <c r="W184" t="s">
        <v>91</v>
      </c>
      <c r="X184" t="s">
        <v>91</v>
      </c>
      <c r="Y184">
        <v>21728</v>
      </c>
      <c r="Z184">
        <v>1</v>
      </c>
      <c r="AA184" t="s">
        <v>42</v>
      </c>
      <c r="AB184" t="s">
        <v>35</v>
      </c>
      <c r="AC184">
        <v>22</v>
      </c>
      <c r="AD184">
        <v>4</v>
      </c>
      <c r="AE184">
        <v>4</v>
      </c>
      <c r="AF184">
        <v>80</v>
      </c>
      <c r="AG184">
        <v>0</v>
      </c>
      <c r="AH1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84">
        <v>4</v>
      </c>
      <c r="AJ184" t="s">
        <v>74</v>
      </c>
      <c r="AK184">
        <v>5</v>
      </c>
      <c r="AL184" t="s">
        <v>74</v>
      </c>
      <c r="AM184">
        <v>2</v>
      </c>
      <c r="AN184" t="s">
        <v>74</v>
      </c>
      <c r="AO184">
        <v>4</v>
      </c>
      <c r="AP184" t="s">
        <v>74</v>
      </c>
      <c r="AQ184">
        <v>3</v>
      </c>
      <c r="AR184">
        <v>0</v>
      </c>
      <c r="AS184">
        <v>2</v>
      </c>
    </row>
    <row r="185" spans="1:4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 t="str">
        <f>IF(Employee_data[[#This Row],[MonthlyIncome]]&lt;5000,"Low Income",
IF(Employee_data[[#This Row],[MonthlyIncome]]&lt;10000,"Medium Income","High Income"))</f>
        <v>Low Income</v>
      </c>
      <c r="U185" t="s">
        <v>91</v>
      </c>
      <c r="V185" t="s">
        <v>91</v>
      </c>
      <c r="W185" t="s">
        <v>91</v>
      </c>
      <c r="X185" t="s">
        <v>91</v>
      </c>
      <c r="Y185">
        <v>3425</v>
      </c>
      <c r="Z185">
        <v>2</v>
      </c>
      <c r="AA185" t="s">
        <v>42</v>
      </c>
      <c r="AB185" t="s">
        <v>43</v>
      </c>
      <c r="AC185">
        <v>15</v>
      </c>
      <c r="AD185">
        <v>3</v>
      </c>
      <c r="AE185">
        <v>4</v>
      </c>
      <c r="AF185">
        <v>80</v>
      </c>
      <c r="AG185">
        <v>1</v>
      </c>
      <c r="AH1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85">
        <v>5</v>
      </c>
      <c r="AJ185" t="s">
        <v>74</v>
      </c>
      <c r="AK185">
        <v>2</v>
      </c>
      <c r="AL185" t="s">
        <v>74</v>
      </c>
      <c r="AM185">
        <v>2</v>
      </c>
      <c r="AN185" t="s">
        <v>74</v>
      </c>
      <c r="AO185">
        <v>3</v>
      </c>
      <c r="AP185" t="s">
        <v>74</v>
      </c>
      <c r="AQ185">
        <v>2</v>
      </c>
      <c r="AR185">
        <v>0</v>
      </c>
      <c r="AS185">
        <v>2</v>
      </c>
    </row>
    <row r="186" spans="1:4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 t="str">
        <f>IF(Employee_data[[#This Row],[MonthlyIncome]]&lt;5000,"Low Income",
IF(Employee_data[[#This Row],[MonthlyIncome]]&lt;10000,"Medium Income","High Income"))</f>
        <v>Low Income</v>
      </c>
      <c r="U186" t="s">
        <v>91</v>
      </c>
      <c r="V186" t="s">
        <v>91</v>
      </c>
      <c r="W186" t="s">
        <v>91</v>
      </c>
      <c r="X186" t="s">
        <v>91</v>
      </c>
      <c r="Y186">
        <v>26250</v>
      </c>
      <c r="Z186">
        <v>1</v>
      </c>
      <c r="AA186" t="s">
        <v>42</v>
      </c>
      <c r="AB186" t="s">
        <v>43</v>
      </c>
      <c r="AC186">
        <v>11</v>
      </c>
      <c r="AD186">
        <v>3</v>
      </c>
      <c r="AE186">
        <v>3</v>
      </c>
      <c r="AF186">
        <v>80</v>
      </c>
      <c r="AG186">
        <v>2</v>
      </c>
      <c r="AH1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86">
        <v>5</v>
      </c>
      <c r="AJ186" t="s">
        <v>74</v>
      </c>
      <c r="AK186">
        <v>3</v>
      </c>
      <c r="AL186" t="s">
        <v>74</v>
      </c>
      <c r="AM186">
        <v>3</v>
      </c>
      <c r="AN186" t="s">
        <v>74</v>
      </c>
      <c r="AO186">
        <v>4</v>
      </c>
      <c r="AP186" t="s">
        <v>74</v>
      </c>
      <c r="AQ186">
        <v>2</v>
      </c>
      <c r="AR186">
        <v>1</v>
      </c>
      <c r="AS186">
        <v>3</v>
      </c>
    </row>
    <row r="187" spans="1:4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 t="str">
        <f>IF(Employee_data[[#This Row],[MonthlyIncome]]&lt;5000,"Low Income",
IF(Employee_data[[#This Row],[MonthlyIncome]]&lt;10000,"Medium Income","High Income"))</f>
        <v>Low Income</v>
      </c>
      <c r="U187" t="s">
        <v>91</v>
      </c>
      <c r="V187" t="s">
        <v>91</v>
      </c>
      <c r="W187" t="s">
        <v>91</v>
      </c>
      <c r="X187" t="s">
        <v>91</v>
      </c>
      <c r="Y187">
        <v>4673</v>
      </c>
      <c r="Z187">
        <v>1</v>
      </c>
      <c r="AA187" t="s">
        <v>42</v>
      </c>
      <c r="AB187" t="s">
        <v>43</v>
      </c>
      <c r="AC187">
        <v>13</v>
      </c>
      <c r="AD187">
        <v>3</v>
      </c>
      <c r="AE187">
        <v>4</v>
      </c>
      <c r="AF187">
        <v>80</v>
      </c>
      <c r="AG187">
        <v>1</v>
      </c>
      <c r="AH1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87">
        <v>8</v>
      </c>
      <c r="AJ187" t="s">
        <v>78</v>
      </c>
      <c r="AK187">
        <v>5</v>
      </c>
      <c r="AL187" t="s">
        <v>78</v>
      </c>
      <c r="AM187">
        <v>3</v>
      </c>
      <c r="AN187" t="s">
        <v>78</v>
      </c>
      <c r="AO187">
        <v>8</v>
      </c>
      <c r="AP187" t="s">
        <v>78</v>
      </c>
      <c r="AQ187">
        <v>7</v>
      </c>
      <c r="AR187">
        <v>1</v>
      </c>
      <c r="AS187">
        <v>6</v>
      </c>
    </row>
    <row r="188" spans="1:4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 t="str">
        <f>IF(Employee_data[[#This Row],[MonthlyIncome]]&lt;5000,"Low Income",
IF(Employee_data[[#This Row],[MonthlyIncome]]&lt;10000,"Medium Income","High Income"))</f>
        <v>High Income</v>
      </c>
      <c r="U188" t="s">
        <v>90</v>
      </c>
      <c r="V188" t="s">
        <v>90</v>
      </c>
      <c r="W188" t="s">
        <v>90</v>
      </c>
      <c r="X188" t="s">
        <v>90</v>
      </c>
      <c r="Y188">
        <v>6499</v>
      </c>
      <c r="Z188">
        <v>1</v>
      </c>
      <c r="AA188" t="s">
        <v>42</v>
      </c>
      <c r="AB188" t="s">
        <v>43</v>
      </c>
      <c r="AC188">
        <v>14</v>
      </c>
      <c r="AD188">
        <v>3</v>
      </c>
      <c r="AE188">
        <v>2</v>
      </c>
      <c r="AF188">
        <v>80</v>
      </c>
      <c r="AG188">
        <v>1</v>
      </c>
      <c r="AH1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88">
        <v>21</v>
      </c>
      <c r="AJ188" t="s">
        <v>76</v>
      </c>
      <c r="AK188">
        <v>2</v>
      </c>
      <c r="AL188" t="s">
        <v>76</v>
      </c>
      <c r="AM188">
        <v>3</v>
      </c>
      <c r="AN188" t="s">
        <v>76</v>
      </c>
      <c r="AO188">
        <v>20</v>
      </c>
      <c r="AP188" t="s">
        <v>76</v>
      </c>
      <c r="AQ188">
        <v>8</v>
      </c>
      <c r="AR188">
        <v>9</v>
      </c>
      <c r="AS188">
        <v>9</v>
      </c>
    </row>
    <row r="189" spans="1:4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 t="str">
        <f>IF(Employee_data[[#This Row],[MonthlyIncome]]&lt;5000,"Low Income",
IF(Employee_data[[#This Row],[MonthlyIncome]]&lt;10000,"Medium Income","High Income"))</f>
        <v>High Income</v>
      </c>
      <c r="U189" t="s">
        <v>90</v>
      </c>
      <c r="V189" t="s">
        <v>90</v>
      </c>
      <c r="W189" t="s">
        <v>90</v>
      </c>
      <c r="X189" t="s">
        <v>90</v>
      </c>
      <c r="Y189">
        <v>13339</v>
      </c>
      <c r="Z189">
        <v>8</v>
      </c>
      <c r="AA189" t="s">
        <v>42</v>
      </c>
      <c r="AB189" t="s">
        <v>43</v>
      </c>
      <c r="AC189">
        <v>11</v>
      </c>
      <c r="AD189">
        <v>3</v>
      </c>
      <c r="AE189">
        <v>4</v>
      </c>
      <c r="AF189">
        <v>80</v>
      </c>
      <c r="AG189">
        <v>0</v>
      </c>
      <c r="AH1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89">
        <v>36</v>
      </c>
      <c r="AJ189" t="s">
        <v>76</v>
      </c>
      <c r="AK189">
        <v>3</v>
      </c>
      <c r="AL189" t="s">
        <v>76</v>
      </c>
      <c r="AM189">
        <v>3</v>
      </c>
      <c r="AN189" t="s">
        <v>76</v>
      </c>
      <c r="AO189">
        <v>24</v>
      </c>
      <c r="AP189" t="s">
        <v>76</v>
      </c>
      <c r="AQ189">
        <v>15</v>
      </c>
      <c r="AR189">
        <v>2</v>
      </c>
      <c r="AS189">
        <v>15</v>
      </c>
    </row>
    <row r="190" spans="1:4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 t="str">
        <f>IF(Employee_data[[#This Row],[MonthlyIncome]]&lt;5000,"Low Income",
IF(Employee_data[[#This Row],[MonthlyIncome]]&lt;10000,"Medium Income","High Income"))</f>
        <v>Medium Income</v>
      </c>
      <c r="U190" t="s">
        <v>92</v>
      </c>
      <c r="V190" t="s">
        <v>92</v>
      </c>
      <c r="W190" t="s">
        <v>92</v>
      </c>
      <c r="X190" t="s">
        <v>92</v>
      </c>
      <c r="Y190">
        <v>14074</v>
      </c>
      <c r="Z190">
        <v>1</v>
      </c>
      <c r="AA190" t="s">
        <v>42</v>
      </c>
      <c r="AB190" t="s">
        <v>43</v>
      </c>
      <c r="AC190">
        <v>17</v>
      </c>
      <c r="AD190">
        <v>3</v>
      </c>
      <c r="AE190">
        <v>3</v>
      </c>
      <c r="AF190">
        <v>80</v>
      </c>
      <c r="AG190">
        <v>0</v>
      </c>
      <c r="AH1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90">
        <v>10</v>
      </c>
      <c r="AJ190" t="s">
        <v>75</v>
      </c>
      <c r="AK190">
        <v>2</v>
      </c>
      <c r="AL190" t="s">
        <v>75</v>
      </c>
      <c r="AM190">
        <v>2</v>
      </c>
      <c r="AN190" t="s">
        <v>75</v>
      </c>
      <c r="AO190">
        <v>10</v>
      </c>
      <c r="AP190" t="s">
        <v>75</v>
      </c>
      <c r="AQ190">
        <v>9</v>
      </c>
      <c r="AR190">
        <v>1</v>
      </c>
      <c r="AS190">
        <v>9</v>
      </c>
    </row>
    <row r="191" spans="1:4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 t="str">
        <f>IF(Employee_data[[#This Row],[MonthlyIncome]]&lt;5000,"Low Income",
IF(Employee_data[[#This Row],[MonthlyIncome]]&lt;10000,"Medium Income","High Income"))</f>
        <v>High Income</v>
      </c>
      <c r="U191" t="s">
        <v>90</v>
      </c>
      <c r="V191" t="s">
        <v>90</v>
      </c>
      <c r="W191" t="s">
        <v>90</v>
      </c>
      <c r="X191" t="s">
        <v>90</v>
      </c>
      <c r="Y191">
        <v>7192</v>
      </c>
      <c r="Z191">
        <v>3</v>
      </c>
      <c r="AA191" t="s">
        <v>42</v>
      </c>
      <c r="AB191" t="s">
        <v>43</v>
      </c>
      <c r="AC191">
        <v>18</v>
      </c>
      <c r="AD191">
        <v>3</v>
      </c>
      <c r="AE191">
        <v>3</v>
      </c>
      <c r="AF191">
        <v>80</v>
      </c>
      <c r="AG191">
        <v>0</v>
      </c>
      <c r="AH1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91">
        <v>21</v>
      </c>
      <c r="AJ191" t="s">
        <v>78</v>
      </c>
      <c r="AK191">
        <v>6</v>
      </c>
      <c r="AL191" t="s">
        <v>78</v>
      </c>
      <c r="AM191">
        <v>3</v>
      </c>
      <c r="AN191" t="s">
        <v>78</v>
      </c>
      <c r="AO191">
        <v>7</v>
      </c>
      <c r="AP191" t="s">
        <v>78</v>
      </c>
      <c r="AQ191">
        <v>7</v>
      </c>
      <c r="AR191">
        <v>1</v>
      </c>
      <c r="AS191">
        <v>0</v>
      </c>
    </row>
    <row r="192" spans="1:4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 t="str">
        <f>IF(Employee_data[[#This Row],[MonthlyIncome]]&lt;5000,"Low Income",
IF(Employee_data[[#This Row],[MonthlyIncome]]&lt;10000,"Medium Income","High Income"))</f>
        <v>High Income</v>
      </c>
      <c r="U192" t="s">
        <v>90</v>
      </c>
      <c r="V192" t="s">
        <v>90</v>
      </c>
      <c r="W192" t="s">
        <v>90</v>
      </c>
      <c r="X192" t="s">
        <v>90</v>
      </c>
      <c r="Y192">
        <v>5678</v>
      </c>
      <c r="Z192">
        <v>0</v>
      </c>
      <c r="AA192" t="s">
        <v>42</v>
      </c>
      <c r="AB192" t="s">
        <v>43</v>
      </c>
      <c r="AC192">
        <v>14</v>
      </c>
      <c r="AD192">
        <v>3</v>
      </c>
      <c r="AE192">
        <v>1</v>
      </c>
      <c r="AF192">
        <v>80</v>
      </c>
      <c r="AG192">
        <v>1</v>
      </c>
      <c r="AH1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192">
        <v>34</v>
      </c>
      <c r="AJ192" t="s">
        <v>77</v>
      </c>
      <c r="AK192">
        <v>5</v>
      </c>
      <c r="AL192" t="s">
        <v>77</v>
      </c>
      <c r="AM192">
        <v>3</v>
      </c>
      <c r="AN192" t="s">
        <v>77</v>
      </c>
      <c r="AO192">
        <v>33</v>
      </c>
      <c r="AP192" t="s">
        <v>77</v>
      </c>
      <c r="AQ192">
        <v>18</v>
      </c>
      <c r="AR192">
        <v>11</v>
      </c>
      <c r="AS192">
        <v>9</v>
      </c>
    </row>
    <row r="193" spans="1:4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 t="str">
        <f>IF(Employee_data[[#This Row],[MonthlyIncome]]&lt;5000,"Low Income",
IF(Employee_data[[#This Row],[MonthlyIncome]]&lt;10000,"Medium Income","High Income"))</f>
        <v>Low Income</v>
      </c>
      <c r="U193" t="s">
        <v>91</v>
      </c>
      <c r="V193" t="s">
        <v>91</v>
      </c>
      <c r="W193" t="s">
        <v>91</v>
      </c>
      <c r="X193" t="s">
        <v>91</v>
      </c>
      <c r="Y193">
        <v>11781</v>
      </c>
      <c r="Z193">
        <v>1</v>
      </c>
      <c r="AA193" t="s">
        <v>42</v>
      </c>
      <c r="AB193" t="s">
        <v>43</v>
      </c>
      <c r="AC193">
        <v>16</v>
      </c>
      <c r="AD193">
        <v>3</v>
      </c>
      <c r="AE193">
        <v>4</v>
      </c>
      <c r="AF193">
        <v>80</v>
      </c>
      <c r="AG193">
        <v>0</v>
      </c>
      <c r="AH1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93">
        <v>7</v>
      </c>
      <c r="AJ193" t="s">
        <v>78</v>
      </c>
      <c r="AK193">
        <v>2</v>
      </c>
      <c r="AL193" t="s">
        <v>78</v>
      </c>
      <c r="AM193">
        <v>2</v>
      </c>
      <c r="AN193" t="s">
        <v>78</v>
      </c>
      <c r="AO193">
        <v>7</v>
      </c>
      <c r="AP193" t="s">
        <v>78</v>
      </c>
      <c r="AQ193">
        <v>7</v>
      </c>
      <c r="AR193">
        <v>0</v>
      </c>
      <c r="AS193">
        <v>3</v>
      </c>
    </row>
    <row r="194" spans="1:4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 t="str">
        <f>IF(Employee_data[[#This Row],[MonthlyIncome]]&lt;5000,"Low Income",
IF(Employee_data[[#This Row],[MonthlyIncome]]&lt;10000,"Medium Income","High Income"))</f>
        <v>Medium Income</v>
      </c>
      <c r="U194" t="s">
        <v>92</v>
      </c>
      <c r="V194" t="s">
        <v>92</v>
      </c>
      <c r="W194" t="s">
        <v>92</v>
      </c>
      <c r="X194" t="s">
        <v>92</v>
      </c>
      <c r="Y194">
        <v>15497</v>
      </c>
      <c r="Z194">
        <v>3</v>
      </c>
      <c r="AA194" t="s">
        <v>42</v>
      </c>
      <c r="AB194" t="s">
        <v>35</v>
      </c>
      <c r="AC194">
        <v>13</v>
      </c>
      <c r="AD194">
        <v>3</v>
      </c>
      <c r="AE194">
        <v>1</v>
      </c>
      <c r="AF194">
        <v>80</v>
      </c>
      <c r="AG194">
        <v>0</v>
      </c>
      <c r="AH1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94">
        <v>8</v>
      </c>
      <c r="AJ194" t="s">
        <v>74</v>
      </c>
      <c r="AK194">
        <v>1</v>
      </c>
      <c r="AL194" t="s">
        <v>74</v>
      </c>
      <c r="AM194">
        <v>3</v>
      </c>
      <c r="AN194" t="s">
        <v>74</v>
      </c>
      <c r="AO194">
        <v>1</v>
      </c>
      <c r="AP194" t="s">
        <v>74</v>
      </c>
      <c r="AQ194">
        <v>0</v>
      </c>
      <c r="AR194">
        <v>0</v>
      </c>
      <c r="AS194">
        <v>1</v>
      </c>
    </row>
    <row r="195" spans="1:4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 t="str">
        <f>IF(Employee_data[[#This Row],[MonthlyIncome]]&lt;5000,"Low Income",
IF(Employee_data[[#This Row],[MonthlyIncome]]&lt;10000,"Medium Income","High Income"))</f>
        <v>Low Income</v>
      </c>
      <c r="U195" t="s">
        <v>91</v>
      </c>
      <c r="V195" t="s">
        <v>91</v>
      </c>
      <c r="W195" t="s">
        <v>91</v>
      </c>
      <c r="X195" t="s">
        <v>91</v>
      </c>
      <c r="Y195">
        <v>5228</v>
      </c>
      <c r="Z195">
        <v>4</v>
      </c>
      <c r="AA195" t="s">
        <v>42</v>
      </c>
      <c r="AB195" t="s">
        <v>43</v>
      </c>
      <c r="AC195">
        <v>14</v>
      </c>
      <c r="AD195">
        <v>3</v>
      </c>
      <c r="AE195">
        <v>4</v>
      </c>
      <c r="AF195">
        <v>80</v>
      </c>
      <c r="AG195">
        <v>3</v>
      </c>
      <c r="AH1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95">
        <v>7</v>
      </c>
      <c r="AJ195" t="s">
        <v>78</v>
      </c>
      <c r="AK195">
        <v>3</v>
      </c>
      <c r="AL195" t="s">
        <v>78</v>
      </c>
      <c r="AM195">
        <v>4</v>
      </c>
      <c r="AN195" t="s">
        <v>78</v>
      </c>
      <c r="AO195">
        <v>5</v>
      </c>
      <c r="AP195" t="s">
        <v>78</v>
      </c>
      <c r="AQ195">
        <v>4</v>
      </c>
      <c r="AR195">
        <v>2</v>
      </c>
      <c r="AS195">
        <v>2</v>
      </c>
    </row>
    <row r="196" spans="1:4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 t="str">
        <f>IF(Employee_data[[#This Row],[MonthlyIncome]]&lt;5000,"Low Income",
IF(Employee_data[[#This Row],[MonthlyIncome]]&lt;10000,"Medium Income","High Income"))</f>
        <v>High Income</v>
      </c>
      <c r="U196" t="s">
        <v>90</v>
      </c>
      <c r="V196" t="s">
        <v>90</v>
      </c>
      <c r="W196" t="s">
        <v>90</v>
      </c>
      <c r="X196" t="s">
        <v>90</v>
      </c>
      <c r="Y196">
        <v>20462</v>
      </c>
      <c r="Z196">
        <v>9</v>
      </c>
      <c r="AA196" t="s">
        <v>42</v>
      </c>
      <c r="AB196" t="s">
        <v>43</v>
      </c>
      <c r="AC196">
        <v>23</v>
      </c>
      <c r="AD196">
        <v>4</v>
      </c>
      <c r="AE196">
        <v>4</v>
      </c>
      <c r="AF196">
        <v>80</v>
      </c>
      <c r="AG196">
        <v>1</v>
      </c>
      <c r="AH1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96">
        <v>22</v>
      </c>
      <c r="AJ196" t="s">
        <v>76</v>
      </c>
      <c r="AK196">
        <v>1</v>
      </c>
      <c r="AL196" t="s">
        <v>76</v>
      </c>
      <c r="AM196">
        <v>3</v>
      </c>
      <c r="AN196" t="s">
        <v>76</v>
      </c>
      <c r="AO196">
        <v>20</v>
      </c>
      <c r="AP196" t="s">
        <v>76</v>
      </c>
      <c r="AQ196">
        <v>8</v>
      </c>
      <c r="AR196">
        <v>11</v>
      </c>
      <c r="AS196">
        <v>8</v>
      </c>
    </row>
    <row r="197" spans="1:4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 t="str">
        <f>IF(Employee_data[[#This Row],[MonthlyIncome]]&lt;5000,"Low Income",
IF(Employee_data[[#This Row],[MonthlyIncome]]&lt;10000,"Medium Income","High Income"))</f>
        <v>Low Income</v>
      </c>
      <c r="U197" t="s">
        <v>91</v>
      </c>
      <c r="V197" t="s">
        <v>91</v>
      </c>
      <c r="W197" t="s">
        <v>91</v>
      </c>
      <c r="X197" t="s">
        <v>91</v>
      </c>
      <c r="Y197">
        <v>22977</v>
      </c>
      <c r="Z197">
        <v>1</v>
      </c>
      <c r="AA197" t="s">
        <v>42</v>
      </c>
      <c r="AB197" t="s">
        <v>35</v>
      </c>
      <c r="AC197">
        <v>12</v>
      </c>
      <c r="AD197">
        <v>3</v>
      </c>
      <c r="AE197">
        <v>1</v>
      </c>
      <c r="AF197">
        <v>80</v>
      </c>
      <c r="AG197">
        <v>1</v>
      </c>
      <c r="AH1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97">
        <v>8</v>
      </c>
      <c r="AJ197" t="s">
        <v>78</v>
      </c>
      <c r="AK197">
        <v>3</v>
      </c>
      <c r="AL197" t="s">
        <v>78</v>
      </c>
      <c r="AM197">
        <v>2</v>
      </c>
      <c r="AN197" t="s">
        <v>78</v>
      </c>
      <c r="AO197">
        <v>8</v>
      </c>
      <c r="AP197" t="s">
        <v>78</v>
      </c>
      <c r="AQ197">
        <v>7</v>
      </c>
      <c r="AR197">
        <v>1</v>
      </c>
      <c r="AS197">
        <v>7</v>
      </c>
    </row>
    <row r="198" spans="1:4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 t="str">
        <f>IF(Employee_data[[#This Row],[MonthlyIncome]]&lt;5000,"Low Income",
IF(Employee_data[[#This Row],[MonthlyIncome]]&lt;10000,"Medium Income","High Income"))</f>
        <v>Low Income</v>
      </c>
      <c r="U198" t="s">
        <v>91</v>
      </c>
      <c r="V198" t="s">
        <v>91</v>
      </c>
      <c r="W198" t="s">
        <v>91</v>
      </c>
      <c r="X198" t="s">
        <v>91</v>
      </c>
      <c r="Y198">
        <v>15986</v>
      </c>
      <c r="Z198">
        <v>5</v>
      </c>
      <c r="AA198" t="s">
        <v>42</v>
      </c>
      <c r="AB198" t="s">
        <v>43</v>
      </c>
      <c r="AC198">
        <v>11</v>
      </c>
      <c r="AD198">
        <v>3</v>
      </c>
      <c r="AE198">
        <v>4</v>
      </c>
      <c r="AF198">
        <v>80</v>
      </c>
      <c r="AG198">
        <v>0</v>
      </c>
      <c r="AH1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98">
        <v>10</v>
      </c>
      <c r="AJ198" t="s">
        <v>78</v>
      </c>
      <c r="AK198">
        <v>5</v>
      </c>
      <c r="AL198" t="s">
        <v>78</v>
      </c>
      <c r="AM198">
        <v>3</v>
      </c>
      <c r="AN198" t="s">
        <v>78</v>
      </c>
      <c r="AO198">
        <v>6</v>
      </c>
      <c r="AP198" t="s">
        <v>78</v>
      </c>
      <c r="AQ198">
        <v>2</v>
      </c>
      <c r="AR198">
        <v>1</v>
      </c>
      <c r="AS198">
        <v>2</v>
      </c>
    </row>
    <row r="199" spans="1:4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 t="str">
        <f>IF(Employee_data[[#This Row],[MonthlyIncome]]&lt;5000,"Low Income",
IF(Employee_data[[#This Row],[MonthlyIncome]]&lt;10000,"Medium Income","High Income"))</f>
        <v>Medium Income</v>
      </c>
      <c r="U199" t="s">
        <v>92</v>
      </c>
      <c r="V199" t="s">
        <v>92</v>
      </c>
      <c r="W199" t="s">
        <v>92</v>
      </c>
      <c r="X199" t="s">
        <v>92</v>
      </c>
      <c r="Y199">
        <v>16439</v>
      </c>
      <c r="Z199">
        <v>2</v>
      </c>
      <c r="AA199" t="s">
        <v>42</v>
      </c>
      <c r="AB199" t="s">
        <v>43</v>
      </c>
      <c r="AC199">
        <v>16</v>
      </c>
      <c r="AD199">
        <v>3</v>
      </c>
      <c r="AE199">
        <v>2</v>
      </c>
      <c r="AF199">
        <v>80</v>
      </c>
      <c r="AG199">
        <v>1</v>
      </c>
      <c r="AH1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99">
        <v>11</v>
      </c>
      <c r="AJ199" t="s">
        <v>78</v>
      </c>
      <c r="AK199">
        <v>5</v>
      </c>
      <c r="AL199" t="s">
        <v>78</v>
      </c>
      <c r="AM199">
        <v>3</v>
      </c>
      <c r="AN199" t="s">
        <v>78</v>
      </c>
      <c r="AO199">
        <v>5</v>
      </c>
      <c r="AP199" t="s">
        <v>78</v>
      </c>
      <c r="AQ199">
        <v>3</v>
      </c>
      <c r="AR199">
        <v>0</v>
      </c>
      <c r="AS199">
        <v>2</v>
      </c>
    </row>
    <row r="200" spans="1:4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 t="str">
        <f>IF(Employee_data[[#This Row],[MonthlyIncome]]&lt;5000,"Low Income",
IF(Employee_data[[#This Row],[MonthlyIncome]]&lt;10000,"Medium Income","High Income"))</f>
        <v>Medium Income</v>
      </c>
      <c r="U200" t="s">
        <v>92</v>
      </c>
      <c r="V200" t="s">
        <v>92</v>
      </c>
      <c r="W200" t="s">
        <v>92</v>
      </c>
      <c r="X200" t="s">
        <v>92</v>
      </c>
      <c r="Y200">
        <v>7259</v>
      </c>
      <c r="Z200">
        <v>9</v>
      </c>
      <c r="AA200" t="s">
        <v>42</v>
      </c>
      <c r="AB200" t="s">
        <v>43</v>
      </c>
      <c r="AC200">
        <v>14</v>
      </c>
      <c r="AD200">
        <v>3</v>
      </c>
      <c r="AE200">
        <v>2</v>
      </c>
      <c r="AF200">
        <v>80</v>
      </c>
      <c r="AG200">
        <v>0</v>
      </c>
      <c r="AH2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00">
        <v>14</v>
      </c>
      <c r="AJ200" t="s">
        <v>74</v>
      </c>
      <c r="AK200">
        <v>3</v>
      </c>
      <c r="AL200" t="s">
        <v>74</v>
      </c>
      <c r="AM200">
        <v>3</v>
      </c>
      <c r="AN200" t="s">
        <v>74</v>
      </c>
      <c r="AO200">
        <v>1</v>
      </c>
      <c r="AP200" t="s">
        <v>74</v>
      </c>
      <c r="AQ200">
        <v>0</v>
      </c>
      <c r="AR200">
        <v>0</v>
      </c>
      <c r="AS200">
        <v>0</v>
      </c>
    </row>
    <row r="201" spans="1:4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 t="str">
        <f>IF(Employee_data[[#This Row],[MonthlyIncome]]&lt;5000,"Low Income",
IF(Employee_data[[#This Row],[MonthlyIncome]]&lt;10000,"Medium Income","High Income"))</f>
        <v>Medium Income</v>
      </c>
      <c r="U201" t="s">
        <v>92</v>
      </c>
      <c r="V201" t="s">
        <v>92</v>
      </c>
      <c r="W201" t="s">
        <v>92</v>
      </c>
      <c r="X201" t="s">
        <v>92</v>
      </c>
      <c r="Y201">
        <v>4185</v>
      </c>
      <c r="Z201">
        <v>3</v>
      </c>
      <c r="AA201" t="s">
        <v>42</v>
      </c>
      <c r="AB201" t="s">
        <v>43</v>
      </c>
      <c r="AC201">
        <v>18</v>
      </c>
      <c r="AD201">
        <v>3</v>
      </c>
      <c r="AE201">
        <v>1</v>
      </c>
      <c r="AF201">
        <v>80</v>
      </c>
      <c r="AG201">
        <v>1</v>
      </c>
      <c r="AH2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01">
        <v>9</v>
      </c>
      <c r="AJ201" t="s">
        <v>78</v>
      </c>
      <c r="AK201">
        <v>3</v>
      </c>
      <c r="AL201" t="s">
        <v>78</v>
      </c>
      <c r="AM201">
        <v>1</v>
      </c>
      <c r="AN201" t="s">
        <v>78</v>
      </c>
      <c r="AO201">
        <v>7</v>
      </c>
      <c r="AP201" t="s">
        <v>78</v>
      </c>
      <c r="AQ201">
        <v>7</v>
      </c>
      <c r="AR201">
        <v>1</v>
      </c>
      <c r="AS201">
        <v>7</v>
      </c>
    </row>
    <row r="202" spans="1:4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 t="str">
        <f>IF(Employee_data[[#This Row],[MonthlyIncome]]&lt;5000,"Low Income",
IF(Employee_data[[#This Row],[MonthlyIncome]]&lt;10000,"Medium Income","High Income"))</f>
        <v>Low Income</v>
      </c>
      <c r="U202" t="s">
        <v>91</v>
      </c>
      <c r="V202" t="s">
        <v>91</v>
      </c>
      <c r="W202" t="s">
        <v>91</v>
      </c>
      <c r="X202" t="s">
        <v>91</v>
      </c>
      <c r="Y202">
        <v>9679</v>
      </c>
      <c r="Z202">
        <v>5</v>
      </c>
      <c r="AA202" t="s">
        <v>42</v>
      </c>
      <c r="AB202" t="s">
        <v>43</v>
      </c>
      <c r="AC202">
        <v>19</v>
      </c>
      <c r="AD202">
        <v>3</v>
      </c>
      <c r="AE202">
        <v>3</v>
      </c>
      <c r="AF202">
        <v>80</v>
      </c>
      <c r="AG202">
        <v>1</v>
      </c>
      <c r="AH2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02">
        <v>6</v>
      </c>
      <c r="AJ202" t="s">
        <v>74</v>
      </c>
      <c r="AK202">
        <v>1</v>
      </c>
      <c r="AL202" t="s">
        <v>74</v>
      </c>
      <c r="AM202">
        <v>3</v>
      </c>
      <c r="AN202" t="s">
        <v>74</v>
      </c>
      <c r="AO202">
        <v>2</v>
      </c>
      <c r="AP202" t="s">
        <v>74</v>
      </c>
      <c r="AQ202">
        <v>2</v>
      </c>
      <c r="AR202">
        <v>2</v>
      </c>
      <c r="AS202">
        <v>0</v>
      </c>
    </row>
    <row r="203" spans="1:4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 t="str">
        <f>IF(Employee_data[[#This Row],[MonthlyIncome]]&lt;5000,"Low Income",
IF(Employee_data[[#This Row],[MonthlyIncome]]&lt;10000,"Medium Income","High Income"))</f>
        <v>Medium Income</v>
      </c>
      <c r="U203" t="s">
        <v>92</v>
      </c>
      <c r="V203" t="s">
        <v>92</v>
      </c>
      <c r="W203" t="s">
        <v>92</v>
      </c>
      <c r="X203" t="s">
        <v>92</v>
      </c>
      <c r="Y203">
        <v>23793</v>
      </c>
      <c r="Z203">
        <v>1</v>
      </c>
      <c r="AA203" t="s">
        <v>42</v>
      </c>
      <c r="AB203" t="s">
        <v>35</v>
      </c>
      <c r="AC203">
        <v>15</v>
      </c>
      <c r="AD203">
        <v>3</v>
      </c>
      <c r="AE203">
        <v>1</v>
      </c>
      <c r="AF203">
        <v>80</v>
      </c>
      <c r="AG203">
        <v>2</v>
      </c>
      <c r="AH2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03">
        <v>7</v>
      </c>
      <c r="AJ203" t="s">
        <v>78</v>
      </c>
      <c r="AK203">
        <v>0</v>
      </c>
      <c r="AL203" t="s">
        <v>78</v>
      </c>
      <c r="AM203">
        <v>3</v>
      </c>
      <c r="AN203" t="s">
        <v>78</v>
      </c>
      <c r="AO203">
        <v>7</v>
      </c>
      <c r="AP203" t="s">
        <v>78</v>
      </c>
      <c r="AQ203">
        <v>7</v>
      </c>
      <c r="AR203">
        <v>1</v>
      </c>
      <c r="AS203">
        <v>7</v>
      </c>
    </row>
    <row r="204" spans="1:4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 t="str">
        <f>IF(Employee_data[[#This Row],[MonthlyIncome]]&lt;5000,"Low Income",
IF(Employee_data[[#This Row],[MonthlyIncome]]&lt;10000,"Medium Income","High Income"))</f>
        <v>Low Income</v>
      </c>
      <c r="U204" t="s">
        <v>91</v>
      </c>
      <c r="V204" t="s">
        <v>91</v>
      </c>
      <c r="W204" t="s">
        <v>91</v>
      </c>
      <c r="X204" t="s">
        <v>91</v>
      </c>
      <c r="Y204">
        <v>5972</v>
      </c>
      <c r="Z204">
        <v>1</v>
      </c>
      <c r="AA204" t="s">
        <v>42</v>
      </c>
      <c r="AB204" t="s">
        <v>35</v>
      </c>
      <c r="AC204">
        <v>17</v>
      </c>
      <c r="AD204">
        <v>3</v>
      </c>
      <c r="AE204">
        <v>4</v>
      </c>
      <c r="AF204">
        <v>80</v>
      </c>
      <c r="AG204">
        <v>1</v>
      </c>
      <c r="AH2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04">
        <v>5</v>
      </c>
      <c r="AJ204" t="s">
        <v>78</v>
      </c>
      <c r="AK204">
        <v>4</v>
      </c>
      <c r="AL204" t="s">
        <v>78</v>
      </c>
      <c r="AM204">
        <v>4</v>
      </c>
      <c r="AN204" t="s">
        <v>78</v>
      </c>
      <c r="AO204">
        <v>5</v>
      </c>
      <c r="AP204" t="s">
        <v>78</v>
      </c>
      <c r="AQ204">
        <v>3</v>
      </c>
      <c r="AR204">
        <v>2</v>
      </c>
      <c r="AS204">
        <v>0</v>
      </c>
    </row>
    <row r="205" spans="1:4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 t="str">
        <f>IF(Employee_data[[#This Row],[MonthlyIncome]]&lt;5000,"Low Income",
IF(Employee_data[[#This Row],[MonthlyIncome]]&lt;10000,"Medium Income","High Income"))</f>
        <v>Low Income</v>
      </c>
      <c r="U205" t="s">
        <v>91</v>
      </c>
      <c r="V205" t="s">
        <v>91</v>
      </c>
      <c r="W205" t="s">
        <v>91</v>
      </c>
      <c r="X205" t="s">
        <v>91</v>
      </c>
      <c r="Y205">
        <v>16523</v>
      </c>
      <c r="Z205">
        <v>8</v>
      </c>
      <c r="AA205" t="s">
        <v>42</v>
      </c>
      <c r="AB205" t="s">
        <v>35</v>
      </c>
      <c r="AC205">
        <v>15</v>
      </c>
      <c r="AD205">
        <v>3</v>
      </c>
      <c r="AE205">
        <v>3</v>
      </c>
      <c r="AF205">
        <v>80</v>
      </c>
      <c r="AG205">
        <v>1</v>
      </c>
      <c r="AH2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05">
        <v>15</v>
      </c>
      <c r="AJ205" t="s">
        <v>78</v>
      </c>
      <c r="AK205">
        <v>2</v>
      </c>
      <c r="AL205" t="s">
        <v>78</v>
      </c>
      <c r="AM205">
        <v>4</v>
      </c>
      <c r="AN205" t="s">
        <v>78</v>
      </c>
      <c r="AO205">
        <v>7</v>
      </c>
      <c r="AP205" t="s">
        <v>78</v>
      </c>
      <c r="AQ205">
        <v>2</v>
      </c>
      <c r="AR205">
        <v>3</v>
      </c>
      <c r="AS205">
        <v>7</v>
      </c>
    </row>
    <row r="206" spans="1:4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 t="str">
        <f>IF(Employee_data[[#This Row],[MonthlyIncome]]&lt;5000,"Low Income",
IF(Employee_data[[#This Row],[MonthlyIncome]]&lt;10000,"Medium Income","High Income"))</f>
        <v>Medium Income</v>
      </c>
      <c r="U206" t="s">
        <v>92</v>
      </c>
      <c r="V206" t="s">
        <v>92</v>
      </c>
      <c r="W206" t="s">
        <v>92</v>
      </c>
      <c r="X206" t="s">
        <v>92</v>
      </c>
      <c r="Y206">
        <v>11354</v>
      </c>
      <c r="Z206">
        <v>7</v>
      </c>
      <c r="AA206" t="s">
        <v>42</v>
      </c>
      <c r="AB206" t="s">
        <v>35</v>
      </c>
      <c r="AC206">
        <v>19</v>
      </c>
      <c r="AD206">
        <v>3</v>
      </c>
      <c r="AE206">
        <v>2</v>
      </c>
      <c r="AF206">
        <v>80</v>
      </c>
      <c r="AG206">
        <v>0</v>
      </c>
      <c r="AH2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06">
        <v>17</v>
      </c>
      <c r="AJ206" t="s">
        <v>74</v>
      </c>
      <c r="AK206">
        <v>2</v>
      </c>
      <c r="AL206" t="s">
        <v>74</v>
      </c>
      <c r="AM206">
        <v>3</v>
      </c>
      <c r="AN206" t="s">
        <v>74</v>
      </c>
      <c r="AO206">
        <v>1</v>
      </c>
      <c r="AP206" t="s">
        <v>74</v>
      </c>
      <c r="AQ206">
        <v>0</v>
      </c>
      <c r="AR206">
        <v>0</v>
      </c>
      <c r="AS206">
        <v>0</v>
      </c>
    </row>
    <row r="207" spans="1:4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 t="str">
        <f>IF(Employee_data[[#This Row],[MonthlyIncome]]&lt;5000,"Low Income",
IF(Employee_data[[#This Row],[MonthlyIncome]]&lt;10000,"Medium Income","High Income"))</f>
        <v>Medium Income</v>
      </c>
      <c r="U207" t="s">
        <v>92</v>
      </c>
      <c r="V207" t="s">
        <v>92</v>
      </c>
      <c r="W207" t="s">
        <v>92</v>
      </c>
      <c r="X207" t="s">
        <v>92</v>
      </c>
      <c r="Y207">
        <v>24525</v>
      </c>
      <c r="Z207">
        <v>1</v>
      </c>
      <c r="AA207" t="s">
        <v>42</v>
      </c>
      <c r="AB207" t="s">
        <v>43</v>
      </c>
      <c r="AC207">
        <v>22</v>
      </c>
      <c r="AD207">
        <v>4</v>
      </c>
      <c r="AE207">
        <v>4</v>
      </c>
      <c r="AF207">
        <v>80</v>
      </c>
      <c r="AG207">
        <v>3</v>
      </c>
      <c r="AH2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07">
        <v>10</v>
      </c>
      <c r="AJ207" t="s">
        <v>75</v>
      </c>
      <c r="AK207">
        <v>3</v>
      </c>
      <c r="AL207" t="s">
        <v>75</v>
      </c>
      <c r="AM207">
        <v>2</v>
      </c>
      <c r="AN207" t="s">
        <v>75</v>
      </c>
      <c r="AO207">
        <v>10</v>
      </c>
      <c r="AP207" t="s">
        <v>75</v>
      </c>
      <c r="AQ207">
        <v>4</v>
      </c>
      <c r="AR207">
        <v>1</v>
      </c>
      <c r="AS207">
        <v>9</v>
      </c>
    </row>
    <row r="208" spans="1:4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 t="str">
        <f>IF(Employee_data[[#This Row],[MonthlyIncome]]&lt;5000,"Low Income",
IF(Employee_data[[#This Row],[MonthlyIncome]]&lt;10000,"Medium Income","High Income"))</f>
        <v>Low Income</v>
      </c>
      <c r="U208" t="s">
        <v>91</v>
      </c>
      <c r="V208" t="s">
        <v>91</v>
      </c>
      <c r="W208" t="s">
        <v>91</v>
      </c>
      <c r="X208" t="s">
        <v>91</v>
      </c>
      <c r="Y208">
        <v>12392</v>
      </c>
      <c r="Z208">
        <v>1</v>
      </c>
      <c r="AA208" t="s">
        <v>42</v>
      </c>
      <c r="AB208" t="s">
        <v>35</v>
      </c>
      <c r="AC208">
        <v>16</v>
      </c>
      <c r="AD208">
        <v>3</v>
      </c>
      <c r="AE208">
        <v>1</v>
      </c>
      <c r="AF208">
        <v>80</v>
      </c>
      <c r="AG208">
        <v>1</v>
      </c>
      <c r="AH2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08">
        <v>4</v>
      </c>
      <c r="AJ208" t="s">
        <v>74</v>
      </c>
      <c r="AK208">
        <v>2</v>
      </c>
      <c r="AL208" t="s">
        <v>74</v>
      </c>
      <c r="AM208">
        <v>2</v>
      </c>
      <c r="AN208" t="s">
        <v>74</v>
      </c>
      <c r="AO208">
        <v>4</v>
      </c>
      <c r="AP208" t="s">
        <v>74</v>
      </c>
      <c r="AQ208">
        <v>2</v>
      </c>
      <c r="AR208">
        <v>2</v>
      </c>
      <c r="AS208">
        <v>2</v>
      </c>
    </row>
    <row r="209" spans="1:4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 t="str">
        <f>IF(Employee_data[[#This Row],[MonthlyIncome]]&lt;5000,"Low Income",
IF(Employee_data[[#This Row],[MonthlyIncome]]&lt;10000,"Medium Income","High Income"))</f>
        <v>Low Income</v>
      </c>
      <c r="U209" t="s">
        <v>91</v>
      </c>
      <c r="V209" t="s">
        <v>91</v>
      </c>
      <c r="W209" t="s">
        <v>91</v>
      </c>
      <c r="X209" t="s">
        <v>91</v>
      </c>
      <c r="Y209">
        <v>7703</v>
      </c>
      <c r="Z209">
        <v>1</v>
      </c>
      <c r="AA209" t="s">
        <v>42</v>
      </c>
      <c r="AB209" t="s">
        <v>43</v>
      </c>
      <c r="AC209">
        <v>13</v>
      </c>
      <c r="AD209">
        <v>3</v>
      </c>
      <c r="AE209">
        <v>1</v>
      </c>
      <c r="AF209">
        <v>80</v>
      </c>
      <c r="AG209">
        <v>0</v>
      </c>
      <c r="AH2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09">
        <v>8</v>
      </c>
      <c r="AJ209" t="s">
        <v>78</v>
      </c>
      <c r="AK209">
        <v>2</v>
      </c>
      <c r="AL209" t="s">
        <v>78</v>
      </c>
      <c r="AM209">
        <v>3</v>
      </c>
      <c r="AN209" t="s">
        <v>78</v>
      </c>
      <c r="AO209">
        <v>8</v>
      </c>
      <c r="AP209" t="s">
        <v>78</v>
      </c>
      <c r="AQ209">
        <v>1</v>
      </c>
      <c r="AR209">
        <v>1</v>
      </c>
      <c r="AS209">
        <v>7</v>
      </c>
    </row>
    <row r="210" spans="1:4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 t="str">
        <f>IF(Employee_data[[#This Row],[MonthlyIncome]]&lt;5000,"Low Income",
IF(Employee_data[[#This Row],[MonthlyIncome]]&lt;10000,"Medium Income","High Income"))</f>
        <v>Low Income</v>
      </c>
      <c r="U210" t="s">
        <v>91</v>
      </c>
      <c r="V210" t="s">
        <v>91</v>
      </c>
      <c r="W210" t="s">
        <v>91</v>
      </c>
      <c r="X210" t="s">
        <v>91</v>
      </c>
      <c r="Y210">
        <v>14242</v>
      </c>
      <c r="Z210">
        <v>9</v>
      </c>
      <c r="AA210" t="s">
        <v>42</v>
      </c>
      <c r="AB210" t="s">
        <v>43</v>
      </c>
      <c r="AC210">
        <v>14</v>
      </c>
      <c r="AD210">
        <v>3</v>
      </c>
      <c r="AE210">
        <v>4</v>
      </c>
      <c r="AF210">
        <v>80</v>
      </c>
      <c r="AG210">
        <v>1</v>
      </c>
      <c r="AH2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10">
        <v>5</v>
      </c>
      <c r="AJ210" t="s">
        <v>74</v>
      </c>
      <c r="AK210">
        <v>5</v>
      </c>
      <c r="AL210" t="s">
        <v>74</v>
      </c>
      <c r="AM210">
        <v>1</v>
      </c>
      <c r="AN210" t="s">
        <v>74</v>
      </c>
      <c r="AO210">
        <v>3</v>
      </c>
      <c r="AP210" t="s">
        <v>74</v>
      </c>
      <c r="AQ210">
        <v>2</v>
      </c>
      <c r="AR210">
        <v>0</v>
      </c>
      <c r="AS210">
        <v>2</v>
      </c>
    </row>
    <row r="211" spans="1:4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 t="str">
        <f>IF(Employee_data[[#This Row],[MonthlyIncome]]&lt;5000,"Low Income",
IF(Employee_data[[#This Row],[MonthlyIncome]]&lt;10000,"Medium Income","High Income"))</f>
        <v>Medium Income</v>
      </c>
      <c r="U211" t="s">
        <v>92</v>
      </c>
      <c r="V211" t="s">
        <v>92</v>
      </c>
      <c r="W211" t="s">
        <v>92</v>
      </c>
      <c r="X211" t="s">
        <v>92</v>
      </c>
      <c r="Y211">
        <v>12368</v>
      </c>
      <c r="Z211">
        <v>7</v>
      </c>
      <c r="AA211" t="s">
        <v>42</v>
      </c>
      <c r="AB211" t="s">
        <v>43</v>
      </c>
      <c r="AC211">
        <v>16</v>
      </c>
      <c r="AD211">
        <v>3</v>
      </c>
      <c r="AE211">
        <v>3</v>
      </c>
      <c r="AF211">
        <v>80</v>
      </c>
      <c r="AG211">
        <v>1</v>
      </c>
      <c r="AH2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11">
        <v>17</v>
      </c>
      <c r="AJ211" t="s">
        <v>74</v>
      </c>
      <c r="AK211">
        <v>3</v>
      </c>
      <c r="AL211" t="s">
        <v>74</v>
      </c>
      <c r="AM211">
        <v>3</v>
      </c>
      <c r="AN211" t="s">
        <v>74</v>
      </c>
      <c r="AO211">
        <v>4</v>
      </c>
      <c r="AP211" t="s">
        <v>74</v>
      </c>
      <c r="AQ211">
        <v>2</v>
      </c>
      <c r="AR211">
        <v>0</v>
      </c>
      <c r="AS211">
        <v>3</v>
      </c>
    </row>
    <row r="212" spans="1:4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 t="str">
        <f>IF(Employee_data[[#This Row],[MonthlyIncome]]&lt;5000,"Low Income",
IF(Employee_data[[#This Row],[MonthlyIncome]]&lt;10000,"Medium Income","High Income"))</f>
        <v>High Income</v>
      </c>
      <c r="U212" t="s">
        <v>90</v>
      </c>
      <c r="V212" t="s">
        <v>90</v>
      </c>
      <c r="W212" t="s">
        <v>90</v>
      </c>
      <c r="X212" t="s">
        <v>90</v>
      </c>
      <c r="Y212">
        <v>25812</v>
      </c>
      <c r="Z212">
        <v>1</v>
      </c>
      <c r="AA212" t="s">
        <v>42</v>
      </c>
      <c r="AB212" t="s">
        <v>43</v>
      </c>
      <c r="AC212">
        <v>11</v>
      </c>
      <c r="AD212">
        <v>3</v>
      </c>
      <c r="AE212">
        <v>3</v>
      </c>
      <c r="AF212">
        <v>80</v>
      </c>
      <c r="AG212">
        <v>0</v>
      </c>
      <c r="AH2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12">
        <v>14</v>
      </c>
      <c r="AJ212" t="s">
        <v>75</v>
      </c>
      <c r="AK212">
        <v>2</v>
      </c>
      <c r="AL212" t="s">
        <v>75</v>
      </c>
      <c r="AM212">
        <v>2</v>
      </c>
      <c r="AN212" t="s">
        <v>75</v>
      </c>
      <c r="AO212">
        <v>14</v>
      </c>
      <c r="AP212" t="s">
        <v>75</v>
      </c>
      <c r="AQ212">
        <v>8</v>
      </c>
      <c r="AR212">
        <v>9</v>
      </c>
      <c r="AS212">
        <v>8</v>
      </c>
    </row>
    <row r="213" spans="1:4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 t="str">
        <f>IF(Employee_data[[#This Row],[MonthlyIncome]]&lt;5000,"Low Income",
IF(Employee_data[[#This Row],[MonthlyIncome]]&lt;10000,"Medium Income","High Income"))</f>
        <v>Medium Income</v>
      </c>
      <c r="U213" t="s">
        <v>92</v>
      </c>
      <c r="V213" t="s">
        <v>92</v>
      </c>
      <c r="W213" t="s">
        <v>92</v>
      </c>
      <c r="X213" t="s">
        <v>92</v>
      </c>
      <c r="Y213">
        <v>20925</v>
      </c>
      <c r="Z213">
        <v>1</v>
      </c>
      <c r="AA213" t="s">
        <v>42</v>
      </c>
      <c r="AB213" t="s">
        <v>43</v>
      </c>
      <c r="AC213">
        <v>22</v>
      </c>
      <c r="AD213">
        <v>4</v>
      </c>
      <c r="AE213">
        <v>3</v>
      </c>
      <c r="AF213">
        <v>80</v>
      </c>
      <c r="AG213">
        <v>0</v>
      </c>
      <c r="AH2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13">
        <v>12</v>
      </c>
      <c r="AJ213" t="s">
        <v>75</v>
      </c>
      <c r="AK213">
        <v>2</v>
      </c>
      <c r="AL213" t="s">
        <v>75</v>
      </c>
      <c r="AM213">
        <v>3</v>
      </c>
      <c r="AN213" t="s">
        <v>75</v>
      </c>
      <c r="AO213">
        <v>11</v>
      </c>
      <c r="AP213" t="s">
        <v>75</v>
      </c>
      <c r="AQ213">
        <v>8</v>
      </c>
      <c r="AR213">
        <v>5</v>
      </c>
      <c r="AS213">
        <v>8</v>
      </c>
    </row>
    <row r="214" spans="1:4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 t="str">
        <f>IF(Employee_data[[#This Row],[MonthlyIncome]]&lt;5000,"Low Income",
IF(Employee_data[[#This Row],[MonthlyIncome]]&lt;10000,"Medium Income","High Income"))</f>
        <v>Medium Income</v>
      </c>
      <c r="U214" t="s">
        <v>92</v>
      </c>
      <c r="V214" t="s">
        <v>92</v>
      </c>
      <c r="W214" t="s">
        <v>92</v>
      </c>
      <c r="X214" t="s">
        <v>92</v>
      </c>
      <c r="Y214">
        <v>12916</v>
      </c>
      <c r="Z214">
        <v>1</v>
      </c>
      <c r="AA214" t="s">
        <v>42</v>
      </c>
      <c r="AB214" t="s">
        <v>43</v>
      </c>
      <c r="AC214">
        <v>14</v>
      </c>
      <c r="AD214">
        <v>3</v>
      </c>
      <c r="AE214">
        <v>4</v>
      </c>
      <c r="AF214">
        <v>80</v>
      </c>
      <c r="AG214">
        <v>0</v>
      </c>
      <c r="AH2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14">
        <v>7</v>
      </c>
      <c r="AJ214" t="s">
        <v>78</v>
      </c>
      <c r="AK214">
        <v>2</v>
      </c>
      <c r="AL214" t="s">
        <v>78</v>
      </c>
      <c r="AM214">
        <v>3</v>
      </c>
      <c r="AN214" t="s">
        <v>78</v>
      </c>
      <c r="AO214">
        <v>7</v>
      </c>
      <c r="AP214" t="s">
        <v>78</v>
      </c>
      <c r="AQ214">
        <v>7</v>
      </c>
      <c r="AR214">
        <v>0</v>
      </c>
      <c r="AS214">
        <v>7</v>
      </c>
    </row>
    <row r="215" spans="1:4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 t="str">
        <f>IF(Employee_data[[#This Row],[MonthlyIncome]]&lt;5000,"Low Income",
IF(Employee_data[[#This Row],[MonthlyIncome]]&lt;10000,"Medium Income","High Income"))</f>
        <v>High Income</v>
      </c>
      <c r="U215" t="s">
        <v>90</v>
      </c>
      <c r="V215" t="s">
        <v>90</v>
      </c>
      <c r="W215" t="s">
        <v>90</v>
      </c>
      <c r="X215" t="s">
        <v>90</v>
      </c>
      <c r="Y215">
        <v>15736</v>
      </c>
      <c r="Z215">
        <v>5</v>
      </c>
      <c r="AA215" t="s">
        <v>42</v>
      </c>
      <c r="AB215" t="s">
        <v>43</v>
      </c>
      <c r="AC215">
        <v>16</v>
      </c>
      <c r="AD215">
        <v>3</v>
      </c>
      <c r="AE215">
        <v>4</v>
      </c>
      <c r="AF215">
        <v>80</v>
      </c>
      <c r="AG215">
        <v>2</v>
      </c>
      <c r="AH2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15">
        <v>16</v>
      </c>
      <c r="AJ215" t="s">
        <v>75</v>
      </c>
      <c r="AK215">
        <v>5</v>
      </c>
      <c r="AL215" t="s">
        <v>75</v>
      </c>
      <c r="AM215">
        <v>1</v>
      </c>
      <c r="AN215" t="s">
        <v>75</v>
      </c>
      <c r="AO215">
        <v>10</v>
      </c>
      <c r="AP215" t="s">
        <v>75</v>
      </c>
      <c r="AQ215">
        <v>9</v>
      </c>
      <c r="AR215">
        <v>4</v>
      </c>
      <c r="AS215">
        <v>7</v>
      </c>
    </row>
    <row r="216" spans="1:4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 t="str">
        <f>IF(Employee_data[[#This Row],[MonthlyIncome]]&lt;5000,"Low Income",
IF(Employee_data[[#This Row],[MonthlyIncome]]&lt;10000,"Medium Income","High Income"))</f>
        <v>Low Income</v>
      </c>
      <c r="U216" t="s">
        <v>91</v>
      </c>
      <c r="V216" t="s">
        <v>91</v>
      </c>
      <c r="W216" t="s">
        <v>91</v>
      </c>
      <c r="X216" t="s">
        <v>91</v>
      </c>
      <c r="Y216">
        <v>8556</v>
      </c>
      <c r="Z216">
        <v>5</v>
      </c>
      <c r="AA216" t="s">
        <v>42</v>
      </c>
      <c r="AB216" t="s">
        <v>35</v>
      </c>
      <c r="AC216">
        <v>11</v>
      </c>
      <c r="AD216">
        <v>3</v>
      </c>
      <c r="AE216">
        <v>3</v>
      </c>
      <c r="AF216">
        <v>80</v>
      </c>
      <c r="AG216">
        <v>0</v>
      </c>
      <c r="AH2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16">
        <v>8</v>
      </c>
      <c r="AJ216" t="s">
        <v>78</v>
      </c>
      <c r="AK216">
        <v>5</v>
      </c>
      <c r="AL216" t="s">
        <v>78</v>
      </c>
      <c r="AM216">
        <v>3</v>
      </c>
      <c r="AN216" t="s">
        <v>78</v>
      </c>
      <c r="AO216">
        <v>5</v>
      </c>
      <c r="AP216" t="s">
        <v>78</v>
      </c>
      <c r="AQ216">
        <v>2</v>
      </c>
      <c r="AR216">
        <v>0</v>
      </c>
      <c r="AS216">
        <v>4</v>
      </c>
    </row>
    <row r="217" spans="1:4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 t="str">
        <f>IF(Employee_data[[#This Row],[MonthlyIncome]]&lt;5000,"Low Income",
IF(Employee_data[[#This Row],[MonthlyIncome]]&lt;10000,"Medium Income","High Income"))</f>
        <v>High Income</v>
      </c>
      <c r="U217" t="s">
        <v>90</v>
      </c>
      <c r="V217" t="s">
        <v>90</v>
      </c>
      <c r="W217" t="s">
        <v>90</v>
      </c>
      <c r="X217" t="s">
        <v>90</v>
      </c>
      <c r="Y217">
        <v>14674</v>
      </c>
      <c r="Z217">
        <v>3</v>
      </c>
      <c r="AA217" t="s">
        <v>42</v>
      </c>
      <c r="AB217" t="s">
        <v>35</v>
      </c>
      <c r="AC217">
        <v>18</v>
      </c>
      <c r="AD217">
        <v>3</v>
      </c>
      <c r="AE217">
        <v>3</v>
      </c>
      <c r="AF217">
        <v>80</v>
      </c>
      <c r="AG217">
        <v>0</v>
      </c>
      <c r="AH2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17">
        <v>16</v>
      </c>
      <c r="AJ217" t="s">
        <v>74</v>
      </c>
      <c r="AK217">
        <v>3</v>
      </c>
      <c r="AL217" t="s">
        <v>74</v>
      </c>
      <c r="AM217">
        <v>3</v>
      </c>
      <c r="AN217" t="s">
        <v>74</v>
      </c>
      <c r="AO217">
        <v>1</v>
      </c>
      <c r="AP217" t="s">
        <v>74</v>
      </c>
      <c r="AQ217">
        <v>0</v>
      </c>
      <c r="AR217">
        <v>0</v>
      </c>
      <c r="AS217">
        <v>0</v>
      </c>
    </row>
    <row r="218" spans="1:4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 t="str">
        <f>IF(Employee_data[[#This Row],[MonthlyIncome]]&lt;5000,"Low Income",
IF(Employee_data[[#This Row],[MonthlyIncome]]&lt;10000,"Medium Income","High Income"))</f>
        <v>Medium Income</v>
      </c>
      <c r="U218" t="s">
        <v>92</v>
      </c>
      <c r="V218" t="s">
        <v>92</v>
      </c>
      <c r="W218" t="s">
        <v>92</v>
      </c>
      <c r="X218" t="s">
        <v>92</v>
      </c>
      <c r="Y218">
        <v>22967</v>
      </c>
      <c r="Z218">
        <v>5</v>
      </c>
      <c r="AA218" t="s">
        <v>42</v>
      </c>
      <c r="AB218" t="s">
        <v>43</v>
      </c>
      <c r="AC218">
        <v>15</v>
      </c>
      <c r="AD218">
        <v>3</v>
      </c>
      <c r="AE218">
        <v>3</v>
      </c>
      <c r="AF218">
        <v>80</v>
      </c>
      <c r="AG218">
        <v>0</v>
      </c>
      <c r="AH2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18">
        <v>9</v>
      </c>
      <c r="AJ218" t="s">
        <v>78</v>
      </c>
      <c r="AK218">
        <v>5</v>
      </c>
      <c r="AL218" t="s">
        <v>78</v>
      </c>
      <c r="AM218">
        <v>2</v>
      </c>
      <c r="AN218" t="s">
        <v>78</v>
      </c>
      <c r="AO218">
        <v>6</v>
      </c>
      <c r="AP218" t="s">
        <v>78</v>
      </c>
      <c r="AQ218">
        <v>3</v>
      </c>
      <c r="AR218">
        <v>0</v>
      </c>
      <c r="AS218">
        <v>1</v>
      </c>
    </row>
    <row r="219" spans="1:4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 t="str">
        <f>IF(Employee_data[[#This Row],[MonthlyIncome]]&lt;5000,"Low Income",
IF(Employee_data[[#This Row],[MonthlyIncome]]&lt;10000,"Medium Income","High Income"))</f>
        <v>Low Income</v>
      </c>
      <c r="U219" t="s">
        <v>91</v>
      </c>
      <c r="V219" t="s">
        <v>91</v>
      </c>
      <c r="W219" t="s">
        <v>91</v>
      </c>
      <c r="X219" t="s">
        <v>91</v>
      </c>
      <c r="Y219">
        <v>19757</v>
      </c>
      <c r="Z219">
        <v>0</v>
      </c>
      <c r="AA219" t="s">
        <v>42</v>
      </c>
      <c r="AB219" t="s">
        <v>43</v>
      </c>
      <c r="AC219">
        <v>14</v>
      </c>
      <c r="AD219">
        <v>3</v>
      </c>
      <c r="AE219">
        <v>4</v>
      </c>
      <c r="AF219">
        <v>80</v>
      </c>
      <c r="AG219">
        <v>0</v>
      </c>
      <c r="AH2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19">
        <v>7</v>
      </c>
      <c r="AJ219" t="s">
        <v>78</v>
      </c>
      <c r="AK219">
        <v>1</v>
      </c>
      <c r="AL219" t="s">
        <v>78</v>
      </c>
      <c r="AM219">
        <v>2</v>
      </c>
      <c r="AN219" t="s">
        <v>78</v>
      </c>
      <c r="AO219">
        <v>6</v>
      </c>
      <c r="AP219" t="s">
        <v>78</v>
      </c>
      <c r="AQ219">
        <v>2</v>
      </c>
      <c r="AR219">
        <v>1</v>
      </c>
      <c r="AS219">
        <v>5</v>
      </c>
    </row>
    <row r="220" spans="1:4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 t="str">
        <f>IF(Employee_data[[#This Row],[MonthlyIncome]]&lt;5000,"Low Income",
IF(Employee_data[[#This Row],[MonthlyIncome]]&lt;10000,"Medium Income","High Income"))</f>
        <v>Medium Income</v>
      </c>
      <c r="U220" t="s">
        <v>92</v>
      </c>
      <c r="V220" t="s">
        <v>92</v>
      </c>
      <c r="W220" t="s">
        <v>92</v>
      </c>
      <c r="X220" t="s">
        <v>92</v>
      </c>
      <c r="Y220">
        <v>16840</v>
      </c>
      <c r="Z220">
        <v>6</v>
      </c>
      <c r="AA220" t="s">
        <v>42</v>
      </c>
      <c r="AB220" t="s">
        <v>43</v>
      </c>
      <c r="AC220">
        <v>12</v>
      </c>
      <c r="AD220">
        <v>3</v>
      </c>
      <c r="AE220">
        <v>4</v>
      </c>
      <c r="AF220">
        <v>80</v>
      </c>
      <c r="AG220">
        <v>0</v>
      </c>
      <c r="AH2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20">
        <v>23</v>
      </c>
      <c r="AJ220" t="s">
        <v>76</v>
      </c>
      <c r="AK220">
        <v>2</v>
      </c>
      <c r="AL220" t="s">
        <v>76</v>
      </c>
      <c r="AM220">
        <v>3</v>
      </c>
      <c r="AN220" t="s">
        <v>76</v>
      </c>
      <c r="AO220">
        <v>19</v>
      </c>
      <c r="AP220" t="s">
        <v>76</v>
      </c>
      <c r="AQ220">
        <v>7</v>
      </c>
      <c r="AR220">
        <v>12</v>
      </c>
      <c r="AS220">
        <v>8</v>
      </c>
    </row>
    <row r="221" spans="1:4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 t="str">
        <f>IF(Employee_data[[#This Row],[MonthlyIncome]]&lt;5000,"Low Income",
IF(Employee_data[[#This Row],[MonthlyIncome]]&lt;10000,"Medium Income","High Income"))</f>
        <v>Medium Income</v>
      </c>
      <c r="U221" t="s">
        <v>92</v>
      </c>
      <c r="V221" t="s">
        <v>92</v>
      </c>
      <c r="W221" t="s">
        <v>92</v>
      </c>
      <c r="X221" t="s">
        <v>92</v>
      </c>
      <c r="Y221">
        <v>17011</v>
      </c>
      <c r="Z221">
        <v>2</v>
      </c>
      <c r="AA221" t="s">
        <v>42</v>
      </c>
      <c r="AB221" t="s">
        <v>43</v>
      </c>
      <c r="AC221">
        <v>14</v>
      </c>
      <c r="AD221">
        <v>3</v>
      </c>
      <c r="AE221">
        <v>4</v>
      </c>
      <c r="AF221">
        <v>80</v>
      </c>
      <c r="AG221">
        <v>1</v>
      </c>
      <c r="AH2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21">
        <v>16</v>
      </c>
      <c r="AJ221" t="s">
        <v>78</v>
      </c>
      <c r="AK221">
        <v>4</v>
      </c>
      <c r="AL221" t="s">
        <v>78</v>
      </c>
      <c r="AM221">
        <v>3</v>
      </c>
      <c r="AN221" t="s">
        <v>78</v>
      </c>
      <c r="AO221">
        <v>6</v>
      </c>
      <c r="AP221" t="s">
        <v>78</v>
      </c>
      <c r="AQ221">
        <v>2</v>
      </c>
      <c r="AR221">
        <v>0</v>
      </c>
      <c r="AS221">
        <v>5</v>
      </c>
    </row>
    <row r="222" spans="1:4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 t="str">
        <f>IF(Employee_data[[#This Row],[MonthlyIncome]]&lt;5000,"Low Income",
IF(Employee_data[[#This Row],[MonthlyIncome]]&lt;10000,"Medium Income","High Income"))</f>
        <v>Medium Income</v>
      </c>
      <c r="U222" t="s">
        <v>92</v>
      </c>
      <c r="V222" t="s">
        <v>92</v>
      </c>
      <c r="W222" t="s">
        <v>92</v>
      </c>
      <c r="X222" t="s">
        <v>92</v>
      </c>
      <c r="Y222">
        <v>9945</v>
      </c>
      <c r="Z222">
        <v>8</v>
      </c>
      <c r="AA222" t="s">
        <v>42</v>
      </c>
      <c r="AB222" t="s">
        <v>43</v>
      </c>
      <c r="AC222">
        <v>16</v>
      </c>
      <c r="AD222">
        <v>3</v>
      </c>
      <c r="AE222">
        <v>4</v>
      </c>
      <c r="AF222">
        <v>80</v>
      </c>
      <c r="AG222">
        <v>0</v>
      </c>
      <c r="AH2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22">
        <v>16</v>
      </c>
      <c r="AJ222" t="s">
        <v>75</v>
      </c>
      <c r="AK222">
        <v>3</v>
      </c>
      <c r="AL222" t="s">
        <v>75</v>
      </c>
      <c r="AM222">
        <v>4</v>
      </c>
      <c r="AN222" t="s">
        <v>75</v>
      </c>
      <c r="AO222">
        <v>13</v>
      </c>
      <c r="AP222" t="s">
        <v>75</v>
      </c>
      <c r="AQ222">
        <v>11</v>
      </c>
      <c r="AR222">
        <v>3</v>
      </c>
      <c r="AS222">
        <v>7</v>
      </c>
    </row>
    <row r="223" spans="1:4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 t="str">
        <f>IF(Employee_data[[#This Row],[MonthlyIncome]]&lt;5000,"Low Income",
IF(Employee_data[[#This Row],[MonthlyIncome]]&lt;10000,"Medium Income","High Income"))</f>
        <v>Low Income</v>
      </c>
      <c r="U223" t="s">
        <v>91</v>
      </c>
      <c r="V223" t="s">
        <v>91</v>
      </c>
      <c r="W223" t="s">
        <v>91</v>
      </c>
      <c r="X223" t="s">
        <v>91</v>
      </c>
      <c r="Y223">
        <v>13248</v>
      </c>
      <c r="Z223">
        <v>6</v>
      </c>
      <c r="AA223" t="s">
        <v>42</v>
      </c>
      <c r="AB223" t="s">
        <v>43</v>
      </c>
      <c r="AC223">
        <v>21</v>
      </c>
      <c r="AD223">
        <v>4</v>
      </c>
      <c r="AE223">
        <v>4</v>
      </c>
      <c r="AF223">
        <v>80</v>
      </c>
      <c r="AG223">
        <v>0</v>
      </c>
      <c r="AH2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23">
        <v>7</v>
      </c>
      <c r="AJ223" t="s">
        <v>74</v>
      </c>
      <c r="AK223">
        <v>3</v>
      </c>
      <c r="AL223" t="s">
        <v>74</v>
      </c>
      <c r="AM223">
        <v>3</v>
      </c>
      <c r="AN223" t="s">
        <v>74</v>
      </c>
      <c r="AO223">
        <v>3</v>
      </c>
      <c r="AP223" t="s">
        <v>74</v>
      </c>
      <c r="AQ223">
        <v>2</v>
      </c>
      <c r="AR223">
        <v>1</v>
      </c>
      <c r="AS223">
        <v>1</v>
      </c>
    </row>
    <row r="224" spans="1:4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 t="str">
        <f>IF(Employee_data[[#This Row],[MonthlyIncome]]&lt;5000,"Low Income",
IF(Employee_data[[#This Row],[MonthlyIncome]]&lt;10000,"Medium Income","High Income"))</f>
        <v>High Income</v>
      </c>
      <c r="U224" t="s">
        <v>90</v>
      </c>
      <c r="V224" t="s">
        <v>90</v>
      </c>
      <c r="W224" t="s">
        <v>90</v>
      </c>
      <c r="X224" t="s">
        <v>90</v>
      </c>
      <c r="Y224">
        <v>10056</v>
      </c>
      <c r="Z224">
        <v>1</v>
      </c>
      <c r="AA224" t="s">
        <v>42</v>
      </c>
      <c r="AB224" t="s">
        <v>35</v>
      </c>
      <c r="AC224">
        <v>14</v>
      </c>
      <c r="AD224">
        <v>3</v>
      </c>
      <c r="AE224">
        <v>3</v>
      </c>
      <c r="AF224">
        <v>80</v>
      </c>
      <c r="AG224">
        <v>3</v>
      </c>
      <c r="AH2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24">
        <v>10</v>
      </c>
      <c r="AJ224" t="s">
        <v>75</v>
      </c>
      <c r="AK224">
        <v>1</v>
      </c>
      <c r="AL224" t="s">
        <v>75</v>
      </c>
      <c r="AM224">
        <v>3</v>
      </c>
      <c r="AN224" t="s">
        <v>75</v>
      </c>
      <c r="AO224">
        <v>10</v>
      </c>
      <c r="AP224" t="s">
        <v>75</v>
      </c>
      <c r="AQ224">
        <v>8</v>
      </c>
      <c r="AR224">
        <v>0</v>
      </c>
      <c r="AS224">
        <v>7</v>
      </c>
    </row>
    <row r="225" spans="1:4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 t="str">
        <f>IF(Employee_data[[#This Row],[MonthlyIncome]]&lt;5000,"Low Income",
IF(Employee_data[[#This Row],[MonthlyIncome]]&lt;10000,"Medium Income","High Income"))</f>
        <v>High Income</v>
      </c>
      <c r="U225" t="s">
        <v>90</v>
      </c>
      <c r="V225" t="s">
        <v>90</v>
      </c>
      <c r="W225" t="s">
        <v>90</v>
      </c>
      <c r="X225" t="s">
        <v>90</v>
      </c>
      <c r="Y225">
        <v>9647</v>
      </c>
      <c r="Z225">
        <v>0</v>
      </c>
      <c r="AA225" t="s">
        <v>42</v>
      </c>
      <c r="AB225" t="s">
        <v>43</v>
      </c>
      <c r="AC225">
        <v>12</v>
      </c>
      <c r="AD225">
        <v>3</v>
      </c>
      <c r="AE225">
        <v>3</v>
      </c>
      <c r="AF225">
        <v>80</v>
      </c>
      <c r="AG225">
        <v>2</v>
      </c>
      <c r="AH2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25">
        <v>17</v>
      </c>
      <c r="AJ225" t="s">
        <v>76</v>
      </c>
      <c r="AK225">
        <v>6</v>
      </c>
      <c r="AL225" t="s">
        <v>76</v>
      </c>
      <c r="AM225">
        <v>2</v>
      </c>
      <c r="AN225" t="s">
        <v>76</v>
      </c>
      <c r="AO225">
        <v>16</v>
      </c>
      <c r="AP225" t="s">
        <v>76</v>
      </c>
      <c r="AQ225">
        <v>10</v>
      </c>
      <c r="AR225">
        <v>5</v>
      </c>
      <c r="AS225">
        <v>13</v>
      </c>
    </row>
    <row r="226" spans="1:4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 t="str">
        <f>IF(Employee_data[[#This Row],[MonthlyIncome]]&lt;5000,"Low Income",
IF(Employee_data[[#This Row],[MonthlyIncome]]&lt;10000,"Medium Income","High Income"))</f>
        <v>Low Income</v>
      </c>
      <c r="U226" t="s">
        <v>91</v>
      </c>
      <c r="V226" t="s">
        <v>91</v>
      </c>
      <c r="W226" t="s">
        <v>91</v>
      </c>
      <c r="X226" t="s">
        <v>91</v>
      </c>
      <c r="Y226">
        <v>4381</v>
      </c>
      <c r="Z226">
        <v>0</v>
      </c>
      <c r="AA226" t="s">
        <v>42</v>
      </c>
      <c r="AB226" t="s">
        <v>43</v>
      </c>
      <c r="AC226">
        <v>12</v>
      </c>
      <c r="AD226">
        <v>3</v>
      </c>
      <c r="AE226">
        <v>4</v>
      </c>
      <c r="AF226">
        <v>80</v>
      </c>
      <c r="AG226">
        <v>1</v>
      </c>
      <c r="AH2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26">
        <v>6</v>
      </c>
      <c r="AJ226" t="s">
        <v>78</v>
      </c>
      <c r="AK226">
        <v>2</v>
      </c>
      <c r="AL226" t="s">
        <v>78</v>
      </c>
      <c r="AM226">
        <v>3</v>
      </c>
      <c r="AN226" t="s">
        <v>78</v>
      </c>
      <c r="AO226">
        <v>5</v>
      </c>
      <c r="AP226" t="s">
        <v>78</v>
      </c>
      <c r="AQ226">
        <v>4</v>
      </c>
      <c r="AR226">
        <v>1</v>
      </c>
      <c r="AS226">
        <v>4</v>
      </c>
    </row>
    <row r="227" spans="1:4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 t="str">
        <f>IF(Employee_data[[#This Row],[MonthlyIncome]]&lt;5000,"Low Income",
IF(Employee_data[[#This Row],[MonthlyIncome]]&lt;10000,"Medium Income","High Income"))</f>
        <v>Low Income</v>
      </c>
      <c r="U227" t="s">
        <v>91</v>
      </c>
      <c r="V227" t="s">
        <v>91</v>
      </c>
      <c r="W227" t="s">
        <v>91</v>
      </c>
      <c r="X227" t="s">
        <v>91</v>
      </c>
      <c r="Y227">
        <v>8456</v>
      </c>
      <c r="Z227">
        <v>3</v>
      </c>
      <c r="AA227" t="s">
        <v>42</v>
      </c>
      <c r="AB227" t="s">
        <v>43</v>
      </c>
      <c r="AC227">
        <v>17</v>
      </c>
      <c r="AD227">
        <v>3</v>
      </c>
      <c r="AE227">
        <v>1</v>
      </c>
      <c r="AF227">
        <v>80</v>
      </c>
      <c r="AG227">
        <v>1</v>
      </c>
      <c r="AH2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27">
        <v>7</v>
      </c>
      <c r="AJ227" t="s">
        <v>74</v>
      </c>
      <c r="AK227">
        <v>6</v>
      </c>
      <c r="AL227" t="s">
        <v>74</v>
      </c>
      <c r="AM227">
        <v>3</v>
      </c>
      <c r="AN227" t="s">
        <v>74</v>
      </c>
      <c r="AO227">
        <v>1</v>
      </c>
      <c r="AP227" t="s">
        <v>74</v>
      </c>
      <c r="AQ227">
        <v>0</v>
      </c>
      <c r="AR227">
        <v>0</v>
      </c>
      <c r="AS227">
        <v>0</v>
      </c>
    </row>
    <row r="228" spans="1:4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 t="str">
        <f>IF(Employee_data[[#This Row],[MonthlyIncome]]&lt;5000,"Low Income",
IF(Employee_data[[#This Row],[MonthlyIncome]]&lt;10000,"Medium Income","High Income"))</f>
        <v>Low Income</v>
      </c>
      <c r="U228" t="s">
        <v>91</v>
      </c>
      <c r="V228" t="s">
        <v>91</v>
      </c>
      <c r="W228" t="s">
        <v>91</v>
      </c>
      <c r="X228" t="s">
        <v>91</v>
      </c>
      <c r="Y228">
        <v>2539</v>
      </c>
      <c r="Z228">
        <v>4</v>
      </c>
      <c r="AA228" t="s">
        <v>42</v>
      </c>
      <c r="AB228" t="s">
        <v>43</v>
      </c>
      <c r="AC228">
        <v>17</v>
      </c>
      <c r="AD228">
        <v>3</v>
      </c>
      <c r="AE228">
        <v>3</v>
      </c>
      <c r="AF228">
        <v>80</v>
      </c>
      <c r="AG228">
        <v>1</v>
      </c>
      <c r="AH2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28">
        <v>13</v>
      </c>
      <c r="AJ228" t="s">
        <v>78</v>
      </c>
      <c r="AK228">
        <v>2</v>
      </c>
      <c r="AL228" t="s">
        <v>78</v>
      </c>
      <c r="AM228">
        <v>3</v>
      </c>
      <c r="AN228" t="s">
        <v>78</v>
      </c>
      <c r="AO228">
        <v>9</v>
      </c>
      <c r="AP228" t="s">
        <v>78</v>
      </c>
      <c r="AQ228">
        <v>8</v>
      </c>
      <c r="AR228">
        <v>5</v>
      </c>
      <c r="AS228">
        <v>8</v>
      </c>
    </row>
    <row r="229" spans="1:4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 t="str">
        <f>IF(Employee_data[[#This Row],[MonthlyIncome]]&lt;5000,"Low Income",
IF(Employee_data[[#This Row],[MonthlyIncome]]&lt;10000,"Medium Income","High Income"))</f>
        <v>Medium Income</v>
      </c>
      <c r="U229" t="s">
        <v>92</v>
      </c>
      <c r="V229" t="s">
        <v>92</v>
      </c>
      <c r="W229" t="s">
        <v>92</v>
      </c>
      <c r="X229" t="s">
        <v>92</v>
      </c>
      <c r="Y229">
        <v>6599</v>
      </c>
      <c r="Z229">
        <v>1</v>
      </c>
      <c r="AA229" t="s">
        <v>42</v>
      </c>
      <c r="AB229" t="s">
        <v>43</v>
      </c>
      <c r="AC229">
        <v>14</v>
      </c>
      <c r="AD229">
        <v>3</v>
      </c>
      <c r="AE229">
        <v>4</v>
      </c>
      <c r="AF229">
        <v>80</v>
      </c>
      <c r="AG229">
        <v>1</v>
      </c>
      <c r="AH2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29">
        <v>11</v>
      </c>
      <c r="AJ229" t="s">
        <v>75</v>
      </c>
      <c r="AK229">
        <v>5</v>
      </c>
      <c r="AL229" t="s">
        <v>75</v>
      </c>
      <c r="AM229">
        <v>3</v>
      </c>
      <c r="AN229" t="s">
        <v>75</v>
      </c>
      <c r="AO229">
        <v>11</v>
      </c>
      <c r="AP229" t="s">
        <v>75</v>
      </c>
      <c r="AQ229">
        <v>10</v>
      </c>
      <c r="AR229">
        <v>4</v>
      </c>
      <c r="AS229">
        <v>1</v>
      </c>
    </row>
    <row r="230" spans="1:4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 t="str">
        <f>IF(Employee_data[[#This Row],[MonthlyIncome]]&lt;5000,"Low Income",
IF(Employee_data[[#This Row],[MonthlyIncome]]&lt;10000,"Medium Income","High Income"))</f>
        <v>Medium Income</v>
      </c>
      <c r="U230" t="s">
        <v>92</v>
      </c>
      <c r="V230" t="s">
        <v>92</v>
      </c>
      <c r="W230" t="s">
        <v>92</v>
      </c>
      <c r="X230" t="s">
        <v>92</v>
      </c>
      <c r="Y230">
        <v>9096</v>
      </c>
      <c r="Z230">
        <v>1</v>
      </c>
      <c r="AA230" t="s">
        <v>42</v>
      </c>
      <c r="AB230" t="s">
        <v>43</v>
      </c>
      <c r="AC230">
        <v>14</v>
      </c>
      <c r="AD230">
        <v>3</v>
      </c>
      <c r="AE230">
        <v>1</v>
      </c>
      <c r="AF230">
        <v>80</v>
      </c>
      <c r="AG230">
        <v>0</v>
      </c>
      <c r="AH2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30">
        <v>10</v>
      </c>
      <c r="AJ230" t="s">
        <v>75</v>
      </c>
      <c r="AK230">
        <v>3</v>
      </c>
      <c r="AL230" t="s">
        <v>75</v>
      </c>
      <c r="AM230">
        <v>4</v>
      </c>
      <c r="AN230" t="s">
        <v>75</v>
      </c>
      <c r="AO230">
        <v>10</v>
      </c>
      <c r="AP230" t="s">
        <v>75</v>
      </c>
      <c r="AQ230">
        <v>7</v>
      </c>
      <c r="AR230">
        <v>0</v>
      </c>
      <c r="AS230">
        <v>8</v>
      </c>
    </row>
    <row r="231" spans="1:4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 t="str">
        <f>IF(Employee_data[[#This Row],[MonthlyIncome]]&lt;5000,"Low Income",
IF(Employee_data[[#This Row],[MonthlyIncome]]&lt;10000,"Medium Income","High Income"))</f>
        <v>Low Income</v>
      </c>
      <c r="U231" t="s">
        <v>91</v>
      </c>
      <c r="V231" t="s">
        <v>91</v>
      </c>
      <c r="W231" t="s">
        <v>91</v>
      </c>
      <c r="X231" t="s">
        <v>91</v>
      </c>
      <c r="Y231">
        <v>14961</v>
      </c>
      <c r="Z231">
        <v>1</v>
      </c>
      <c r="AA231" t="s">
        <v>42</v>
      </c>
      <c r="AB231" t="s">
        <v>35</v>
      </c>
      <c r="AC231">
        <v>13</v>
      </c>
      <c r="AD231">
        <v>3</v>
      </c>
      <c r="AE231">
        <v>3</v>
      </c>
      <c r="AF231">
        <v>80</v>
      </c>
      <c r="AG231">
        <v>0</v>
      </c>
      <c r="AH2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31">
        <v>4</v>
      </c>
      <c r="AJ231" t="s">
        <v>74</v>
      </c>
      <c r="AK231">
        <v>3</v>
      </c>
      <c r="AL231" t="s">
        <v>74</v>
      </c>
      <c r="AM231">
        <v>2</v>
      </c>
      <c r="AN231" t="s">
        <v>74</v>
      </c>
      <c r="AO231">
        <v>4</v>
      </c>
      <c r="AP231" t="s">
        <v>74</v>
      </c>
      <c r="AQ231">
        <v>3</v>
      </c>
      <c r="AR231">
        <v>0</v>
      </c>
      <c r="AS231">
        <v>1</v>
      </c>
    </row>
    <row r="232" spans="1:4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 t="str">
        <f>IF(Employee_data[[#This Row],[MonthlyIncome]]&lt;5000,"Low Income",
IF(Employee_data[[#This Row],[MonthlyIncome]]&lt;10000,"Medium Income","High Income"))</f>
        <v>Low Income</v>
      </c>
      <c r="U232" t="s">
        <v>91</v>
      </c>
      <c r="V232" t="s">
        <v>91</v>
      </c>
      <c r="W232" t="s">
        <v>91</v>
      </c>
      <c r="X232" t="s">
        <v>91</v>
      </c>
      <c r="Y232">
        <v>3300</v>
      </c>
      <c r="Z232">
        <v>7</v>
      </c>
      <c r="AA232" t="s">
        <v>42</v>
      </c>
      <c r="AB232" t="s">
        <v>43</v>
      </c>
      <c r="AC232">
        <v>15</v>
      </c>
      <c r="AD232">
        <v>3</v>
      </c>
      <c r="AE232">
        <v>2</v>
      </c>
      <c r="AF232">
        <v>80</v>
      </c>
      <c r="AG232">
        <v>0</v>
      </c>
      <c r="AH2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32">
        <v>6</v>
      </c>
      <c r="AJ232" t="s">
        <v>74</v>
      </c>
      <c r="AK232">
        <v>3</v>
      </c>
      <c r="AL232" t="s">
        <v>74</v>
      </c>
      <c r="AM232">
        <v>2</v>
      </c>
      <c r="AN232" t="s">
        <v>74</v>
      </c>
      <c r="AO232">
        <v>2</v>
      </c>
      <c r="AP232" t="s">
        <v>74</v>
      </c>
      <c r="AQ232">
        <v>2</v>
      </c>
      <c r="AR232">
        <v>2</v>
      </c>
      <c r="AS232">
        <v>2</v>
      </c>
    </row>
    <row r="233" spans="1:4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 t="str">
        <f>IF(Employee_data[[#This Row],[MonthlyIncome]]&lt;5000,"Low Income",
IF(Employee_data[[#This Row],[MonthlyIncome]]&lt;10000,"Medium Income","High Income"))</f>
        <v>High Income</v>
      </c>
      <c r="U233" t="s">
        <v>90</v>
      </c>
      <c r="V233" t="s">
        <v>90</v>
      </c>
      <c r="W233" t="s">
        <v>90</v>
      </c>
      <c r="X233" t="s">
        <v>90</v>
      </c>
      <c r="Y233">
        <v>4933</v>
      </c>
      <c r="Z233">
        <v>1</v>
      </c>
      <c r="AA233" t="s">
        <v>42</v>
      </c>
      <c r="AB233" t="s">
        <v>43</v>
      </c>
      <c r="AC233">
        <v>11</v>
      </c>
      <c r="AD233">
        <v>3</v>
      </c>
      <c r="AE233">
        <v>4</v>
      </c>
      <c r="AF233">
        <v>80</v>
      </c>
      <c r="AG233">
        <v>0</v>
      </c>
      <c r="AH2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33">
        <v>22</v>
      </c>
      <c r="AJ233" t="s">
        <v>76</v>
      </c>
      <c r="AK233">
        <v>3</v>
      </c>
      <c r="AL233" t="s">
        <v>76</v>
      </c>
      <c r="AM233">
        <v>3</v>
      </c>
      <c r="AN233" t="s">
        <v>76</v>
      </c>
      <c r="AO233">
        <v>22</v>
      </c>
      <c r="AP233" t="s">
        <v>76</v>
      </c>
      <c r="AQ233">
        <v>17</v>
      </c>
      <c r="AR233">
        <v>11</v>
      </c>
      <c r="AS233">
        <v>15</v>
      </c>
    </row>
    <row r="234" spans="1:4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 t="str">
        <f>IF(Employee_data[[#This Row],[MonthlyIncome]]&lt;5000,"Low Income",
IF(Employee_data[[#This Row],[MonthlyIncome]]&lt;10000,"Medium Income","High Income"))</f>
        <v>Low Income</v>
      </c>
      <c r="U234" t="s">
        <v>91</v>
      </c>
      <c r="V234" t="s">
        <v>91</v>
      </c>
      <c r="W234" t="s">
        <v>91</v>
      </c>
      <c r="X234" t="s">
        <v>91</v>
      </c>
      <c r="Y234">
        <v>25657</v>
      </c>
      <c r="Z234">
        <v>8</v>
      </c>
      <c r="AA234" t="s">
        <v>42</v>
      </c>
      <c r="AB234" t="s">
        <v>43</v>
      </c>
      <c r="AC234">
        <v>17</v>
      </c>
      <c r="AD234">
        <v>3</v>
      </c>
      <c r="AE234">
        <v>4</v>
      </c>
      <c r="AF234">
        <v>80</v>
      </c>
      <c r="AG234">
        <v>0</v>
      </c>
      <c r="AH2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34">
        <v>7</v>
      </c>
      <c r="AJ234" t="s">
        <v>74</v>
      </c>
      <c r="AK234">
        <v>2</v>
      </c>
      <c r="AL234" t="s">
        <v>74</v>
      </c>
      <c r="AM234">
        <v>2</v>
      </c>
      <c r="AN234" t="s">
        <v>74</v>
      </c>
      <c r="AO234">
        <v>2</v>
      </c>
      <c r="AP234" t="s">
        <v>74</v>
      </c>
      <c r="AQ234">
        <v>2</v>
      </c>
      <c r="AR234">
        <v>2</v>
      </c>
      <c r="AS234">
        <v>2</v>
      </c>
    </row>
    <row r="235" spans="1:4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 t="str">
        <f>IF(Employee_data[[#This Row],[MonthlyIncome]]&lt;5000,"Low Income",
IF(Employee_data[[#This Row],[MonthlyIncome]]&lt;10000,"Medium Income","High Income"))</f>
        <v>High Income</v>
      </c>
      <c r="U235" t="s">
        <v>90</v>
      </c>
      <c r="V235" t="s">
        <v>90</v>
      </c>
      <c r="W235" t="s">
        <v>90</v>
      </c>
      <c r="X235" t="s">
        <v>90</v>
      </c>
      <c r="Y235">
        <v>24118</v>
      </c>
      <c r="Z235">
        <v>3</v>
      </c>
      <c r="AA235" t="s">
        <v>42</v>
      </c>
      <c r="AB235" t="s">
        <v>43</v>
      </c>
      <c r="AC235">
        <v>11</v>
      </c>
      <c r="AD235">
        <v>3</v>
      </c>
      <c r="AE235">
        <v>3</v>
      </c>
      <c r="AF235">
        <v>80</v>
      </c>
      <c r="AG235">
        <v>1</v>
      </c>
      <c r="AH2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35">
        <v>32</v>
      </c>
      <c r="AJ235" t="s">
        <v>78</v>
      </c>
      <c r="AK235">
        <v>3</v>
      </c>
      <c r="AL235" t="s">
        <v>78</v>
      </c>
      <c r="AM235">
        <v>2</v>
      </c>
      <c r="AN235" t="s">
        <v>78</v>
      </c>
      <c r="AO235">
        <v>7</v>
      </c>
      <c r="AP235" t="s">
        <v>78</v>
      </c>
      <c r="AQ235">
        <v>0</v>
      </c>
      <c r="AR235">
        <v>0</v>
      </c>
      <c r="AS235">
        <v>6</v>
      </c>
    </row>
    <row r="236" spans="1:4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 t="str">
        <f>IF(Employee_data[[#This Row],[MonthlyIncome]]&lt;5000,"Low Income",
IF(Employee_data[[#This Row],[MonthlyIncome]]&lt;10000,"Medium Income","High Income"))</f>
        <v>Low Income</v>
      </c>
      <c r="U236" t="s">
        <v>91</v>
      </c>
      <c r="V236" t="s">
        <v>91</v>
      </c>
      <c r="W236" t="s">
        <v>91</v>
      </c>
      <c r="X236" t="s">
        <v>91</v>
      </c>
      <c r="Y236">
        <v>22149</v>
      </c>
      <c r="Z236">
        <v>5</v>
      </c>
      <c r="AA236" t="s">
        <v>42</v>
      </c>
      <c r="AB236" t="s">
        <v>35</v>
      </c>
      <c r="AC236">
        <v>13</v>
      </c>
      <c r="AD236">
        <v>3</v>
      </c>
      <c r="AE236">
        <v>3</v>
      </c>
      <c r="AF236">
        <v>80</v>
      </c>
      <c r="AG236">
        <v>1</v>
      </c>
      <c r="AH2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36">
        <v>8</v>
      </c>
      <c r="AJ236" t="s">
        <v>78</v>
      </c>
      <c r="AK236">
        <v>2</v>
      </c>
      <c r="AL236" t="s">
        <v>78</v>
      </c>
      <c r="AM236">
        <v>1</v>
      </c>
      <c r="AN236" t="s">
        <v>78</v>
      </c>
      <c r="AO236">
        <v>5</v>
      </c>
      <c r="AP236" t="s">
        <v>78</v>
      </c>
      <c r="AQ236">
        <v>4</v>
      </c>
      <c r="AR236">
        <v>0</v>
      </c>
      <c r="AS236">
        <v>4</v>
      </c>
    </row>
    <row r="237" spans="1:4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 t="str">
        <f>IF(Employee_data[[#This Row],[MonthlyIncome]]&lt;5000,"Low Income",
IF(Employee_data[[#This Row],[MonthlyIncome]]&lt;10000,"Medium Income","High Income"))</f>
        <v>High Income</v>
      </c>
      <c r="U237" t="s">
        <v>90</v>
      </c>
      <c r="V237" t="s">
        <v>90</v>
      </c>
      <c r="W237" t="s">
        <v>90</v>
      </c>
      <c r="X237" t="s">
        <v>90</v>
      </c>
      <c r="Y237">
        <v>7744</v>
      </c>
      <c r="Z237">
        <v>5</v>
      </c>
      <c r="AA237" t="s">
        <v>42</v>
      </c>
      <c r="AB237" t="s">
        <v>35</v>
      </c>
      <c r="AC237">
        <v>22</v>
      </c>
      <c r="AD237">
        <v>4</v>
      </c>
      <c r="AE237">
        <v>3</v>
      </c>
      <c r="AF237">
        <v>80</v>
      </c>
      <c r="AG237">
        <v>1</v>
      </c>
      <c r="AH2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37">
        <v>22</v>
      </c>
      <c r="AJ237" t="s">
        <v>76</v>
      </c>
      <c r="AK237">
        <v>3</v>
      </c>
      <c r="AL237" t="s">
        <v>76</v>
      </c>
      <c r="AM237">
        <v>3</v>
      </c>
      <c r="AN237" t="s">
        <v>76</v>
      </c>
      <c r="AO237">
        <v>17</v>
      </c>
      <c r="AP237" t="s">
        <v>76</v>
      </c>
      <c r="AQ237">
        <v>13</v>
      </c>
      <c r="AR237">
        <v>1</v>
      </c>
      <c r="AS237">
        <v>9</v>
      </c>
    </row>
    <row r="238" spans="1:4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 t="str">
        <f>IF(Employee_data[[#This Row],[MonthlyIncome]]&lt;5000,"Low Income",
IF(Employee_data[[#This Row],[MonthlyIncome]]&lt;10000,"Medium Income","High Income"))</f>
        <v>Low Income</v>
      </c>
      <c r="U238" t="s">
        <v>91</v>
      </c>
      <c r="V238" t="s">
        <v>91</v>
      </c>
      <c r="W238" t="s">
        <v>91</v>
      </c>
      <c r="X238" t="s">
        <v>91</v>
      </c>
      <c r="Y238">
        <v>21509</v>
      </c>
      <c r="Z238">
        <v>7</v>
      </c>
      <c r="AA238" t="s">
        <v>42</v>
      </c>
      <c r="AB238" t="s">
        <v>43</v>
      </c>
      <c r="AC238">
        <v>20</v>
      </c>
      <c r="AD238">
        <v>4</v>
      </c>
      <c r="AE238">
        <v>1</v>
      </c>
      <c r="AF238">
        <v>80</v>
      </c>
      <c r="AG238">
        <v>0</v>
      </c>
      <c r="AH2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38">
        <v>13</v>
      </c>
      <c r="AJ238" t="s">
        <v>78</v>
      </c>
      <c r="AK238">
        <v>3</v>
      </c>
      <c r="AL238" t="s">
        <v>78</v>
      </c>
      <c r="AM238">
        <v>4</v>
      </c>
      <c r="AN238" t="s">
        <v>78</v>
      </c>
      <c r="AO238">
        <v>9</v>
      </c>
      <c r="AP238" t="s">
        <v>78</v>
      </c>
      <c r="AQ238">
        <v>7</v>
      </c>
      <c r="AR238">
        <v>1</v>
      </c>
      <c r="AS238">
        <v>7</v>
      </c>
    </row>
    <row r="239" spans="1:4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 t="str">
        <f>IF(Employee_data[[#This Row],[MonthlyIncome]]&lt;5000,"Low Income",
IF(Employee_data[[#This Row],[MonthlyIncome]]&lt;10000,"Medium Income","High Income"))</f>
        <v>High Income</v>
      </c>
      <c r="U239" t="s">
        <v>90</v>
      </c>
      <c r="V239" t="s">
        <v>90</v>
      </c>
      <c r="W239" t="s">
        <v>90</v>
      </c>
      <c r="X239" t="s">
        <v>90</v>
      </c>
      <c r="Y239">
        <v>21030</v>
      </c>
      <c r="Z239">
        <v>1</v>
      </c>
      <c r="AA239" t="s">
        <v>42</v>
      </c>
      <c r="AB239" t="s">
        <v>35</v>
      </c>
      <c r="AC239">
        <v>18</v>
      </c>
      <c r="AD239">
        <v>3</v>
      </c>
      <c r="AE239">
        <v>4</v>
      </c>
      <c r="AF239">
        <v>80</v>
      </c>
      <c r="AG239">
        <v>0</v>
      </c>
      <c r="AH2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239">
        <v>33</v>
      </c>
      <c r="AJ239" t="s">
        <v>77</v>
      </c>
      <c r="AK239">
        <v>2</v>
      </c>
      <c r="AL239" t="s">
        <v>77</v>
      </c>
      <c r="AM239">
        <v>4</v>
      </c>
      <c r="AN239" t="s">
        <v>77</v>
      </c>
      <c r="AO239">
        <v>33</v>
      </c>
      <c r="AP239" t="s">
        <v>77</v>
      </c>
      <c r="AQ239">
        <v>7</v>
      </c>
      <c r="AR239">
        <v>15</v>
      </c>
      <c r="AS239">
        <v>12</v>
      </c>
    </row>
    <row r="240" spans="1:4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 t="str">
        <f>IF(Employee_data[[#This Row],[MonthlyIncome]]&lt;5000,"Low Income",
IF(Employee_data[[#This Row],[MonthlyIncome]]&lt;10000,"Medium Income","High Income"))</f>
        <v>Low Income</v>
      </c>
      <c r="U240" t="s">
        <v>91</v>
      </c>
      <c r="V240" t="s">
        <v>91</v>
      </c>
      <c r="W240" t="s">
        <v>91</v>
      </c>
      <c r="X240" t="s">
        <v>91</v>
      </c>
      <c r="Y240">
        <v>20990</v>
      </c>
      <c r="Z240">
        <v>2</v>
      </c>
      <c r="AA240" t="s">
        <v>42</v>
      </c>
      <c r="AB240" t="s">
        <v>43</v>
      </c>
      <c r="AC240">
        <v>11</v>
      </c>
      <c r="AD240">
        <v>3</v>
      </c>
      <c r="AE240">
        <v>1</v>
      </c>
      <c r="AF240">
        <v>80</v>
      </c>
      <c r="AG240">
        <v>1</v>
      </c>
      <c r="AH2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40">
        <v>6</v>
      </c>
      <c r="AJ240" t="s">
        <v>74</v>
      </c>
      <c r="AK240">
        <v>5</v>
      </c>
      <c r="AL240" t="s">
        <v>74</v>
      </c>
      <c r="AM240">
        <v>3</v>
      </c>
      <c r="AN240" t="s">
        <v>74</v>
      </c>
      <c r="AO240">
        <v>4</v>
      </c>
      <c r="AP240" t="s">
        <v>74</v>
      </c>
      <c r="AQ240">
        <v>3</v>
      </c>
      <c r="AR240">
        <v>1</v>
      </c>
      <c r="AS240">
        <v>2</v>
      </c>
    </row>
    <row r="241" spans="1:4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 t="str">
        <f>IF(Employee_data[[#This Row],[MonthlyIncome]]&lt;5000,"Low Income",
IF(Employee_data[[#This Row],[MonthlyIncome]]&lt;10000,"Medium Income","High Income"))</f>
        <v>Low Income</v>
      </c>
      <c r="U241" t="s">
        <v>91</v>
      </c>
      <c r="V241" t="s">
        <v>91</v>
      </c>
      <c r="W241" t="s">
        <v>91</v>
      </c>
      <c r="X241" t="s">
        <v>91</v>
      </c>
      <c r="Y241">
        <v>9571</v>
      </c>
      <c r="Z241">
        <v>0</v>
      </c>
      <c r="AA241" t="s">
        <v>42</v>
      </c>
      <c r="AB241" t="s">
        <v>35</v>
      </c>
      <c r="AC241">
        <v>14</v>
      </c>
      <c r="AD241">
        <v>3</v>
      </c>
      <c r="AE241">
        <v>4</v>
      </c>
      <c r="AF241">
        <v>80</v>
      </c>
      <c r="AG241">
        <v>0</v>
      </c>
      <c r="AH2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41">
        <v>4</v>
      </c>
      <c r="AJ241" t="s">
        <v>74</v>
      </c>
      <c r="AK241">
        <v>2</v>
      </c>
      <c r="AL241" t="s">
        <v>74</v>
      </c>
      <c r="AM241">
        <v>1</v>
      </c>
      <c r="AN241" t="s">
        <v>74</v>
      </c>
      <c r="AO241">
        <v>3</v>
      </c>
      <c r="AP241" t="s">
        <v>74</v>
      </c>
      <c r="AQ241">
        <v>2</v>
      </c>
      <c r="AR241">
        <v>1</v>
      </c>
      <c r="AS241">
        <v>2</v>
      </c>
    </row>
    <row r="242" spans="1:4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 t="str">
        <f>IF(Employee_data[[#This Row],[MonthlyIncome]]&lt;5000,"Low Income",
IF(Employee_data[[#This Row],[MonthlyIncome]]&lt;10000,"Medium Income","High Income"))</f>
        <v>Low Income</v>
      </c>
      <c r="U242" t="s">
        <v>91</v>
      </c>
      <c r="V242" t="s">
        <v>91</v>
      </c>
      <c r="W242" t="s">
        <v>91</v>
      </c>
      <c r="X242" t="s">
        <v>91</v>
      </c>
      <c r="Y242">
        <v>15417</v>
      </c>
      <c r="Z242">
        <v>7</v>
      </c>
      <c r="AA242" t="s">
        <v>42</v>
      </c>
      <c r="AB242" t="s">
        <v>43</v>
      </c>
      <c r="AC242">
        <v>14</v>
      </c>
      <c r="AD242">
        <v>3</v>
      </c>
      <c r="AE242">
        <v>3</v>
      </c>
      <c r="AF242">
        <v>80</v>
      </c>
      <c r="AG242">
        <v>3</v>
      </c>
      <c r="AH2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42">
        <v>7</v>
      </c>
      <c r="AJ242" t="s">
        <v>74</v>
      </c>
      <c r="AK242">
        <v>1</v>
      </c>
      <c r="AL242" t="s">
        <v>74</v>
      </c>
      <c r="AM242">
        <v>3</v>
      </c>
      <c r="AN242" t="s">
        <v>74</v>
      </c>
      <c r="AO242">
        <v>3</v>
      </c>
      <c r="AP242" t="s">
        <v>74</v>
      </c>
      <c r="AQ242">
        <v>2</v>
      </c>
      <c r="AR242">
        <v>1</v>
      </c>
      <c r="AS242">
        <v>2</v>
      </c>
    </row>
    <row r="243" spans="1:4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 t="str">
        <f>IF(Employee_data[[#This Row],[MonthlyIncome]]&lt;5000,"Low Income",
IF(Employee_data[[#This Row],[MonthlyIncome]]&lt;10000,"Medium Income","High Income"))</f>
        <v>Low Income</v>
      </c>
      <c r="U243" t="s">
        <v>91</v>
      </c>
      <c r="V243" t="s">
        <v>91</v>
      </c>
      <c r="W243" t="s">
        <v>91</v>
      </c>
      <c r="X243" t="s">
        <v>91</v>
      </c>
      <c r="Y243">
        <v>12069</v>
      </c>
      <c r="Z243">
        <v>0</v>
      </c>
      <c r="AA243" t="s">
        <v>42</v>
      </c>
      <c r="AB243" t="s">
        <v>43</v>
      </c>
      <c r="AC243">
        <v>18</v>
      </c>
      <c r="AD243">
        <v>3</v>
      </c>
      <c r="AE243">
        <v>1</v>
      </c>
      <c r="AF243">
        <v>80</v>
      </c>
      <c r="AG243">
        <v>0</v>
      </c>
      <c r="AH2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43">
        <v>4</v>
      </c>
      <c r="AJ243" t="s">
        <v>74</v>
      </c>
      <c r="AK243">
        <v>2</v>
      </c>
      <c r="AL243" t="s">
        <v>74</v>
      </c>
      <c r="AM243">
        <v>3</v>
      </c>
      <c r="AN243" t="s">
        <v>74</v>
      </c>
      <c r="AO243">
        <v>3</v>
      </c>
      <c r="AP243" t="s">
        <v>74</v>
      </c>
      <c r="AQ243">
        <v>2</v>
      </c>
      <c r="AR243">
        <v>2</v>
      </c>
      <c r="AS243">
        <v>2</v>
      </c>
    </row>
    <row r="244" spans="1:4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 t="str">
        <f>IF(Employee_data[[#This Row],[MonthlyIncome]]&lt;5000,"Low Income",
IF(Employee_data[[#This Row],[MonthlyIncome]]&lt;10000,"Medium Income","High Income"))</f>
        <v>Low Income</v>
      </c>
      <c r="U244" t="s">
        <v>91</v>
      </c>
      <c r="V244" t="s">
        <v>91</v>
      </c>
      <c r="W244" t="s">
        <v>91</v>
      </c>
      <c r="X244" t="s">
        <v>91</v>
      </c>
      <c r="Y244">
        <v>19877</v>
      </c>
      <c r="Z244">
        <v>2</v>
      </c>
      <c r="AA244" t="s">
        <v>42</v>
      </c>
      <c r="AB244" t="s">
        <v>43</v>
      </c>
      <c r="AC244">
        <v>16</v>
      </c>
      <c r="AD244">
        <v>3</v>
      </c>
      <c r="AE244">
        <v>1</v>
      </c>
      <c r="AF244">
        <v>80</v>
      </c>
      <c r="AG244">
        <v>2</v>
      </c>
      <c r="AH2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44">
        <v>17</v>
      </c>
      <c r="AJ244" t="s">
        <v>74</v>
      </c>
      <c r="AK244">
        <v>2</v>
      </c>
      <c r="AL244" t="s">
        <v>74</v>
      </c>
      <c r="AM244">
        <v>2</v>
      </c>
      <c r="AN244" t="s">
        <v>74</v>
      </c>
      <c r="AO244">
        <v>1</v>
      </c>
      <c r="AP244" t="s">
        <v>74</v>
      </c>
      <c r="AQ244">
        <v>0</v>
      </c>
      <c r="AR244">
        <v>0</v>
      </c>
      <c r="AS244">
        <v>0</v>
      </c>
    </row>
    <row r="245" spans="1:4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 t="str">
        <f>IF(Employee_data[[#This Row],[MonthlyIncome]]&lt;5000,"Low Income",
IF(Employee_data[[#This Row],[MonthlyIncome]]&lt;10000,"Medium Income","High Income"))</f>
        <v>Low Income</v>
      </c>
      <c r="U245" t="s">
        <v>91</v>
      </c>
      <c r="V245" t="s">
        <v>91</v>
      </c>
      <c r="W245" t="s">
        <v>91</v>
      </c>
      <c r="X245" t="s">
        <v>91</v>
      </c>
      <c r="Y245">
        <v>24447</v>
      </c>
      <c r="Z245">
        <v>1</v>
      </c>
      <c r="AA245" t="s">
        <v>42</v>
      </c>
      <c r="AB245" t="s">
        <v>43</v>
      </c>
      <c r="AC245">
        <v>17</v>
      </c>
      <c r="AD245">
        <v>3</v>
      </c>
      <c r="AE245">
        <v>1</v>
      </c>
      <c r="AF245">
        <v>80</v>
      </c>
      <c r="AG245">
        <v>2</v>
      </c>
      <c r="AH2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45">
        <v>9</v>
      </c>
      <c r="AJ245" t="s">
        <v>78</v>
      </c>
      <c r="AK245">
        <v>3</v>
      </c>
      <c r="AL245" t="s">
        <v>78</v>
      </c>
      <c r="AM245">
        <v>3</v>
      </c>
      <c r="AN245" t="s">
        <v>78</v>
      </c>
      <c r="AO245">
        <v>9</v>
      </c>
      <c r="AP245" t="s">
        <v>78</v>
      </c>
      <c r="AQ245">
        <v>8</v>
      </c>
      <c r="AR245">
        <v>4</v>
      </c>
      <c r="AS245">
        <v>7</v>
      </c>
    </row>
    <row r="246" spans="1:4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 t="str">
        <f>IF(Employee_data[[#This Row],[MonthlyIncome]]&lt;5000,"Low Income",
IF(Employee_data[[#This Row],[MonthlyIncome]]&lt;10000,"Medium Income","High Income"))</f>
        <v>High Income</v>
      </c>
      <c r="U246" t="s">
        <v>90</v>
      </c>
      <c r="V246" t="s">
        <v>90</v>
      </c>
      <c r="W246" t="s">
        <v>90</v>
      </c>
      <c r="X246" t="s">
        <v>90</v>
      </c>
      <c r="Y246">
        <v>15970</v>
      </c>
      <c r="Z246">
        <v>0</v>
      </c>
      <c r="AA246" t="s">
        <v>42</v>
      </c>
      <c r="AB246" t="s">
        <v>43</v>
      </c>
      <c r="AC246">
        <v>11</v>
      </c>
      <c r="AD246">
        <v>3</v>
      </c>
      <c r="AE246">
        <v>3</v>
      </c>
      <c r="AF246">
        <v>80</v>
      </c>
      <c r="AG246">
        <v>1</v>
      </c>
      <c r="AH2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46">
        <v>25</v>
      </c>
      <c r="AJ246" t="s">
        <v>76</v>
      </c>
      <c r="AK246">
        <v>2</v>
      </c>
      <c r="AL246" t="s">
        <v>76</v>
      </c>
      <c r="AM246">
        <v>3</v>
      </c>
      <c r="AN246" t="s">
        <v>76</v>
      </c>
      <c r="AO246">
        <v>24</v>
      </c>
      <c r="AP246" t="s">
        <v>76</v>
      </c>
      <c r="AQ246">
        <v>0</v>
      </c>
      <c r="AR246">
        <v>1</v>
      </c>
      <c r="AS246">
        <v>7</v>
      </c>
    </row>
    <row r="247" spans="1:4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 t="str">
        <f>IF(Employee_data[[#This Row],[MonthlyIncome]]&lt;5000,"Low Income",
IF(Employee_data[[#This Row],[MonthlyIncome]]&lt;10000,"Medium Income","High Income"))</f>
        <v>High Income</v>
      </c>
      <c r="U247" t="s">
        <v>90</v>
      </c>
      <c r="V247" t="s">
        <v>90</v>
      </c>
      <c r="W247" t="s">
        <v>90</v>
      </c>
      <c r="X247" t="s">
        <v>90</v>
      </c>
      <c r="Y247">
        <v>13523</v>
      </c>
      <c r="Z247">
        <v>9</v>
      </c>
      <c r="AA247" t="s">
        <v>42</v>
      </c>
      <c r="AB247" t="s">
        <v>43</v>
      </c>
      <c r="AC247">
        <v>12</v>
      </c>
      <c r="AD247">
        <v>3</v>
      </c>
      <c r="AE247">
        <v>1</v>
      </c>
      <c r="AF247">
        <v>80</v>
      </c>
      <c r="AG247">
        <v>1</v>
      </c>
      <c r="AH2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47">
        <v>9</v>
      </c>
      <c r="AJ247" t="s">
        <v>74</v>
      </c>
      <c r="AK247">
        <v>3</v>
      </c>
      <c r="AL247" t="s">
        <v>74</v>
      </c>
      <c r="AM247">
        <v>3</v>
      </c>
      <c r="AN247" t="s">
        <v>74</v>
      </c>
      <c r="AO247">
        <v>2</v>
      </c>
      <c r="AP247" t="s">
        <v>74</v>
      </c>
      <c r="AQ247">
        <v>2</v>
      </c>
      <c r="AR247">
        <v>2</v>
      </c>
      <c r="AS247">
        <v>2</v>
      </c>
    </row>
    <row r="248" spans="1:4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 t="str">
        <f>IF(Employee_data[[#This Row],[MonthlyIncome]]&lt;5000,"Low Income",
IF(Employee_data[[#This Row],[MonthlyIncome]]&lt;10000,"Medium Income","High Income"))</f>
        <v>Low Income</v>
      </c>
      <c r="U248" t="s">
        <v>91</v>
      </c>
      <c r="V248" t="s">
        <v>91</v>
      </c>
      <c r="W248" t="s">
        <v>91</v>
      </c>
      <c r="X248" t="s">
        <v>91</v>
      </c>
      <c r="Y248">
        <v>14776</v>
      </c>
      <c r="Z248">
        <v>1</v>
      </c>
      <c r="AA248" t="s">
        <v>42</v>
      </c>
      <c r="AB248" t="s">
        <v>43</v>
      </c>
      <c r="AC248">
        <v>13</v>
      </c>
      <c r="AD248">
        <v>3</v>
      </c>
      <c r="AE248">
        <v>3</v>
      </c>
      <c r="AF248">
        <v>80</v>
      </c>
      <c r="AG248">
        <v>1</v>
      </c>
      <c r="AH2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48">
        <v>2</v>
      </c>
      <c r="AJ248" t="s">
        <v>74</v>
      </c>
      <c r="AK248">
        <v>2</v>
      </c>
      <c r="AL248" t="s">
        <v>74</v>
      </c>
      <c r="AM248">
        <v>2</v>
      </c>
      <c r="AN248" t="s">
        <v>74</v>
      </c>
      <c r="AO248">
        <v>2</v>
      </c>
      <c r="AP248" t="s">
        <v>74</v>
      </c>
      <c r="AQ248">
        <v>2</v>
      </c>
      <c r="AR248">
        <v>0</v>
      </c>
      <c r="AS248">
        <v>2</v>
      </c>
    </row>
    <row r="249" spans="1:4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 t="str">
        <f>IF(Employee_data[[#This Row],[MonthlyIncome]]&lt;5000,"Low Income",
IF(Employee_data[[#This Row],[MonthlyIncome]]&lt;10000,"Medium Income","High Income"))</f>
        <v>Medium Income</v>
      </c>
      <c r="U249" t="s">
        <v>92</v>
      </c>
      <c r="V249" t="s">
        <v>92</v>
      </c>
      <c r="W249" t="s">
        <v>92</v>
      </c>
      <c r="X249" t="s">
        <v>92</v>
      </c>
      <c r="Y249">
        <v>23687</v>
      </c>
      <c r="Z249">
        <v>6</v>
      </c>
      <c r="AA249" t="s">
        <v>42</v>
      </c>
      <c r="AB249" t="s">
        <v>43</v>
      </c>
      <c r="AC249">
        <v>13</v>
      </c>
      <c r="AD249">
        <v>3</v>
      </c>
      <c r="AE249">
        <v>2</v>
      </c>
      <c r="AF249">
        <v>80</v>
      </c>
      <c r="AG249">
        <v>1</v>
      </c>
      <c r="AH2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49">
        <v>13</v>
      </c>
      <c r="AJ249" t="s">
        <v>75</v>
      </c>
      <c r="AK249">
        <v>3</v>
      </c>
      <c r="AL249" t="s">
        <v>75</v>
      </c>
      <c r="AM249">
        <v>3</v>
      </c>
      <c r="AN249" t="s">
        <v>75</v>
      </c>
      <c r="AO249">
        <v>11</v>
      </c>
      <c r="AP249" t="s">
        <v>75</v>
      </c>
      <c r="AQ249">
        <v>9</v>
      </c>
      <c r="AR249">
        <v>5</v>
      </c>
      <c r="AS249">
        <v>9</v>
      </c>
    </row>
    <row r="250" spans="1:4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 t="str">
        <f>IF(Employee_data[[#This Row],[MonthlyIncome]]&lt;5000,"Low Income",
IF(Employee_data[[#This Row],[MonthlyIncome]]&lt;10000,"Medium Income","High Income"))</f>
        <v>Low Income</v>
      </c>
      <c r="U250" t="s">
        <v>91</v>
      </c>
      <c r="V250" t="s">
        <v>91</v>
      </c>
      <c r="W250" t="s">
        <v>91</v>
      </c>
      <c r="X250" t="s">
        <v>91</v>
      </c>
      <c r="Y250">
        <v>18697</v>
      </c>
      <c r="Z250">
        <v>2</v>
      </c>
      <c r="AA250" t="s">
        <v>42</v>
      </c>
      <c r="AB250" t="s">
        <v>43</v>
      </c>
      <c r="AC250">
        <v>14</v>
      </c>
      <c r="AD250">
        <v>3</v>
      </c>
      <c r="AE250">
        <v>1</v>
      </c>
      <c r="AF250">
        <v>80</v>
      </c>
      <c r="AG250">
        <v>1</v>
      </c>
      <c r="AH2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50">
        <v>17</v>
      </c>
      <c r="AJ250" t="s">
        <v>74</v>
      </c>
      <c r="AK250">
        <v>2</v>
      </c>
      <c r="AL250" t="s">
        <v>74</v>
      </c>
      <c r="AM250">
        <v>2</v>
      </c>
      <c r="AN250" t="s">
        <v>74</v>
      </c>
      <c r="AO250">
        <v>3</v>
      </c>
      <c r="AP250" t="s">
        <v>74</v>
      </c>
      <c r="AQ250">
        <v>1</v>
      </c>
      <c r="AR250">
        <v>0</v>
      </c>
      <c r="AS250">
        <v>2</v>
      </c>
    </row>
    <row r="251" spans="1:4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 t="str">
        <f>IF(Employee_data[[#This Row],[MonthlyIncome]]&lt;5000,"Low Income",
IF(Employee_data[[#This Row],[MonthlyIncome]]&lt;10000,"Medium Income","High Income"))</f>
        <v>Medium Income</v>
      </c>
      <c r="U251" t="s">
        <v>92</v>
      </c>
      <c r="V251" t="s">
        <v>92</v>
      </c>
      <c r="W251" t="s">
        <v>92</v>
      </c>
      <c r="X251" t="s">
        <v>92</v>
      </c>
      <c r="Y251">
        <v>5118</v>
      </c>
      <c r="Z251">
        <v>4</v>
      </c>
      <c r="AA251" t="s">
        <v>42</v>
      </c>
      <c r="AB251" t="s">
        <v>43</v>
      </c>
      <c r="AC251">
        <v>17</v>
      </c>
      <c r="AD251">
        <v>3</v>
      </c>
      <c r="AE251">
        <v>4</v>
      </c>
      <c r="AF251">
        <v>80</v>
      </c>
      <c r="AG251">
        <v>1</v>
      </c>
      <c r="AH2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51">
        <v>9</v>
      </c>
      <c r="AJ251" t="s">
        <v>74</v>
      </c>
      <c r="AK251">
        <v>1</v>
      </c>
      <c r="AL251" t="s">
        <v>74</v>
      </c>
      <c r="AM251">
        <v>3</v>
      </c>
      <c r="AN251" t="s">
        <v>74</v>
      </c>
      <c r="AO251">
        <v>3</v>
      </c>
      <c r="AP251" t="s">
        <v>74</v>
      </c>
      <c r="AQ251">
        <v>2</v>
      </c>
      <c r="AR251">
        <v>0</v>
      </c>
      <c r="AS251">
        <v>2</v>
      </c>
    </row>
    <row r="252" spans="1:4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 t="str">
        <f>IF(Employee_data[[#This Row],[MonthlyIncome]]&lt;5000,"Low Income",
IF(Employee_data[[#This Row],[MonthlyIncome]]&lt;10000,"Medium Income","High Income"))</f>
        <v>High Income</v>
      </c>
      <c r="U252" t="s">
        <v>90</v>
      </c>
      <c r="V252" t="s">
        <v>90</v>
      </c>
      <c r="W252" t="s">
        <v>90</v>
      </c>
      <c r="X252" t="s">
        <v>90</v>
      </c>
      <c r="Y252">
        <v>22573</v>
      </c>
      <c r="Z252">
        <v>6</v>
      </c>
      <c r="AA252" t="s">
        <v>42</v>
      </c>
      <c r="AB252" t="s">
        <v>43</v>
      </c>
      <c r="AC252">
        <v>11</v>
      </c>
      <c r="AD252">
        <v>3</v>
      </c>
      <c r="AE252">
        <v>2</v>
      </c>
      <c r="AF252">
        <v>80</v>
      </c>
      <c r="AG252">
        <v>2</v>
      </c>
      <c r="AH2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52">
        <v>17</v>
      </c>
      <c r="AJ252" t="s">
        <v>74</v>
      </c>
      <c r="AK252">
        <v>5</v>
      </c>
      <c r="AL252" t="s">
        <v>74</v>
      </c>
      <c r="AM252">
        <v>3</v>
      </c>
      <c r="AN252" t="s">
        <v>74</v>
      </c>
      <c r="AO252">
        <v>1</v>
      </c>
      <c r="AP252" t="s">
        <v>74</v>
      </c>
      <c r="AQ252">
        <v>0</v>
      </c>
      <c r="AR252">
        <v>0</v>
      </c>
      <c r="AS252">
        <v>0</v>
      </c>
    </row>
    <row r="253" spans="1:4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 t="str">
        <f>IF(Employee_data[[#This Row],[MonthlyIncome]]&lt;5000,"Low Income",
IF(Employee_data[[#This Row],[MonthlyIncome]]&lt;10000,"Medium Income","High Income"))</f>
        <v>High Income</v>
      </c>
      <c r="U253" t="s">
        <v>90</v>
      </c>
      <c r="V253" t="s">
        <v>90</v>
      </c>
      <c r="W253" t="s">
        <v>90</v>
      </c>
      <c r="X253" t="s">
        <v>90</v>
      </c>
      <c r="Y253">
        <v>6420</v>
      </c>
      <c r="Z253">
        <v>0</v>
      </c>
      <c r="AA253" t="s">
        <v>42</v>
      </c>
      <c r="AB253" t="s">
        <v>43</v>
      </c>
      <c r="AC253">
        <v>25</v>
      </c>
      <c r="AD253">
        <v>4</v>
      </c>
      <c r="AE253">
        <v>4</v>
      </c>
      <c r="AF253">
        <v>80</v>
      </c>
      <c r="AG253">
        <v>0</v>
      </c>
      <c r="AH2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53">
        <v>20</v>
      </c>
      <c r="AJ253" t="s">
        <v>76</v>
      </c>
      <c r="AK253">
        <v>1</v>
      </c>
      <c r="AL253" t="s">
        <v>76</v>
      </c>
      <c r="AM253">
        <v>3</v>
      </c>
      <c r="AN253" t="s">
        <v>76</v>
      </c>
      <c r="AO253">
        <v>19</v>
      </c>
      <c r="AP253" t="s">
        <v>76</v>
      </c>
      <c r="AQ253">
        <v>6</v>
      </c>
      <c r="AR253">
        <v>11</v>
      </c>
      <c r="AS253">
        <v>8</v>
      </c>
    </row>
    <row r="254" spans="1:4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 t="str">
        <f>IF(Employee_data[[#This Row],[MonthlyIncome]]&lt;5000,"Low Income",
IF(Employee_data[[#This Row],[MonthlyIncome]]&lt;10000,"Medium Income","High Income"))</f>
        <v>Low Income</v>
      </c>
      <c r="U254" t="s">
        <v>91</v>
      </c>
      <c r="V254" t="s">
        <v>91</v>
      </c>
      <c r="W254" t="s">
        <v>91</v>
      </c>
      <c r="X254" t="s">
        <v>91</v>
      </c>
      <c r="Y254">
        <v>22673</v>
      </c>
      <c r="Z254">
        <v>1</v>
      </c>
      <c r="AA254" t="s">
        <v>42</v>
      </c>
      <c r="AB254" t="s">
        <v>43</v>
      </c>
      <c r="AC254">
        <v>19</v>
      </c>
      <c r="AD254">
        <v>3</v>
      </c>
      <c r="AE254">
        <v>1</v>
      </c>
      <c r="AF254">
        <v>80</v>
      </c>
      <c r="AG254">
        <v>0</v>
      </c>
      <c r="AH2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54">
        <v>6</v>
      </c>
      <c r="AJ254" t="s">
        <v>78</v>
      </c>
      <c r="AK254">
        <v>1</v>
      </c>
      <c r="AL254" t="s">
        <v>78</v>
      </c>
      <c r="AM254">
        <v>3</v>
      </c>
      <c r="AN254" t="s">
        <v>78</v>
      </c>
      <c r="AO254">
        <v>6</v>
      </c>
      <c r="AP254" t="s">
        <v>78</v>
      </c>
      <c r="AQ254">
        <v>5</v>
      </c>
      <c r="AR254">
        <v>1</v>
      </c>
      <c r="AS254">
        <v>5</v>
      </c>
    </row>
    <row r="255" spans="1:4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 t="str">
        <f>IF(Employee_data[[#This Row],[MonthlyIncome]]&lt;5000,"Low Income",
IF(Employee_data[[#This Row],[MonthlyIncome]]&lt;10000,"Medium Income","High Income"))</f>
        <v>Medium Income</v>
      </c>
      <c r="U255" t="s">
        <v>92</v>
      </c>
      <c r="V255" t="s">
        <v>92</v>
      </c>
      <c r="W255" t="s">
        <v>92</v>
      </c>
      <c r="X255" t="s">
        <v>92</v>
      </c>
      <c r="Y255">
        <v>23016</v>
      </c>
      <c r="Z255">
        <v>3</v>
      </c>
      <c r="AA255" t="s">
        <v>42</v>
      </c>
      <c r="AB255" t="s">
        <v>35</v>
      </c>
      <c r="AC255">
        <v>13</v>
      </c>
      <c r="AD255">
        <v>3</v>
      </c>
      <c r="AE255">
        <v>3</v>
      </c>
      <c r="AF255">
        <v>80</v>
      </c>
      <c r="AG255">
        <v>0</v>
      </c>
      <c r="AH2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55">
        <v>10</v>
      </c>
      <c r="AJ255" t="s">
        <v>74</v>
      </c>
      <c r="AK255">
        <v>1</v>
      </c>
      <c r="AL255" t="s">
        <v>74</v>
      </c>
      <c r="AM255">
        <v>3</v>
      </c>
      <c r="AN255" t="s">
        <v>74</v>
      </c>
      <c r="AO255">
        <v>3</v>
      </c>
      <c r="AP255" t="s">
        <v>74</v>
      </c>
      <c r="AQ255">
        <v>2</v>
      </c>
      <c r="AR255">
        <v>0</v>
      </c>
      <c r="AS255">
        <v>2</v>
      </c>
    </row>
    <row r="256" spans="1:4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 t="str">
        <f>IF(Employee_data[[#This Row],[MonthlyIncome]]&lt;5000,"Low Income",
IF(Employee_data[[#This Row],[MonthlyIncome]]&lt;10000,"Medium Income","High Income"))</f>
        <v>Medium Income</v>
      </c>
      <c r="U256" t="s">
        <v>92</v>
      </c>
      <c r="V256" t="s">
        <v>92</v>
      </c>
      <c r="W256" t="s">
        <v>92</v>
      </c>
      <c r="X256" t="s">
        <v>92</v>
      </c>
      <c r="Y256">
        <v>10732</v>
      </c>
      <c r="Z256">
        <v>2</v>
      </c>
      <c r="AA256" t="s">
        <v>42</v>
      </c>
      <c r="AB256" t="s">
        <v>43</v>
      </c>
      <c r="AC256">
        <v>14</v>
      </c>
      <c r="AD256">
        <v>3</v>
      </c>
      <c r="AE256">
        <v>4</v>
      </c>
      <c r="AF256">
        <v>80</v>
      </c>
      <c r="AG256">
        <v>1</v>
      </c>
      <c r="AH2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56">
        <v>10</v>
      </c>
      <c r="AJ256" t="s">
        <v>74</v>
      </c>
      <c r="AK256">
        <v>2</v>
      </c>
      <c r="AL256" t="s">
        <v>74</v>
      </c>
      <c r="AM256">
        <v>3</v>
      </c>
      <c r="AN256" t="s">
        <v>74</v>
      </c>
      <c r="AO256">
        <v>3</v>
      </c>
      <c r="AP256" t="s">
        <v>74</v>
      </c>
      <c r="AQ256">
        <v>2</v>
      </c>
      <c r="AR256">
        <v>0</v>
      </c>
      <c r="AS256">
        <v>2</v>
      </c>
    </row>
    <row r="257" spans="1:4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 t="str">
        <f>IF(Employee_data[[#This Row],[MonthlyIncome]]&lt;5000,"Low Income",
IF(Employee_data[[#This Row],[MonthlyIncome]]&lt;10000,"Medium Income","High Income"))</f>
        <v>Low Income</v>
      </c>
      <c r="U257" t="s">
        <v>91</v>
      </c>
      <c r="V257" t="s">
        <v>91</v>
      </c>
      <c r="W257" t="s">
        <v>91</v>
      </c>
      <c r="X257" t="s">
        <v>91</v>
      </c>
      <c r="Y257">
        <v>7505</v>
      </c>
      <c r="Z257">
        <v>0</v>
      </c>
      <c r="AA257" t="s">
        <v>42</v>
      </c>
      <c r="AB257" t="s">
        <v>43</v>
      </c>
      <c r="AC257">
        <v>12</v>
      </c>
      <c r="AD257">
        <v>3</v>
      </c>
      <c r="AE257">
        <v>4</v>
      </c>
      <c r="AF257">
        <v>80</v>
      </c>
      <c r="AG257">
        <v>2</v>
      </c>
      <c r="AH2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57">
        <v>5</v>
      </c>
      <c r="AJ257" t="s">
        <v>74</v>
      </c>
      <c r="AK257">
        <v>3</v>
      </c>
      <c r="AL257" t="s">
        <v>74</v>
      </c>
      <c r="AM257">
        <v>3</v>
      </c>
      <c r="AN257" t="s">
        <v>74</v>
      </c>
      <c r="AO257">
        <v>4</v>
      </c>
      <c r="AP257" t="s">
        <v>74</v>
      </c>
      <c r="AQ257">
        <v>2</v>
      </c>
      <c r="AR257">
        <v>1</v>
      </c>
      <c r="AS257">
        <v>2</v>
      </c>
    </row>
    <row r="258" spans="1:4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 t="str">
        <f>IF(Employee_data[[#This Row],[MonthlyIncome]]&lt;5000,"Low Income",
IF(Employee_data[[#This Row],[MonthlyIncome]]&lt;10000,"Medium Income","High Income"))</f>
        <v>Low Income</v>
      </c>
      <c r="U258" t="s">
        <v>91</v>
      </c>
      <c r="V258" t="s">
        <v>91</v>
      </c>
      <c r="W258" t="s">
        <v>91</v>
      </c>
      <c r="X258" t="s">
        <v>91</v>
      </c>
      <c r="Y258">
        <v>8007</v>
      </c>
      <c r="Z258">
        <v>0</v>
      </c>
      <c r="AA258" t="s">
        <v>42</v>
      </c>
      <c r="AB258" t="s">
        <v>35</v>
      </c>
      <c r="AC258">
        <v>11</v>
      </c>
      <c r="AD258">
        <v>3</v>
      </c>
      <c r="AE258">
        <v>3</v>
      </c>
      <c r="AF258">
        <v>80</v>
      </c>
      <c r="AG258">
        <v>1</v>
      </c>
      <c r="AH2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58">
        <v>10</v>
      </c>
      <c r="AJ258" t="s">
        <v>78</v>
      </c>
      <c r="AK258">
        <v>4</v>
      </c>
      <c r="AL258" t="s">
        <v>78</v>
      </c>
      <c r="AM258">
        <v>3</v>
      </c>
      <c r="AN258" t="s">
        <v>78</v>
      </c>
      <c r="AO258">
        <v>9</v>
      </c>
      <c r="AP258" t="s">
        <v>78</v>
      </c>
      <c r="AQ258">
        <v>6</v>
      </c>
      <c r="AR258">
        <v>7</v>
      </c>
      <c r="AS258">
        <v>8</v>
      </c>
    </row>
    <row r="259" spans="1:4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 t="str">
        <f>IF(Employee_data[[#This Row],[MonthlyIncome]]&lt;5000,"Low Income",
IF(Employee_data[[#This Row],[MonthlyIncome]]&lt;10000,"Medium Income","High Income"))</f>
        <v>High Income</v>
      </c>
      <c r="U259" t="s">
        <v>90</v>
      </c>
      <c r="V259" t="s">
        <v>90</v>
      </c>
      <c r="W259" t="s">
        <v>90</v>
      </c>
      <c r="X259" t="s">
        <v>90</v>
      </c>
      <c r="Y259">
        <v>5949</v>
      </c>
      <c r="Z259">
        <v>0</v>
      </c>
      <c r="AA259" t="s">
        <v>42</v>
      </c>
      <c r="AB259" t="s">
        <v>43</v>
      </c>
      <c r="AC259">
        <v>19</v>
      </c>
      <c r="AD259">
        <v>3</v>
      </c>
      <c r="AE259">
        <v>4</v>
      </c>
      <c r="AF259">
        <v>80</v>
      </c>
      <c r="AG259">
        <v>1</v>
      </c>
      <c r="AH2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59">
        <v>22</v>
      </c>
      <c r="AJ259" t="s">
        <v>76</v>
      </c>
      <c r="AK259">
        <v>5</v>
      </c>
      <c r="AL259" t="s">
        <v>76</v>
      </c>
      <c r="AM259">
        <v>3</v>
      </c>
      <c r="AN259" t="s">
        <v>76</v>
      </c>
      <c r="AO259">
        <v>21</v>
      </c>
      <c r="AP259" t="s">
        <v>76</v>
      </c>
      <c r="AQ259">
        <v>7</v>
      </c>
      <c r="AR259">
        <v>3</v>
      </c>
      <c r="AS259">
        <v>9</v>
      </c>
    </row>
    <row r="260" spans="1:4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 t="str">
        <f>IF(Employee_data[[#This Row],[MonthlyIncome]]&lt;5000,"Low Income",
IF(Employee_data[[#This Row],[MonthlyIncome]]&lt;10000,"Medium Income","High Income"))</f>
        <v>Low Income</v>
      </c>
      <c r="U260" t="s">
        <v>91</v>
      </c>
      <c r="V260" t="s">
        <v>91</v>
      </c>
      <c r="W260" t="s">
        <v>91</v>
      </c>
      <c r="X260" t="s">
        <v>91</v>
      </c>
      <c r="Y260">
        <v>23231</v>
      </c>
      <c r="Z260">
        <v>1</v>
      </c>
      <c r="AA260" t="s">
        <v>42</v>
      </c>
      <c r="AB260" t="s">
        <v>43</v>
      </c>
      <c r="AC260">
        <v>11</v>
      </c>
      <c r="AD260">
        <v>3</v>
      </c>
      <c r="AE260">
        <v>2</v>
      </c>
      <c r="AF260">
        <v>80</v>
      </c>
      <c r="AG260">
        <v>0</v>
      </c>
      <c r="AH2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60">
        <v>1</v>
      </c>
      <c r="AJ260" t="s">
        <v>74</v>
      </c>
      <c r="AK260">
        <v>0</v>
      </c>
      <c r="AL260" t="s">
        <v>74</v>
      </c>
      <c r="AM260">
        <v>2</v>
      </c>
      <c r="AN260" t="s">
        <v>74</v>
      </c>
      <c r="AO260">
        <v>1</v>
      </c>
      <c r="AP260" t="s">
        <v>74</v>
      </c>
      <c r="AQ260">
        <v>0</v>
      </c>
      <c r="AR260">
        <v>0</v>
      </c>
      <c r="AS260">
        <v>0</v>
      </c>
    </row>
    <row r="261" spans="1:4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 t="str">
        <f>IF(Employee_data[[#This Row],[MonthlyIncome]]&lt;5000,"Low Income",
IF(Employee_data[[#This Row],[MonthlyIncome]]&lt;10000,"Medium Income","High Income"))</f>
        <v>Low Income</v>
      </c>
      <c r="U261" t="s">
        <v>91</v>
      </c>
      <c r="V261" t="s">
        <v>91</v>
      </c>
      <c r="W261" t="s">
        <v>91</v>
      </c>
      <c r="X261" t="s">
        <v>91</v>
      </c>
      <c r="Y261">
        <v>11652</v>
      </c>
      <c r="Z261">
        <v>0</v>
      </c>
      <c r="AA261" t="s">
        <v>42</v>
      </c>
      <c r="AB261" t="s">
        <v>43</v>
      </c>
      <c r="AC261">
        <v>11</v>
      </c>
      <c r="AD261">
        <v>3</v>
      </c>
      <c r="AE261">
        <v>2</v>
      </c>
      <c r="AF261">
        <v>80</v>
      </c>
      <c r="AG261">
        <v>0</v>
      </c>
      <c r="AH2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61">
        <v>6</v>
      </c>
      <c r="AJ261" t="s">
        <v>78</v>
      </c>
      <c r="AK261">
        <v>2</v>
      </c>
      <c r="AL261" t="s">
        <v>78</v>
      </c>
      <c r="AM261">
        <v>4</v>
      </c>
      <c r="AN261" t="s">
        <v>78</v>
      </c>
      <c r="AO261">
        <v>5</v>
      </c>
      <c r="AP261" t="s">
        <v>78</v>
      </c>
      <c r="AQ261">
        <v>4</v>
      </c>
      <c r="AR261">
        <v>1</v>
      </c>
      <c r="AS261">
        <v>4</v>
      </c>
    </row>
    <row r="262" spans="1:4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 t="str">
        <f>IF(Employee_data[[#This Row],[MonthlyIncome]]&lt;5000,"Low Income",
IF(Employee_data[[#This Row],[MonthlyIncome]]&lt;10000,"Medium Income","High Income"))</f>
        <v>Low Income</v>
      </c>
      <c r="U262" t="s">
        <v>91</v>
      </c>
      <c r="V262" t="s">
        <v>91</v>
      </c>
      <c r="W262" t="s">
        <v>91</v>
      </c>
      <c r="X262" t="s">
        <v>91</v>
      </c>
      <c r="Y262">
        <v>26062</v>
      </c>
      <c r="Z262">
        <v>1</v>
      </c>
      <c r="AA262" t="s">
        <v>42</v>
      </c>
      <c r="AB262" t="s">
        <v>43</v>
      </c>
      <c r="AC262">
        <v>20</v>
      </c>
      <c r="AD262">
        <v>4</v>
      </c>
      <c r="AE262">
        <v>3</v>
      </c>
      <c r="AF262">
        <v>80</v>
      </c>
      <c r="AG262">
        <v>0</v>
      </c>
      <c r="AH2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62">
        <v>5</v>
      </c>
      <c r="AJ262" t="s">
        <v>78</v>
      </c>
      <c r="AK262">
        <v>3</v>
      </c>
      <c r="AL262" t="s">
        <v>78</v>
      </c>
      <c r="AM262">
        <v>1</v>
      </c>
      <c r="AN262" t="s">
        <v>78</v>
      </c>
      <c r="AO262">
        <v>5</v>
      </c>
      <c r="AP262" t="s">
        <v>78</v>
      </c>
      <c r="AQ262">
        <v>1</v>
      </c>
      <c r="AR262">
        <v>0</v>
      </c>
      <c r="AS262">
        <v>3</v>
      </c>
    </row>
    <row r="263" spans="1:4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 t="str">
        <f>IF(Employee_data[[#This Row],[MonthlyIncome]]&lt;5000,"Low Income",
IF(Employee_data[[#This Row],[MonthlyIncome]]&lt;10000,"Medium Income","High Income"))</f>
        <v>Medium Income</v>
      </c>
      <c r="U263" t="s">
        <v>92</v>
      </c>
      <c r="V263" t="s">
        <v>92</v>
      </c>
      <c r="W263" t="s">
        <v>92</v>
      </c>
      <c r="X263" t="s">
        <v>92</v>
      </c>
      <c r="Y263">
        <v>19682</v>
      </c>
      <c r="Z263">
        <v>3</v>
      </c>
      <c r="AA263" t="s">
        <v>42</v>
      </c>
      <c r="AB263" t="s">
        <v>43</v>
      </c>
      <c r="AC263">
        <v>18</v>
      </c>
      <c r="AD263">
        <v>3</v>
      </c>
      <c r="AE263">
        <v>4</v>
      </c>
      <c r="AF263">
        <v>80</v>
      </c>
      <c r="AG263">
        <v>1</v>
      </c>
      <c r="AH2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63">
        <v>13</v>
      </c>
      <c r="AJ263" t="s">
        <v>78</v>
      </c>
      <c r="AK263">
        <v>0</v>
      </c>
      <c r="AL263" t="s">
        <v>78</v>
      </c>
      <c r="AM263">
        <v>3</v>
      </c>
      <c r="AN263" t="s">
        <v>78</v>
      </c>
      <c r="AO263">
        <v>8</v>
      </c>
      <c r="AP263" t="s">
        <v>78</v>
      </c>
      <c r="AQ263">
        <v>7</v>
      </c>
      <c r="AR263">
        <v>7</v>
      </c>
      <c r="AS263">
        <v>5</v>
      </c>
    </row>
    <row r="264" spans="1:4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 t="str">
        <f>IF(Employee_data[[#This Row],[MonthlyIncome]]&lt;5000,"Low Income",
IF(Employee_data[[#This Row],[MonthlyIncome]]&lt;10000,"Medium Income","High Income"))</f>
        <v>Low Income</v>
      </c>
      <c r="U264" t="s">
        <v>91</v>
      </c>
      <c r="V264" t="s">
        <v>91</v>
      </c>
      <c r="W264" t="s">
        <v>91</v>
      </c>
      <c r="X264" t="s">
        <v>91</v>
      </c>
      <c r="Y264">
        <v>19737</v>
      </c>
      <c r="Z264">
        <v>4</v>
      </c>
      <c r="AA264" t="s">
        <v>42</v>
      </c>
      <c r="AB264" t="s">
        <v>43</v>
      </c>
      <c r="AC264">
        <v>13</v>
      </c>
      <c r="AD264">
        <v>3</v>
      </c>
      <c r="AE264">
        <v>4</v>
      </c>
      <c r="AF264">
        <v>80</v>
      </c>
      <c r="AG264">
        <v>0</v>
      </c>
      <c r="AH2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64">
        <v>9</v>
      </c>
      <c r="AJ264" t="s">
        <v>78</v>
      </c>
      <c r="AK264">
        <v>5</v>
      </c>
      <c r="AL264" t="s">
        <v>78</v>
      </c>
      <c r="AM264">
        <v>3</v>
      </c>
      <c r="AN264" t="s">
        <v>78</v>
      </c>
      <c r="AO264">
        <v>6</v>
      </c>
      <c r="AP264" t="s">
        <v>78</v>
      </c>
      <c r="AQ264">
        <v>2</v>
      </c>
      <c r="AR264">
        <v>0</v>
      </c>
      <c r="AS264">
        <v>4</v>
      </c>
    </row>
    <row r="265" spans="1:4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 t="str">
        <f>IF(Employee_data[[#This Row],[MonthlyIncome]]&lt;5000,"Low Income",
IF(Employee_data[[#This Row],[MonthlyIncome]]&lt;10000,"Medium Income","High Income"))</f>
        <v>High Income</v>
      </c>
      <c r="U265" t="s">
        <v>90</v>
      </c>
      <c r="V265" t="s">
        <v>90</v>
      </c>
      <c r="W265" t="s">
        <v>90</v>
      </c>
      <c r="X265" t="s">
        <v>90</v>
      </c>
      <c r="Y265">
        <v>14977</v>
      </c>
      <c r="Z265">
        <v>3</v>
      </c>
      <c r="AA265" t="s">
        <v>42</v>
      </c>
      <c r="AB265" t="s">
        <v>35</v>
      </c>
      <c r="AC265">
        <v>12</v>
      </c>
      <c r="AD265">
        <v>3</v>
      </c>
      <c r="AE265">
        <v>2</v>
      </c>
      <c r="AF265">
        <v>80</v>
      </c>
      <c r="AG265">
        <v>1</v>
      </c>
      <c r="AH2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65">
        <v>28</v>
      </c>
      <c r="AJ265" t="s">
        <v>78</v>
      </c>
      <c r="AK265">
        <v>2</v>
      </c>
      <c r="AL265" t="s">
        <v>78</v>
      </c>
      <c r="AM265">
        <v>2</v>
      </c>
      <c r="AN265" t="s">
        <v>78</v>
      </c>
      <c r="AO265">
        <v>7</v>
      </c>
      <c r="AP265" t="s">
        <v>78</v>
      </c>
      <c r="AQ265">
        <v>7</v>
      </c>
      <c r="AR265">
        <v>7</v>
      </c>
      <c r="AS265">
        <v>7</v>
      </c>
    </row>
    <row r="266" spans="1:4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 t="str">
        <f>IF(Employee_data[[#This Row],[MonthlyIncome]]&lt;5000,"Low Income",
IF(Employee_data[[#This Row],[MonthlyIncome]]&lt;10000,"Medium Income","High Income"))</f>
        <v>Low Income</v>
      </c>
      <c r="U266" t="s">
        <v>91</v>
      </c>
      <c r="V266" t="s">
        <v>91</v>
      </c>
      <c r="W266" t="s">
        <v>91</v>
      </c>
      <c r="X266" t="s">
        <v>91</v>
      </c>
      <c r="Y266">
        <v>14935</v>
      </c>
      <c r="Z266">
        <v>2</v>
      </c>
      <c r="AA266" t="s">
        <v>42</v>
      </c>
      <c r="AB266" t="s">
        <v>43</v>
      </c>
      <c r="AC266">
        <v>11</v>
      </c>
      <c r="AD266">
        <v>3</v>
      </c>
      <c r="AE266">
        <v>3</v>
      </c>
      <c r="AF266">
        <v>80</v>
      </c>
      <c r="AG266">
        <v>0</v>
      </c>
      <c r="AH2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66">
        <v>5</v>
      </c>
      <c r="AJ266" t="s">
        <v>74</v>
      </c>
      <c r="AK266">
        <v>5</v>
      </c>
      <c r="AL266" t="s">
        <v>74</v>
      </c>
      <c r="AM266">
        <v>1</v>
      </c>
      <c r="AN266" t="s">
        <v>74</v>
      </c>
      <c r="AO266">
        <v>0</v>
      </c>
      <c r="AP266" t="s">
        <v>74</v>
      </c>
      <c r="AQ266">
        <v>0</v>
      </c>
      <c r="AR266">
        <v>0</v>
      </c>
      <c r="AS266">
        <v>0</v>
      </c>
    </row>
    <row r="267" spans="1:4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 t="str">
        <f>IF(Employee_data[[#This Row],[MonthlyIncome]]&lt;5000,"Low Income",
IF(Employee_data[[#This Row],[MonthlyIncome]]&lt;10000,"Medium Income","High Income"))</f>
        <v>Medium Income</v>
      </c>
      <c r="U267" t="s">
        <v>92</v>
      </c>
      <c r="V267" t="s">
        <v>92</v>
      </c>
      <c r="W267" t="s">
        <v>92</v>
      </c>
      <c r="X267" t="s">
        <v>92</v>
      </c>
      <c r="Y267">
        <v>3687</v>
      </c>
      <c r="Z267">
        <v>2</v>
      </c>
      <c r="AA267" t="s">
        <v>42</v>
      </c>
      <c r="AB267" t="s">
        <v>43</v>
      </c>
      <c r="AC267">
        <v>19</v>
      </c>
      <c r="AD267">
        <v>3</v>
      </c>
      <c r="AE267">
        <v>2</v>
      </c>
      <c r="AF267">
        <v>80</v>
      </c>
      <c r="AG267">
        <v>2</v>
      </c>
      <c r="AH2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67">
        <v>10</v>
      </c>
      <c r="AJ267" t="s">
        <v>74</v>
      </c>
      <c r="AK267">
        <v>2</v>
      </c>
      <c r="AL267" t="s">
        <v>74</v>
      </c>
      <c r="AM267">
        <v>3</v>
      </c>
      <c r="AN267" t="s">
        <v>74</v>
      </c>
      <c r="AO267">
        <v>0</v>
      </c>
      <c r="AP267" t="s">
        <v>74</v>
      </c>
      <c r="AQ267">
        <v>0</v>
      </c>
      <c r="AR267">
        <v>0</v>
      </c>
      <c r="AS267">
        <v>0</v>
      </c>
    </row>
    <row r="268" spans="1:4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 t="str">
        <f>IF(Employee_data[[#This Row],[MonthlyIncome]]&lt;5000,"Low Income",
IF(Employee_data[[#This Row],[MonthlyIncome]]&lt;10000,"Medium Income","High Income"))</f>
        <v>Medium Income</v>
      </c>
      <c r="U268" t="s">
        <v>92</v>
      </c>
      <c r="V268" t="s">
        <v>92</v>
      </c>
      <c r="W268" t="s">
        <v>92</v>
      </c>
      <c r="X268" t="s">
        <v>92</v>
      </c>
      <c r="Y268">
        <v>14408</v>
      </c>
      <c r="Z268">
        <v>0</v>
      </c>
      <c r="AA268" t="s">
        <v>42</v>
      </c>
      <c r="AB268" t="s">
        <v>43</v>
      </c>
      <c r="AC268">
        <v>21</v>
      </c>
      <c r="AD268">
        <v>4</v>
      </c>
      <c r="AE268">
        <v>2</v>
      </c>
      <c r="AF268">
        <v>80</v>
      </c>
      <c r="AG268">
        <v>1</v>
      </c>
      <c r="AH2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68">
        <v>10</v>
      </c>
      <c r="AJ268" t="s">
        <v>78</v>
      </c>
      <c r="AK268">
        <v>2</v>
      </c>
      <c r="AL268" t="s">
        <v>78</v>
      </c>
      <c r="AM268">
        <v>3</v>
      </c>
      <c r="AN268" t="s">
        <v>78</v>
      </c>
      <c r="AO268">
        <v>9</v>
      </c>
      <c r="AP268" t="s">
        <v>78</v>
      </c>
      <c r="AQ268">
        <v>0</v>
      </c>
      <c r="AR268">
        <v>7</v>
      </c>
      <c r="AS268">
        <v>8</v>
      </c>
    </row>
    <row r="269" spans="1:4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 t="str">
        <f>IF(Employee_data[[#This Row],[MonthlyIncome]]&lt;5000,"Low Income",
IF(Employee_data[[#This Row],[MonthlyIncome]]&lt;10000,"Medium Income","High Income"))</f>
        <v>Low Income</v>
      </c>
      <c r="U269" t="s">
        <v>91</v>
      </c>
      <c r="V269" t="s">
        <v>91</v>
      </c>
      <c r="W269" t="s">
        <v>91</v>
      </c>
      <c r="X269" t="s">
        <v>91</v>
      </c>
      <c r="Y269">
        <v>18384</v>
      </c>
      <c r="Z269">
        <v>1</v>
      </c>
      <c r="AA269" t="s">
        <v>42</v>
      </c>
      <c r="AB269" t="s">
        <v>43</v>
      </c>
      <c r="AC269">
        <v>12</v>
      </c>
      <c r="AD269">
        <v>3</v>
      </c>
      <c r="AE269">
        <v>4</v>
      </c>
      <c r="AF269">
        <v>80</v>
      </c>
      <c r="AG269">
        <v>2</v>
      </c>
      <c r="AH2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69">
        <v>6</v>
      </c>
      <c r="AJ269" t="s">
        <v>78</v>
      </c>
      <c r="AK269">
        <v>2</v>
      </c>
      <c r="AL269" t="s">
        <v>78</v>
      </c>
      <c r="AM269">
        <v>3</v>
      </c>
      <c r="AN269" t="s">
        <v>78</v>
      </c>
      <c r="AO269">
        <v>6</v>
      </c>
      <c r="AP269" t="s">
        <v>78</v>
      </c>
      <c r="AQ269">
        <v>3</v>
      </c>
      <c r="AR269">
        <v>1</v>
      </c>
      <c r="AS269">
        <v>5</v>
      </c>
    </row>
    <row r="270" spans="1:4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 t="str">
        <f>IF(Employee_data[[#This Row],[MonthlyIncome]]&lt;5000,"Low Income",
IF(Employee_data[[#This Row],[MonthlyIncome]]&lt;10000,"Medium Income","High Income"))</f>
        <v>High Income</v>
      </c>
      <c r="U270" t="s">
        <v>90</v>
      </c>
      <c r="V270" t="s">
        <v>90</v>
      </c>
      <c r="W270" t="s">
        <v>90</v>
      </c>
      <c r="X270" t="s">
        <v>90</v>
      </c>
      <c r="Y270">
        <v>7501</v>
      </c>
      <c r="Z270">
        <v>0</v>
      </c>
      <c r="AA270" t="s">
        <v>42</v>
      </c>
      <c r="AB270" t="s">
        <v>35</v>
      </c>
      <c r="AC270">
        <v>14</v>
      </c>
      <c r="AD270">
        <v>3</v>
      </c>
      <c r="AE270">
        <v>2</v>
      </c>
      <c r="AF270">
        <v>80</v>
      </c>
      <c r="AG270">
        <v>0</v>
      </c>
      <c r="AH2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70">
        <v>21</v>
      </c>
      <c r="AJ270" t="s">
        <v>76</v>
      </c>
      <c r="AK270">
        <v>2</v>
      </c>
      <c r="AL270" t="s">
        <v>76</v>
      </c>
      <c r="AM270">
        <v>3</v>
      </c>
      <c r="AN270" t="s">
        <v>76</v>
      </c>
      <c r="AO270">
        <v>20</v>
      </c>
      <c r="AP270" t="s">
        <v>76</v>
      </c>
      <c r="AQ270">
        <v>7</v>
      </c>
      <c r="AR270">
        <v>4</v>
      </c>
      <c r="AS270">
        <v>10</v>
      </c>
    </row>
    <row r="271" spans="1:4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 t="str">
        <f>IF(Employee_data[[#This Row],[MonthlyIncome]]&lt;5000,"Low Income",
IF(Employee_data[[#This Row],[MonthlyIncome]]&lt;10000,"Medium Income","High Income"))</f>
        <v>Low Income</v>
      </c>
      <c r="U271" t="s">
        <v>91</v>
      </c>
      <c r="V271" t="s">
        <v>91</v>
      </c>
      <c r="W271" t="s">
        <v>91</v>
      </c>
      <c r="X271" t="s">
        <v>91</v>
      </c>
      <c r="Y271">
        <v>20251</v>
      </c>
      <c r="Z271">
        <v>0</v>
      </c>
      <c r="AA271" t="s">
        <v>42</v>
      </c>
      <c r="AB271" t="s">
        <v>43</v>
      </c>
      <c r="AC271">
        <v>11</v>
      </c>
      <c r="AD271">
        <v>3</v>
      </c>
      <c r="AE271">
        <v>3</v>
      </c>
      <c r="AF271">
        <v>80</v>
      </c>
      <c r="AG271">
        <v>1</v>
      </c>
      <c r="AH2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71">
        <v>16</v>
      </c>
      <c r="AJ271" t="s">
        <v>76</v>
      </c>
      <c r="AK271">
        <v>4</v>
      </c>
      <c r="AL271" t="s">
        <v>76</v>
      </c>
      <c r="AM271">
        <v>3</v>
      </c>
      <c r="AN271" t="s">
        <v>76</v>
      </c>
      <c r="AO271">
        <v>15</v>
      </c>
      <c r="AP271" t="s">
        <v>76</v>
      </c>
      <c r="AQ271">
        <v>13</v>
      </c>
      <c r="AR271">
        <v>10</v>
      </c>
      <c r="AS271">
        <v>11</v>
      </c>
    </row>
    <row r="272" spans="1:4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 t="str">
        <f>IF(Employee_data[[#This Row],[MonthlyIncome]]&lt;5000,"Low Income",
IF(Employee_data[[#This Row],[MonthlyIncome]]&lt;10000,"Medium Income","High Income"))</f>
        <v>High Income</v>
      </c>
      <c r="U272" t="s">
        <v>90</v>
      </c>
      <c r="V272" t="s">
        <v>90</v>
      </c>
      <c r="W272" t="s">
        <v>90</v>
      </c>
      <c r="X272" t="s">
        <v>90</v>
      </c>
      <c r="Y272">
        <v>18938</v>
      </c>
      <c r="Z272">
        <v>0</v>
      </c>
      <c r="AA272" t="s">
        <v>42</v>
      </c>
      <c r="AB272" t="s">
        <v>35</v>
      </c>
      <c r="AC272">
        <v>14</v>
      </c>
      <c r="AD272">
        <v>3</v>
      </c>
      <c r="AE272">
        <v>3</v>
      </c>
      <c r="AF272">
        <v>80</v>
      </c>
      <c r="AG272">
        <v>0</v>
      </c>
      <c r="AH2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272">
        <v>37</v>
      </c>
      <c r="AJ272" t="s">
        <v>77</v>
      </c>
      <c r="AK272">
        <v>2</v>
      </c>
      <c r="AL272" t="s">
        <v>77</v>
      </c>
      <c r="AM272">
        <v>3</v>
      </c>
      <c r="AN272" t="s">
        <v>77</v>
      </c>
      <c r="AO272">
        <v>36</v>
      </c>
      <c r="AP272" t="s">
        <v>77</v>
      </c>
      <c r="AQ272">
        <v>10</v>
      </c>
      <c r="AR272">
        <v>4</v>
      </c>
      <c r="AS272">
        <v>13</v>
      </c>
    </row>
    <row r="273" spans="1:4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 t="str">
        <f>IF(Employee_data[[#This Row],[MonthlyIncome]]&lt;5000,"Low Income",
IF(Employee_data[[#This Row],[MonthlyIncome]]&lt;10000,"Medium Income","High Income"))</f>
        <v>High Income</v>
      </c>
      <c r="U273" t="s">
        <v>90</v>
      </c>
      <c r="V273" t="s">
        <v>90</v>
      </c>
      <c r="W273" t="s">
        <v>90</v>
      </c>
      <c r="X273" t="s">
        <v>90</v>
      </c>
      <c r="Y273">
        <v>10268</v>
      </c>
      <c r="Z273">
        <v>1</v>
      </c>
      <c r="AA273" t="s">
        <v>42</v>
      </c>
      <c r="AB273" t="s">
        <v>35</v>
      </c>
      <c r="AC273">
        <v>12</v>
      </c>
      <c r="AD273">
        <v>3</v>
      </c>
      <c r="AE273">
        <v>4</v>
      </c>
      <c r="AF273">
        <v>80</v>
      </c>
      <c r="AG273">
        <v>1</v>
      </c>
      <c r="AH2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73">
        <v>10</v>
      </c>
      <c r="AJ273" t="s">
        <v>75</v>
      </c>
      <c r="AK273">
        <v>2</v>
      </c>
      <c r="AL273" t="s">
        <v>75</v>
      </c>
      <c r="AM273">
        <v>2</v>
      </c>
      <c r="AN273" t="s">
        <v>75</v>
      </c>
      <c r="AO273">
        <v>10</v>
      </c>
      <c r="AP273" t="s">
        <v>75</v>
      </c>
      <c r="AQ273">
        <v>7</v>
      </c>
      <c r="AR273">
        <v>9</v>
      </c>
      <c r="AS273">
        <v>9</v>
      </c>
    </row>
    <row r="274" spans="1:4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 t="str">
        <f>IF(Employee_data[[#This Row],[MonthlyIncome]]&lt;5000,"Low Income",
IF(Employee_data[[#This Row],[MonthlyIncome]]&lt;10000,"Medium Income","High Income"))</f>
        <v>Low Income</v>
      </c>
      <c r="U274" t="s">
        <v>91</v>
      </c>
      <c r="V274" t="s">
        <v>91</v>
      </c>
      <c r="W274" t="s">
        <v>91</v>
      </c>
      <c r="X274" t="s">
        <v>91</v>
      </c>
      <c r="Y274">
        <v>2613</v>
      </c>
      <c r="Z274">
        <v>1</v>
      </c>
      <c r="AA274" t="s">
        <v>42</v>
      </c>
      <c r="AB274" t="s">
        <v>43</v>
      </c>
      <c r="AC274">
        <v>23</v>
      </c>
      <c r="AD274">
        <v>4</v>
      </c>
      <c r="AE274">
        <v>4</v>
      </c>
      <c r="AF274">
        <v>80</v>
      </c>
      <c r="AG274">
        <v>1</v>
      </c>
      <c r="AH2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74">
        <v>5</v>
      </c>
      <c r="AJ274" t="s">
        <v>78</v>
      </c>
      <c r="AK274">
        <v>3</v>
      </c>
      <c r="AL274" t="s">
        <v>78</v>
      </c>
      <c r="AM274">
        <v>2</v>
      </c>
      <c r="AN274" t="s">
        <v>78</v>
      </c>
      <c r="AO274">
        <v>5</v>
      </c>
      <c r="AP274" t="s">
        <v>78</v>
      </c>
      <c r="AQ274">
        <v>2</v>
      </c>
      <c r="AR274">
        <v>0</v>
      </c>
      <c r="AS274">
        <v>4</v>
      </c>
    </row>
    <row r="275" spans="1:4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 t="str">
        <f>IF(Employee_data[[#This Row],[MonthlyIncome]]&lt;5000,"Low Income",
IF(Employee_data[[#This Row],[MonthlyIncome]]&lt;10000,"Medium Income","High Income"))</f>
        <v>Medium Income</v>
      </c>
      <c r="U275" t="s">
        <v>92</v>
      </c>
      <c r="V275" t="s">
        <v>92</v>
      </c>
      <c r="W275" t="s">
        <v>92</v>
      </c>
      <c r="X275" t="s">
        <v>92</v>
      </c>
      <c r="Y275">
        <v>22825</v>
      </c>
      <c r="Z275">
        <v>4</v>
      </c>
      <c r="AA275" t="s">
        <v>42</v>
      </c>
      <c r="AB275" t="s">
        <v>43</v>
      </c>
      <c r="AC275">
        <v>14</v>
      </c>
      <c r="AD275">
        <v>3</v>
      </c>
      <c r="AE275">
        <v>2</v>
      </c>
      <c r="AF275">
        <v>80</v>
      </c>
      <c r="AG275">
        <v>1</v>
      </c>
      <c r="AH2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75">
        <v>7</v>
      </c>
      <c r="AJ275" t="s">
        <v>78</v>
      </c>
      <c r="AK275">
        <v>5</v>
      </c>
      <c r="AL275" t="s">
        <v>78</v>
      </c>
      <c r="AM275">
        <v>4</v>
      </c>
      <c r="AN275" t="s">
        <v>78</v>
      </c>
      <c r="AO275">
        <v>5</v>
      </c>
      <c r="AP275" t="s">
        <v>78</v>
      </c>
      <c r="AQ275">
        <v>4</v>
      </c>
      <c r="AR275">
        <v>0</v>
      </c>
      <c r="AS275">
        <v>1</v>
      </c>
    </row>
    <row r="276" spans="1:4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 t="str">
        <f>IF(Employee_data[[#This Row],[MonthlyIncome]]&lt;5000,"Low Income",
IF(Employee_data[[#This Row],[MonthlyIncome]]&lt;10000,"Medium Income","High Income"))</f>
        <v>Low Income</v>
      </c>
      <c r="U276" t="s">
        <v>91</v>
      </c>
      <c r="V276" t="s">
        <v>91</v>
      </c>
      <c r="W276" t="s">
        <v>91</v>
      </c>
      <c r="X276" t="s">
        <v>91</v>
      </c>
      <c r="Y276">
        <v>10531</v>
      </c>
      <c r="Z276">
        <v>1</v>
      </c>
      <c r="AA276" t="s">
        <v>42</v>
      </c>
      <c r="AB276" t="s">
        <v>43</v>
      </c>
      <c r="AC276">
        <v>17</v>
      </c>
      <c r="AD276">
        <v>3</v>
      </c>
      <c r="AE276">
        <v>1</v>
      </c>
      <c r="AF276">
        <v>80</v>
      </c>
      <c r="AG276">
        <v>0</v>
      </c>
      <c r="AH2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76">
        <v>3</v>
      </c>
      <c r="AJ276" t="s">
        <v>74</v>
      </c>
      <c r="AK276">
        <v>4</v>
      </c>
      <c r="AL276" t="s">
        <v>74</v>
      </c>
      <c r="AM276">
        <v>4</v>
      </c>
      <c r="AN276" t="s">
        <v>74</v>
      </c>
      <c r="AO276">
        <v>3</v>
      </c>
      <c r="AP276" t="s">
        <v>74</v>
      </c>
      <c r="AQ276">
        <v>2</v>
      </c>
      <c r="AR276">
        <v>1</v>
      </c>
      <c r="AS276">
        <v>0</v>
      </c>
    </row>
    <row r="277" spans="1:4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 t="str">
        <f>IF(Employee_data[[#This Row],[MonthlyIncome]]&lt;5000,"Low Income",
IF(Employee_data[[#This Row],[MonthlyIncome]]&lt;10000,"Medium Income","High Income"))</f>
        <v>High Income</v>
      </c>
      <c r="U277" t="s">
        <v>90</v>
      </c>
      <c r="V277" t="s">
        <v>90</v>
      </c>
      <c r="W277" t="s">
        <v>90</v>
      </c>
      <c r="X277" t="s">
        <v>90</v>
      </c>
      <c r="Y277">
        <v>11677</v>
      </c>
      <c r="Z277">
        <v>2</v>
      </c>
      <c r="AA277" t="s">
        <v>42</v>
      </c>
      <c r="AB277" t="s">
        <v>35</v>
      </c>
      <c r="AC277">
        <v>18</v>
      </c>
      <c r="AD277">
        <v>3</v>
      </c>
      <c r="AE277">
        <v>1</v>
      </c>
      <c r="AF277">
        <v>80</v>
      </c>
      <c r="AG277">
        <v>2</v>
      </c>
      <c r="AH2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77">
        <v>15</v>
      </c>
      <c r="AJ277" t="s">
        <v>78</v>
      </c>
      <c r="AK277">
        <v>2</v>
      </c>
      <c r="AL277" t="s">
        <v>78</v>
      </c>
      <c r="AM277">
        <v>3</v>
      </c>
      <c r="AN277" t="s">
        <v>78</v>
      </c>
      <c r="AO277">
        <v>5</v>
      </c>
      <c r="AP277" t="s">
        <v>78</v>
      </c>
      <c r="AQ277">
        <v>2</v>
      </c>
      <c r="AR277">
        <v>0</v>
      </c>
      <c r="AS277">
        <v>2</v>
      </c>
    </row>
    <row r="278" spans="1:4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 t="str">
        <f>IF(Employee_data[[#This Row],[MonthlyIncome]]&lt;5000,"Low Income",
IF(Employee_data[[#This Row],[MonthlyIncome]]&lt;10000,"Medium Income","High Income"))</f>
        <v>High Income</v>
      </c>
      <c r="U278" t="s">
        <v>90</v>
      </c>
      <c r="V278" t="s">
        <v>90</v>
      </c>
      <c r="W278" t="s">
        <v>90</v>
      </c>
      <c r="X278" t="s">
        <v>90</v>
      </c>
      <c r="Y278">
        <v>19100</v>
      </c>
      <c r="Z278">
        <v>7</v>
      </c>
      <c r="AA278" t="s">
        <v>42</v>
      </c>
      <c r="AB278" t="s">
        <v>43</v>
      </c>
      <c r="AC278">
        <v>18</v>
      </c>
      <c r="AD278">
        <v>3</v>
      </c>
      <c r="AE278">
        <v>2</v>
      </c>
      <c r="AF278">
        <v>80</v>
      </c>
      <c r="AG278">
        <v>1</v>
      </c>
      <c r="AH2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78">
        <v>10</v>
      </c>
      <c r="AJ278" t="s">
        <v>78</v>
      </c>
      <c r="AK278">
        <v>6</v>
      </c>
      <c r="AL278" t="s">
        <v>78</v>
      </c>
      <c r="AM278">
        <v>2</v>
      </c>
      <c r="AN278" t="s">
        <v>78</v>
      </c>
      <c r="AO278">
        <v>7</v>
      </c>
      <c r="AP278" t="s">
        <v>78</v>
      </c>
      <c r="AQ278">
        <v>7</v>
      </c>
      <c r="AR278">
        <v>6</v>
      </c>
      <c r="AS278">
        <v>2</v>
      </c>
    </row>
    <row r="279" spans="1:4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 t="str">
        <f>IF(Employee_data[[#This Row],[MonthlyIncome]]&lt;5000,"Low Income",
IF(Employee_data[[#This Row],[MonthlyIncome]]&lt;10000,"Medium Income","High Income"))</f>
        <v>Medium Income</v>
      </c>
      <c r="U279" t="s">
        <v>92</v>
      </c>
      <c r="V279" t="s">
        <v>92</v>
      </c>
      <c r="W279" t="s">
        <v>92</v>
      </c>
      <c r="X279" t="s">
        <v>92</v>
      </c>
      <c r="Y279">
        <v>19191</v>
      </c>
      <c r="Z279">
        <v>1</v>
      </c>
      <c r="AA279" t="s">
        <v>42</v>
      </c>
      <c r="AB279" t="s">
        <v>35</v>
      </c>
      <c r="AC279">
        <v>24</v>
      </c>
      <c r="AD279">
        <v>4</v>
      </c>
      <c r="AE279">
        <v>3</v>
      </c>
      <c r="AF279">
        <v>80</v>
      </c>
      <c r="AG279">
        <v>1</v>
      </c>
      <c r="AH2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79">
        <v>8</v>
      </c>
      <c r="AJ279" t="s">
        <v>78</v>
      </c>
      <c r="AK279">
        <v>3</v>
      </c>
      <c r="AL279" t="s">
        <v>78</v>
      </c>
      <c r="AM279">
        <v>3</v>
      </c>
      <c r="AN279" t="s">
        <v>78</v>
      </c>
      <c r="AO279">
        <v>8</v>
      </c>
      <c r="AP279" t="s">
        <v>78</v>
      </c>
      <c r="AQ279">
        <v>0</v>
      </c>
      <c r="AR279">
        <v>7</v>
      </c>
      <c r="AS279">
        <v>7</v>
      </c>
    </row>
    <row r="280" spans="1:4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 t="str">
        <f>IF(Employee_data[[#This Row],[MonthlyIncome]]&lt;5000,"Low Income",
IF(Employee_data[[#This Row],[MonthlyIncome]]&lt;10000,"Medium Income","High Income"))</f>
        <v>Medium Income</v>
      </c>
      <c r="U280" t="s">
        <v>92</v>
      </c>
      <c r="V280" t="s">
        <v>92</v>
      </c>
      <c r="W280" t="s">
        <v>92</v>
      </c>
      <c r="X280" t="s">
        <v>92</v>
      </c>
      <c r="Y280">
        <v>26767</v>
      </c>
      <c r="Z280">
        <v>1</v>
      </c>
      <c r="AA280" t="s">
        <v>42</v>
      </c>
      <c r="AB280" t="s">
        <v>43</v>
      </c>
      <c r="AC280">
        <v>20</v>
      </c>
      <c r="AD280">
        <v>4</v>
      </c>
      <c r="AE280">
        <v>1</v>
      </c>
      <c r="AF280">
        <v>80</v>
      </c>
      <c r="AG280">
        <v>1</v>
      </c>
      <c r="AH2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80">
        <v>6</v>
      </c>
      <c r="AJ280" t="s">
        <v>78</v>
      </c>
      <c r="AK280">
        <v>6</v>
      </c>
      <c r="AL280" t="s">
        <v>78</v>
      </c>
      <c r="AM280">
        <v>1</v>
      </c>
      <c r="AN280" t="s">
        <v>78</v>
      </c>
      <c r="AO280">
        <v>6</v>
      </c>
      <c r="AP280" t="s">
        <v>78</v>
      </c>
      <c r="AQ280">
        <v>5</v>
      </c>
      <c r="AR280">
        <v>1</v>
      </c>
      <c r="AS280">
        <v>4</v>
      </c>
    </row>
    <row r="281" spans="1:4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 t="str">
        <f>IF(Employee_data[[#This Row],[MonthlyIncome]]&lt;5000,"Low Income",
IF(Employee_data[[#This Row],[MonthlyIncome]]&lt;10000,"Medium Income","High Income"))</f>
        <v>High Income</v>
      </c>
      <c r="U281" t="s">
        <v>90</v>
      </c>
      <c r="V281" t="s">
        <v>90</v>
      </c>
      <c r="W281" t="s">
        <v>90</v>
      </c>
      <c r="X281" t="s">
        <v>90</v>
      </c>
      <c r="Y281">
        <v>15815</v>
      </c>
      <c r="Z281">
        <v>3</v>
      </c>
      <c r="AA281" t="s">
        <v>42</v>
      </c>
      <c r="AB281" t="s">
        <v>43</v>
      </c>
      <c r="AC281">
        <v>14</v>
      </c>
      <c r="AD281">
        <v>3</v>
      </c>
      <c r="AE281">
        <v>1</v>
      </c>
      <c r="AF281">
        <v>80</v>
      </c>
      <c r="AG281">
        <v>2</v>
      </c>
      <c r="AH2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81">
        <v>28</v>
      </c>
      <c r="AJ281" t="s">
        <v>75</v>
      </c>
      <c r="AK281">
        <v>4</v>
      </c>
      <c r="AL281" t="s">
        <v>75</v>
      </c>
      <c r="AM281">
        <v>2</v>
      </c>
      <c r="AN281" t="s">
        <v>75</v>
      </c>
      <c r="AO281">
        <v>10</v>
      </c>
      <c r="AP281" t="s">
        <v>75</v>
      </c>
      <c r="AQ281">
        <v>4</v>
      </c>
      <c r="AR281">
        <v>1</v>
      </c>
      <c r="AS281">
        <v>6</v>
      </c>
    </row>
    <row r="282" spans="1:4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 t="str">
        <f>IF(Employee_data[[#This Row],[MonthlyIncome]]&lt;5000,"Low Income",
IF(Employee_data[[#This Row],[MonthlyIncome]]&lt;10000,"Medium Income","High Income"))</f>
        <v>High Income</v>
      </c>
      <c r="U282" t="s">
        <v>90</v>
      </c>
      <c r="V282" t="s">
        <v>90</v>
      </c>
      <c r="W282" t="s">
        <v>90</v>
      </c>
      <c r="X282" t="s">
        <v>90</v>
      </c>
      <c r="Y282">
        <v>21016</v>
      </c>
      <c r="Z282">
        <v>3</v>
      </c>
      <c r="AA282" t="s">
        <v>42</v>
      </c>
      <c r="AB282" t="s">
        <v>35</v>
      </c>
      <c r="AC282">
        <v>16</v>
      </c>
      <c r="AD282">
        <v>3</v>
      </c>
      <c r="AE282">
        <v>4</v>
      </c>
      <c r="AF282">
        <v>80</v>
      </c>
      <c r="AG282">
        <v>3</v>
      </c>
      <c r="AH2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82">
        <v>21</v>
      </c>
      <c r="AJ282" t="s">
        <v>78</v>
      </c>
      <c r="AK282">
        <v>5</v>
      </c>
      <c r="AL282" t="s">
        <v>78</v>
      </c>
      <c r="AM282">
        <v>2</v>
      </c>
      <c r="AN282" t="s">
        <v>78</v>
      </c>
      <c r="AO282">
        <v>5</v>
      </c>
      <c r="AP282" t="s">
        <v>78</v>
      </c>
      <c r="AQ282">
        <v>3</v>
      </c>
      <c r="AR282">
        <v>1</v>
      </c>
      <c r="AS282">
        <v>3</v>
      </c>
    </row>
    <row r="283" spans="1:4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 t="str">
        <f>IF(Employee_data[[#This Row],[MonthlyIncome]]&lt;5000,"Low Income",
IF(Employee_data[[#This Row],[MonthlyIncome]]&lt;10000,"Medium Income","High Income"))</f>
        <v>Low Income</v>
      </c>
      <c r="U283" t="s">
        <v>91</v>
      </c>
      <c r="V283" t="s">
        <v>91</v>
      </c>
      <c r="W283" t="s">
        <v>91</v>
      </c>
      <c r="X283" t="s">
        <v>91</v>
      </c>
      <c r="Y283">
        <v>24532</v>
      </c>
      <c r="Z283">
        <v>1</v>
      </c>
      <c r="AA283" t="s">
        <v>42</v>
      </c>
      <c r="AB283" t="s">
        <v>43</v>
      </c>
      <c r="AC283">
        <v>25</v>
      </c>
      <c r="AD283">
        <v>4</v>
      </c>
      <c r="AE283">
        <v>3</v>
      </c>
      <c r="AF283">
        <v>80</v>
      </c>
      <c r="AG283">
        <v>0</v>
      </c>
      <c r="AH2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83">
        <v>20</v>
      </c>
      <c r="AJ283" t="s">
        <v>76</v>
      </c>
      <c r="AK283">
        <v>3</v>
      </c>
      <c r="AL283" t="s">
        <v>76</v>
      </c>
      <c r="AM283">
        <v>3</v>
      </c>
      <c r="AN283" t="s">
        <v>76</v>
      </c>
      <c r="AO283">
        <v>20</v>
      </c>
      <c r="AP283" t="s">
        <v>76</v>
      </c>
      <c r="AQ283">
        <v>16</v>
      </c>
      <c r="AR283">
        <v>11</v>
      </c>
      <c r="AS283">
        <v>6</v>
      </c>
    </row>
    <row r="284" spans="1:4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 t="str">
        <f>IF(Employee_data[[#This Row],[MonthlyIncome]]&lt;5000,"Low Income",
IF(Employee_data[[#This Row],[MonthlyIncome]]&lt;10000,"Medium Income","High Income"))</f>
        <v>Low Income</v>
      </c>
      <c r="U284" t="s">
        <v>91</v>
      </c>
      <c r="V284" t="s">
        <v>91</v>
      </c>
      <c r="W284" t="s">
        <v>91</v>
      </c>
      <c r="X284" t="s">
        <v>91</v>
      </c>
      <c r="Y284">
        <v>20260</v>
      </c>
      <c r="Z284">
        <v>1</v>
      </c>
      <c r="AA284" t="s">
        <v>42</v>
      </c>
      <c r="AB284" t="s">
        <v>43</v>
      </c>
      <c r="AC284">
        <v>18</v>
      </c>
      <c r="AD284">
        <v>3</v>
      </c>
      <c r="AE284">
        <v>1</v>
      </c>
      <c r="AF284">
        <v>80</v>
      </c>
      <c r="AG284">
        <v>0</v>
      </c>
      <c r="AH2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84">
        <v>10</v>
      </c>
      <c r="AJ284" t="s">
        <v>75</v>
      </c>
      <c r="AK284">
        <v>3</v>
      </c>
      <c r="AL284" t="s">
        <v>75</v>
      </c>
      <c r="AM284">
        <v>2</v>
      </c>
      <c r="AN284" t="s">
        <v>75</v>
      </c>
      <c r="AO284">
        <v>10</v>
      </c>
      <c r="AP284" t="s">
        <v>75</v>
      </c>
      <c r="AQ284">
        <v>7</v>
      </c>
      <c r="AR284">
        <v>0</v>
      </c>
      <c r="AS284">
        <v>9</v>
      </c>
    </row>
    <row r="285" spans="1:4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 t="str">
        <f>IF(Employee_data[[#This Row],[MonthlyIncome]]&lt;5000,"Low Income",
IF(Employee_data[[#This Row],[MonthlyIncome]]&lt;10000,"Medium Income","High Income"))</f>
        <v>Medium Income</v>
      </c>
      <c r="U285" t="s">
        <v>92</v>
      </c>
      <c r="V285" t="s">
        <v>92</v>
      </c>
      <c r="W285" t="s">
        <v>92</v>
      </c>
      <c r="X285" t="s">
        <v>92</v>
      </c>
      <c r="Y285">
        <v>15972</v>
      </c>
      <c r="Z285">
        <v>3</v>
      </c>
      <c r="AA285" t="s">
        <v>42</v>
      </c>
      <c r="AB285" t="s">
        <v>35</v>
      </c>
      <c r="AC285">
        <v>19</v>
      </c>
      <c r="AD285">
        <v>3</v>
      </c>
      <c r="AE285">
        <v>4</v>
      </c>
      <c r="AF285">
        <v>80</v>
      </c>
      <c r="AG285">
        <v>1</v>
      </c>
      <c r="AH2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85">
        <v>12</v>
      </c>
      <c r="AJ285" t="s">
        <v>75</v>
      </c>
      <c r="AK285">
        <v>4</v>
      </c>
      <c r="AL285" t="s">
        <v>75</v>
      </c>
      <c r="AM285">
        <v>3</v>
      </c>
      <c r="AN285" t="s">
        <v>75</v>
      </c>
      <c r="AO285">
        <v>10</v>
      </c>
      <c r="AP285" t="s">
        <v>75</v>
      </c>
      <c r="AQ285">
        <v>7</v>
      </c>
      <c r="AR285">
        <v>0</v>
      </c>
      <c r="AS285">
        <v>8</v>
      </c>
    </row>
    <row r="286" spans="1:4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 t="str">
        <f>IF(Employee_data[[#This Row],[MonthlyIncome]]&lt;5000,"Low Income",
IF(Employee_data[[#This Row],[MonthlyIncome]]&lt;10000,"Medium Income","High Income"))</f>
        <v>Low Income</v>
      </c>
      <c r="U286" t="s">
        <v>91</v>
      </c>
      <c r="V286" t="s">
        <v>91</v>
      </c>
      <c r="W286" t="s">
        <v>91</v>
      </c>
      <c r="X286" t="s">
        <v>91</v>
      </c>
      <c r="Y286">
        <v>22722</v>
      </c>
      <c r="Z286">
        <v>1</v>
      </c>
      <c r="AA286" t="s">
        <v>42</v>
      </c>
      <c r="AB286" t="s">
        <v>35</v>
      </c>
      <c r="AC286">
        <v>13</v>
      </c>
      <c r="AD286">
        <v>3</v>
      </c>
      <c r="AE286">
        <v>3</v>
      </c>
      <c r="AF286">
        <v>80</v>
      </c>
      <c r="AG286">
        <v>1</v>
      </c>
      <c r="AH2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86">
        <v>5</v>
      </c>
      <c r="AJ286" t="s">
        <v>78</v>
      </c>
      <c r="AK286">
        <v>3</v>
      </c>
      <c r="AL286" t="s">
        <v>78</v>
      </c>
      <c r="AM286">
        <v>3</v>
      </c>
      <c r="AN286" t="s">
        <v>78</v>
      </c>
      <c r="AO286">
        <v>5</v>
      </c>
      <c r="AP286" t="s">
        <v>78</v>
      </c>
      <c r="AQ286">
        <v>3</v>
      </c>
      <c r="AR286">
        <v>3</v>
      </c>
      <c r="AS286">
        <v>3</v>
      </c>
    </row>
    <row r="287" spans="1:4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 t="str">
        <f>IF(Employee_data[[#This Row],[MonthlyIncome]]&lt;5000,"Low Income",
IF(Employee_data[[#This Row],[MonthlyIncome]]&lt;10000,"Medium Income","High Income"))</f>
        <v>Low Income</v>
      </c>
      <c r="U287" t="s">
        <v>91</v>
      </c>
      <c r="V287" t="s">
        <v>91</v>
      </c>
      <c r="W287" t="s">
        <v>91</v>
      </c>
      <c r="X287" t="s">
        <v>91</v>
      </c>
      <c r="Y287">
        <v>15881</v>
      </c>
      <c r="Z287">
        <v>1</v>
      </c>
      <c r="AA287" t="s">
        <v>42</v>
      </c>
      <c r="AB287" t="s">
        <v>43</v>
      </c>
      <c r="AC287">
        <v>12</v>
      </c>
      <c r="AD287">
        <v>3</v>
      </c>
      <c r="AE287">
        <v>2</v>
      </c>
      <c r="AF287">
        <v>80</v>
      </c>
      <c r="AG287">
        <v>0</v>
      </c>
      <c r="AH2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87">
        <v>17</v>
      </c>
      <c r="AJ287" t="s">
        <v>76</v>
      </c>
      <c r="AK287">
        <v>3</v>
      </c>
      <c r="AL287" t="s">
        <v>76</v>
      </c>
      <c r="AM287">
        <v>3</v>
      </c>
      <c r="AN287" t="s">
        <v>76</v>
      </c>
      <c r="AO287">
        <v>17</v>
      </c>
      <c r="AP287" t="s">
        <v>76</v>
      </c>
      <c r="AQ287">
        <v>12</v>
      </c>
      <c r="AR287">
        <v>5</v>
      </c>
      <c r="AS287">
        <v>7</v>
      </c>
    </row>
    <row r="288" spans="1:4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 t="str">
        <f>IF(Employee_data[[#This Row],[MonthlyIncome]]&lt;5000,"Low Income",
IF(Employee_data[[#This Row],[MonthlyIncome]]&lt;10000,"Medium Income","High Income"))</f>
        <v>Low Income</v>
      </c>
      <c r="U288" t="s">
        <v>91</v>
      </c>
      <c r="V288" t="s">
        <v>91</v>
      </c>
      <c r="W288" t="s">
        <v>91</v>
      </c>
      <c r="X288" t="s">
        <v>91</v>
      </c>
      <c r="Y288">
        <v>19920</v>
      </c>
      <c r="Z288">
        <v>3</v>
      </c>
      <c r="AA288" t="s">
        <v>42</v>
      </c>
      <c r="AB288" t="s">
        <v>35</v>
      </c>
      <c r="AC288">
        <v>22</v>
      </c>
      <c r="AD288">
        <v>4</v>
      </c>
      <c r="AE288">
        <v>4</v>
      </c>
      <c r="AF288">
        <v>80</v>
      </c>
      <c r="AG288">
        <v>1</v>
      </c>
      <c r="AH2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88">
        <v>19</v>
      </c>
      <c r="AJ288" t="s">
        <v>74</v>
      </c>
      <c r="AK288">
        <v>0</v>
      </c>
      <c r="AL288" t="s">
        <v>74</v>
      </c>
      <c r="AM288">
        <v>1</v>
      </c>
      <c r="AN288" t="s">
        <v>74</v>
      </c>
      <c r="AO288">
        <v>1</v>
      </c>
      <c r="AP288" t="s">
        <v>74</v>
      </c>
      <c r="AQ288">
        <v>0</v>
      </c>
      <c r="AR288">
        <v>0</v>
      </c>
      <c r="AS288">
        <v>0</v>
      </c>
    </row>
    <row r="289" spans="1:4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 t="str">
        <f>IF(Employee_data[[#This Row],[MonthlyIncome]]&lt;5000,"Low Income",
IF(Employee_data[[#This Row],[MonthlyIncome]]&lt;10000,"Medium Income","High Income"))</f>
        <v>Medium Income</v>
      </c>
      <c r="U289" t="s">
        <v>92</v>
      </c>
      <c r="V289" t="s">
        <v>92</v>
      </c>
      <c r="W289" t="s">
        <v>92</v>
      </c>
      <c r="X289" t="s">
        <v>92</v>
      </c>
      <c r="Y289">
        <v>18899</v>
      </c>
      <c r="Z289">
        <v>9</v>
      </c>
      <c r="AA289" t="s">
        <v>42</v>
      </c>
      <c r="AB289" t="s">
        <v>43</v>
      </c>
      <c r="AC289">
        <v>14</v>
      </c>
      <c r="AD289">
        <v>3</v>
      </c>
      <c r="AE289">
        <v>2</v>
      </c>
      <c r="AF289">
        <v>80</v>
      </c>
      <c r="AG289">
        <v>1</v>
      </c>
      <c r="AH2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89">
        <v>10</v>
      </c>
      <c r="AJ289" t="s">
        <v>74</v>
      </c>
      <c r="AK289">
        <v>2</v>
      </c>
      <c r="AL289" t="s">
        <v>74</v>
      </c>
      <c r="AM289">
        <v>3</v>
      </c>
      <c r="AN289" t="s">
        <v>74</v>
      </c>
      <c r="AO289">
        <v>2</v>
      </c>
      <c r="AP289" t="s">
        <v>74</v>
      </c>
      <c r="AQ289">
        <v>2</v>
      </c>
      <c r="AR289">
        <v>1</v>
      </c>
      <c r="AS289">
        <v>2</v>
      </c>
    </row>
    <row r="290" spans="1:4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 t="str">
        <f>IF(Employee_data[[#This Row],[MonthlyIncome]]&lt;5000,"Low Income",
IF(Employee_data[[#This Row],[MonthlyIncome]]&lt;10000,"Medium Income","High Income"))</f>
        <v>Low Income</v>
      </c>
      <c r="U290" t="s">
        <v>91</v>
      </c>
      <c r="V290" t="s">
        <v>91</v>
      </c>
      <c r="W290" t="s">
        <v>91</v>
      </c>
      <c r="X290" t="s">
        <v>91</v>
      </c>
      <c r="Y290">
        <v>14180</v>
      </c>
      <c r="Z290">
        <v>2</v>
      </c>
      <c r="AA290" t="s">
        <v>42</v>
      </c>
      <c r="AB290" t="s">
        <v>35</v>
      </c>
      <c r="AC290">
        <v>13</v>
      </c>
      <c r="AD290">
        <v>3</v>
      </c>
      <c r="AE290">
        <v>4</v>
      </c>
      <c r="AF290">
        <v>80</v>
      </c>
      <c r="AG290">
        <v>1</v>
      </c>
      <c r="AH2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90">
        <v>5</v>
      </c>
      <c r="AJ290" t="s">
        <v>74</v>
      </c>
      <c r="AK290">
        <v>2</v>
      </c>
      <c r="AL290" t="s">
        <v>74</v>
      </c>
      <c r="AM290">
        <v>3</v>
      </c>
      <c r="AN290" t="s">
        <v>74</v>
      </c>
      <c r="AO290">
        <v>3</v>
      </c>
      <c r="AP290" t="s">
        <v>74</v>
      </c>
      <c r="AQ290">
        <v>2</v>
      </c>
      <c r="AR290">
        <v>0</v>
      </c>
      <c r="AS290">
        <v>2</v>
      </c>
    </row>
    <row r="291" spans="1:4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 t="str">
        <f>IF(Employee_data[[#This Row],[MonthlyIncome]]&lt;5000,"Low Income",
IF(Employee_data[[#This Row],[MonthlyIncome]]&lt;10000,"Medium Income","High Income"))</f>
        <v>Low Income</v>
      </c>
      <c r="U291" t="s">
        <v>91</v>
      </c>
      <c r="V291" t="s">
        <v>91</v>
      </c>
      <c r="W291" t="s">
        <v>91</v>
      </c>
      <c r="X291" t="s">
        <v>91</v>
      </c>
      <c r="Y291">
        <v>4488</v>
      </c>
      <c r="Z291">
        <v>1</v>
      </c>
      <c r="AA291" t="s">
        <v>42</v>
      </c>
      <c r="AB291" t="s">
        <v>43</v>
      </c>
      <c r="AC291">
        <v>21</v>
      </c>
      <c r="AD291">
        <v>4</v>
      </c>
      <c r="AE291">
        <v>4</v>
      </c>
      <c r="AF291">
        <v>80</v>
      </c>
      <c r="AG291">
        <v>0</v>
      </c>
      <c r="AH2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91">
        <v>5</v>
      </c>
      <c r="AJ291" t="s">
        <v>78</v>
      </c>
      <c r="AK291">
        <v>3</v>
      </c>
      <c r="AL291" t="s">
        <v>78</v>
      </c>
      <c r="AM291">
        <v>3</v>
      </c>
      <c r="AN291" t="s">
        <v>78</v>
      </c>
      <c r="AO291">
        <v>5</v>
      </c>
      <c r="AP291" t="s">
        <v>78</v>
      </c>
      <c r="AQ291">
        <v>3</v>
      </c>
      <c r="AR291">
        <v>0</v>
      </c>
      <c r="AS291">
        <v>2</v>
      </c>
    </row>
    <row r="292" spans="1:4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 t="str">
        <f>IF(Employee_data[[#This Row],[MonthlyIncome]]&lt;5000,"Low Income",
IF(Employee_data[[#This Row],[MonthlyIncome]]&lt;10000,"Medium Income","High Income"))</f>
        <v>High Income</v>
      </c>
      <c r="U292" t="s">
        <v>90</v>
      </c>
      <c r="V292" t="s">
        <v>90</v>
      </c>
      <c r="W292" t="s">
        <v>90</v>
      </c>
      <c r="X292" t="s">
        <v>90</v>
      </c>
      <c r="Y292">
        <v>25594</v>
      </c>
      <c r="Z292">
        <v>9</v>
      </c>
      <c r="AA292" t="s">
        <v>42</v>
      </c>
      <c r="AB292" t="s">
        <v>35</v>
      </c>
      <c r="AC292">
        <v>11</v>
      </c>
      <c r="AD292">
        <v>3</v>
      </c>
      <c r="AE292">
        <v>4</v>
      </c>
      <c r="AF292">
        <v>80</v>
      </c>
      <c r="AG292">
        <v>0</v>
      </c>
      <c r="AH2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92">
        <v>22</v>
      </c>
      <c r="AJ292" t="s">
        <v>74</v>
      </c>
      <c r="AK292">
        <v>4</v>
      </c>
      <c r="AL292" t="s">
        <v>74</v>
      </c>
      <c r="AM292">
        <v>3</v>
      </c>
      <c r="AN292" t="s">
        <v>74</v>
      </c>
      <c r="AO292">
        <v>3</v>
      </c>
      <c r="AP292" t="s">
        <v>74</v>
      </c>
      <c r="AQ292">
        <v>2</v>
      </c>
      <c r="AR292">
        <v>1</v>
      </c>
      <c r="AS292">
        <v>2</v>
      </c>
    </row>
    <row r="293" spans="1:4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 t="str">
        <f>IF(Employee_data[[#This Row],[MonthlyIncome]]&lt;5000,"Low Income",
IF(Employee_data[[#This Row],[MonthlyIncome]]&lt;10000,"Medium Income","High Income"))</f>
        <v>Low Income</v>
      </c>
      <c r="U293" t="s">
        <v>91</v>
      </c>
      <c r="V293" t="s">
        <v>91</v>
      </c>
      <c r="W293" t="s">
        <v>91</v>
      </c>
      <c r="X293" t="s">
        <v>91</v>
      </c>
      <c r="Y293">
        <v>26285</v>
      </c>
      <c r="Z293">
        <v>4</v>
      </c>
      <c r="AA293" t="s">
        <v>42</v>
      </c>
      <c r="AB293" t="s">
        <v>43</v>
      </c>
      <c r="AC293">
        <v>12</v>
      </c>
      <c r="AD293">
        <v>3</v>
      </c>
      <c r="AE293">
        <v>4</v>
      </c>
      <c r="AF293">
        <v>80</v>
      </c>
      <c r="AG293">
        <v>0</v>
      </c>
      <c r="AH2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93">
        <v>10</v>
      </c>
      <c r="AJ293" t="s">
        <v>78</v>
      </c>
      <c r="AK293">
        <v>2</v>
      </c>
      <c r="AL293" t="s">
        <v>78</v>
      </c>
      <c r="AM293">
        <v>3</v>
      </c>
      <c r="AN293" t="s">
        <v>78</v>
      </c>
      <c r="AO293">
        <v>8</v>
      </c>
      <c r="AP293" t="s">
        <v>78</v>
      </c>
      <c r="AQ293">
        <v>0</v>
      </c>
      <c r="AR293">
        <v>7</v>
      </c>
      <c r="AS293">
        <v>7</v>
      </c>
    </row>
    <row r="294" spans="1:4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 t="str">
        <f>IF(Employee_data[[#This Row],[MonthlyIncome]]&lt;5000,"Low Income",
IF(Employee_data[[#This Row],[MonthlyIncome]]&lt;10000,"Medium Income","High Income"))</f>
        <v>Low Income</v>
      </c>
      <c r="U294" t="s">
        <v>91</v>
      </c>
      <c r="V294" t="s">
        <v>91</v>
      </c>
      <c r="W294" t="s">
        <v>91</v>
      </c>
      <c r="X294" t="s">
        <v>91</v>
      </c>
      <c r="Y294">
        <v>3909</v>
      </c>
      <c r="Z294">
        <v>1</v>
      </c>
      <c r="AA294" t="s">
        <v>42</v>
      </c>
      <c r="AB294" t="s">
        <v>43</v>
      </c>
      <c r="AC294">
        <v>11</v>
      </c>
      <c r="AD294">
        <v>3</v>
      </c>
      <c r="AE294">
        <v>3</v>
      </c>
      <c r="AF294">
        <v>80</v>
      </c>
      <c r="AG294">
        <v>1</v>
      </c>
      <c r="AH2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94">
        <v>2</v>
      </c>
      <c r="AJ294" t="s">
        <v>74</v>
      </c>
      <c r="AK294">
        <v>5</v>
      </c>
      <c r="AL294" t="s">
        <v>74</v>
      </c>
      <c r="AM294">
        <v>2</v>
      </c>
      <c r="AN294" t="s">
        <v>74</v>
      </c>
      <c r="AO294">
        <v>2</v>
      </c>
      <c r="AP294" t="s">
        <v>74</v>
      </c>
      <c r="AQ294">
        <v>2</v>
      </c>
      <c r="AR294">
        <v>2</v>
      </c>
      <c r="AS294">
        <v>2</v>
      </c>
    </row>
    <row r="295" spans="1:4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 t="str">
        <f>IF(Employee_data[[#This Row],[MonthlyIncome]]&lt;5000,"Low Income",
IF(Employee_data[[#This Row],[MonthlyIncome]]&lt;10000,"Medium Income","High Income"))</f>
        <v>Medium Income</v>
      </c>
      <c r="U295" t="s">
        <v>92</v>
      </c>
      <c r="V295" t="s">
        <v>92</v>
      </c>
      <c r="W295" t="s">
        <v>92</v>
      </c>
      <c r="X295" t="s">
        <v>92</v>
      </c>
      <c r="Y295">
        <v>8450</v>
      </c>
      <c r="Z295">
        <v>1</v>
      </c>
      <c r="AA295" t="s">
        <v>42</v>
      </c>
      <c r="AB295" t="s">
        <v>35</v>
      </c>
      <c r="AC295">
        <v>12</v>
      </c>
      <c r="AD295">
        <v>3</v>
      </c>
      <c r="AE295">
        <v>2</v>
      </c>
      <c r="AF295">
        <v>80</v>
      </c>
      <c r="AG295">
        <v>0</v>
      </c>
      <c r="AH2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295">
        <v>8</v>
      </c>
      <c r="AJ295" t="s">
        <v>78</v>
      </c>
      <c r="AK295">
        <v>0</v>
      </c>
      <c r="AL295" t="s">
        <v>78</v>
      </c>
      <c r="AM295">
        <v>3</v>
      </c>
      <c r="AN295" t="s">
        <v>78</v>
      </c>
      <c r="AO295">
        <v>8</v>
      </c>
      <c r="AP295" t="s">
        <v>78</v>
      </c>
      <c r="AQ295">
        <v>7</v>
      </c>
      <c r="AR295">
        <v>7</v>
      </c>
      <c r="AS295">
        <v>4</v>
      </c>
    </row>
    <row r="296" spans="1:4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 t="str">
        <f>IF(Employee_data[[#This Row],[MonthlyIncome]]&lt;5000,"Low Income",
IF(Employee_data[[#This Row],[MonthlyIncome]]&lt;10000,"Medium Income","High Income"))</f>
        <v>Low Income</v>
      </c>
      <c r="U296" t="s">
        <v>91</v>
      </c>
      <c r="V296" t="s">
        <v>91</v>
      </c>
      <c r="W296" t="s">
        <v>91</v>
      </c>
      <c r="X296" t="s">
        <v>91</v>
      </c>
      <c r="Y296">
        <v>11411</v>
      </c>
      <c r="Z296">
        <v>1</v>
      </c>
      <c r="AA296" t="s">
        <v>42</v>
      </c>
      <c r="AB296" t="s">
        <v>35</v>
      </c>
      <c r="AC296">
        <v>12</v>
      </c>
      <c r="AD296">
        <v>3</v>
      </c>
      <c r="AE296">
        <v>3</v>
      </c>
      <c r="AF296">
        <v>80</v>
      </c>
      <c r="AG296">
        <v>3</v>
      </c>
      <c r="AH2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96">
        <v>4</v>
      </c>
      <c r="AJ296" t="s">
        <v>74</v>
      </c>
      <c r="AK296">
        <v>3</v>
      </c>
      <c r="AL296" t="s">
        <v>74</v>
      </c>
      <c r="AM296">
        <v>2</v>
      </c>
      <c r="AN296" t="s">
        <v>74</v>
      </c>
      <c r="AO296">
        <v>4</v>
      </c>
      <c r="AP296" t="s">
        <v>74</v>
      </c>
      <c r="AQ296">
        <v>2</v>
      </c>
      <c r="AR296">
        <v>1</v>
      </c>
      <c r="AS296">
        <v>2</v>
      </c>
    </row>
    <row r="297" spans="1:4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 t="str">
        <f>IF(Employee_data[[#This Row],[MonthlyIncome]]&lt;5000,"Low Income",
IF(Employee_data[[#This Row],[MonthlyIncome]]&lt;10000,"Medium Income","High Income"))</f>
        <v>High Income</v>
      </c>
      <c r="U297" t="s">
        <v>90</v>
      </c>
      <c r="V297" t="s">
        <v>90</v>
      </c>
      <c r="W297" t="s">
        <v>90</v>
      </c>
      <c r="X297" t="s">
        <v>90</v>
      </c>
      <c r="Y297">
        <v>14864</v>
      </c>
      <c r="Z297">
        <v>5</v>
      </c>
      <c r="AA297" t="s">
        <v>42</v>
      </c>
      <c r="AB297" t="s">
        <v>43</v>
      </c>
      <c r="AC297">
        <v>14</v>
      </c>
      <c r="AD297">
        <v>3</v>
      </c>
      <c r="AE297">
        <v>4</v>
      </c>
      <c r="AF297">
        <v>80</v>
      </c>
      <c r="AG297">
        <v>1</v>
      </c>
      <c r="AH2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297">
        <v>23</v>
      </c>
      <c r="AJ297" t="s">
        <v>76</v>
      </c>
      <c r="AK297">
        <v>2</v>
      </c>
      <c r="AL297" t="s">
        <v>76</v>
      </c>
      <c r="AM297">
        <v>4</v>
      </c>
      <c r="AN297" t="s">
        <v>76</v>
      </c>
      <c r="AO297">
        <v>20</v>
      </c>
      <c r="AP297" t="s">
        <v>76</v>
      </c>
      <c r="AQ297">
        <v>4</v>
      </c>
      <c r="AR297">
        <v>4</v>
      </c>
      <c r="AS297">
        <v>8</v>
      </c>
    </row>
    <row r="298" spans="1:4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 t="str">
        <f>IF(Employee_data[[#This Row],[MonthlyIncome]]&lt;5000,"Low Income",
IF(Employee_data[[#This Row],[MonthlyIncome]]&lt;10000,"Medium Income","High Income"))</f>
        <v>Low Income</v>
      </c>
      <c r="U298" t="s">
        <v>91</v>
      </c>
      <c r="V298" t="s">
        <v>91</v>
      </c>
      <c r="W298" t="s">
        <v>91</v>
      </c>
      <c r="X298" t="s">
        <v>91</v>
      </c>
      <c r="Y298">
        <v>25233</v>
      </c>
      <c r="Z298">
        <v>1</v>
      </c>
      <c r="AA298" t="s">
        <v>42</v>
      </c>
      <c r="AB298" t="s">
        <v>43</v>
      </c>
      <c r="AC298">
        <v>13</v>
      </c>
      <c r="AD298">
        <v>3</v>
      </c>
      <c r="AE298">
        <v>3</v>
      </c>
      <c r="AF298">
        <v>80</v>
      </c>
      <c r="AG298">
        <v>0</v>
      </c>
      <c r="AH2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298">
        <v>0</v>
      </c>
      <c r="AJ298" t="s">
        <v>74</v>
      </c>
      <c r="AK298">
        <v>2</v>
      </c>
      <c r="AL298" t="s">
        <v>74</v>
      </c>
      <c r="AM298">
        <v>3</v>
      </c>
      <c r="AN298" t="s">
        <v>74</v>
      </c>
      <c r="AO298">
        <v>0</v>
      </c>
      <c r="AP298" t="s">
        <v>74</v>
      </c>
      <c r="AQ298">
        <v>0</v>
      </c>
      <c r="AR298">
        <v>0</v>
      </c>
      <c r="AS298">
        <v>0</v>
      </c>
    </row>
    <row r="299" spans="1:4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 t="str">
        <f>IF(Employee_data[[#This Row],[MonthlyIncome]]&lt;5000,"Low Income",
IF(Employee_data[[#This Row],[MonthlyIncome]]&lt;10000,"Medium Income","High Income"))</f>
        <v>Medium Income</v>
      </c>
      <c r="U299" t="s">
        <v>92</v>
      </c>
      <c r="V299" t="s">
        <v>92</v>
      </c>
      <c r="W299" t="s">
        <v>92</v>
      </c>
      <c r="X299" t="s">
        <v>92</v>
      </c>
      <c r="Y299">
        <v>5100</v>
      </c>
      <c r="Z299">
        <v>0</v>
      </c>
      <c r="AA299" t="s">
        <v>42</v>
      </c>
      <c r="AB299" t="s">
        <v>43</v>
      </c>
      <c r="AC299">
        <v>15</v>
      </c>
      <c r="AD299">
        <v>3</v>
      </c>
      <c r="AE299">
        <v>3</v>
      </c>
      <c r="AF299">
        <v>80</v>
      </c>
      <c r="AG299">
        <v>2</v>
      </c>
      <c r="AH2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299">
        <v>12</v>
      </c>
      <c r="AJ299" t="s">
        <v>75</v>
      </c>
      <c r="AK299">
        <v>3</v>
      </c>
      <c r="AL299" t="s">
        <v>75</v>
      </c>
      <c r="AM299">
        <v>2</v>
      </c>
      <c r="AN299" t="s">
        <v>75</v>
      </c>
      <c r="AO299">
        <v>11</v>
      </c>
      <c r="AP299" t="s">
        <v>75</v>
      </c>
      <c r="AQ299">
        <v>9</v>
      </c>
      <c r="AR299">
        <v>6</v>
      </c>
      <c r="AS299">
        <v>9</v>
      </c>
    </row>
    <row r="300" spans="1:4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 t="str">
        <f>IF(Employee_data[[#This Row],[MonthlyIncome]]&lt;5000,"Low Income",
IF(Employee_data[[#This Row],[MonthlyIncome]]&lt;10000,"Medium Income","High Income"))</f>
        <v>Low Income</v>
      </c>
      <c r="U300" t="s">
        <v>91</v>
      </c>
      <c r="V300" t="s">
        <v>91</v>
      </c>
      <c r="W300" t="s">
        <v>91</v>
      </c>
      <c r="X300" t="s">
        <v>91</v>
      </c>
      <c r="Y300">
        <v>7122</v>
      </c>
      <c r="Z300">
        <v>4</v>
      </c>
      <c r="AA300" t="s">
        <v>42</v>
      </c>
      <c r="AB300" t="s">
        <v>43</v>
      </c>
      <c r="AC300">
        <v>18</v>
      </c>
      <c r="AD300">
        <v>3</v>
      </c>
      <c r="AE300">
        <v>4</v>
      </c>
      <c r="AF300">
        <v>80</v>
      </c>
      <c r="AG300">
        <v>2</v>
      </c>
      <c r="AH3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00">
        <v>4</v>
      </c>
      <c r="AJ300" t="s">
        <v>74</v>
      </c>
      <c r="AK300">
        <v>2</v>
      </c>
      <c r="AL300" t="s">
        <v>74</v>
      </c>
      <c r="AM300">
        <v>3</v>
      </c>
      <c r="AN300" t="s">
        <v>74</v>
      </c>
      <c r="AO300">
        <v>1</v>
      </c>
      <c r="AP300" t="s">
        <v>74</v>
      </c>
      <c r="AQ300">
        <v>0</v>
      </c>
      <c r="AR300">
        <v>0</v>
      </c>
      <c r="AS300">
        <v>0</v>
      </c>
    </row>
    <row r="301" spans="1:4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 t="str">
        <f>IF(Employee_data[[#This Row],[MonthlyIncome]]&lt;5000,"Low Income",
IF(Employee_data[[#This Row],[MonthlyIncome]]&lt;10000,"Medium Income","High Income"))</f>
        <v>Medium Income</v>
      </c>
      <c r="U301" t="s">
        <v>92</v>
      </c>
      <c r="V301" t="s">
        <v>92</v>
      </c>
      <c r="W301" t="s">
        <v>92</v>
      </c>
      <c r="X301" t="s">
        <v>92</v>
      </c>
      <c r="Y301">
        <v>16321</v>
      </c>
      <c r="Z301">
        <v>5</v>
      </c>
      <c r="AA301" t="s">
        <v>42</v>
      </c>
      <c r="AB301" t="s">
        <v>43</v>
      </c>
      <c r="AC301">
        <v>18</v>
      </c>
      <c r="AD301">
        <v>3</v>
      </c>
      <c r="AE301">
        <v>4</v>
      </c>
      <c r="AF301">
        <v>80</v>
      </c>
      <c r="AG301">
        <v>1</v>
      </c>
      <c r="AH3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01">
        <v>13</v>
      </c>
      <c r="AJ301" t="s">
        <v>74</v>
      </c>
      <c r="AK301">
        <v>3</v>
      </c>
      <c r="AL301" t="s">
        <v>74</v>
      </c>
      <c r="AM301">
        <v>3</v>
      </c>
      <c r="AN301" t="s">
        <v>74</v>
      </c>
      <c r="AO301">
        <v>4</v>
      </c>
      <c r="AP301" t="s">
        <v>74</v>
      </c>
      <c r="AQ301">
        <v>1</v>
      </c>
      <c r="AR301">
        <v>1</v>
      </c>
      <c r="AS301">
        <v>2</v>
      </c>
    </row>
    <row r="302" spans="1:4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 t="str">
        <f>IF(Employee_data[[#This Row],[MonthlyIncome]]&lt;5000,"Low Income",
IF(Employee_data[[#This Row],[MonthlyIncome]]&lt;10000,"Medium Income","High Income"))</f>
        <v>High Income</v>
      </c>
      <c r="U302" t="s">
        <v>90</v>
      </c>
      <c r="V302" t="s">
        <v>90</v>
      </c>
      <c r="W302" t="s">
        <v>90</v>
      </c>
      <c r="X302" t="s">
        <v>90</v>
      </c>
      <c r="Y302">
        <v>15896</v>
      </c>
      <c r="Z302">
        <v>1</v>
      </c>
      <c r="AA302" t="s">
        <v>42</v>
      </c>
      <c r="AB302" t="s">
        <v>43</v>
      </c>
      <c r="AC302">
        <v>19</v>
      </c>
      <c r="AD302">
        <v>3</v>
      </c>
      <c r="AE302">
        <v>2</v>
      </c>
      <c r="AF302">
        <v>80</v>
      </c>
      <c r="AG302">
        <v>0</v>
      </c>
      <c r="AH3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302">
        <v>22</v>
      </c>
      <c r="AJ302" t="s">
        <v>76</v>
      </c>
      <c r="AK302">
        <v>2</v>
      </c>
      <c r="AL302" t="s">
        <v>76</v>
      </c>
      <c r="AM302">
        <v>3</v>
      </c>
      <c r="AN302" t="s">
        <v>76</v>
      </c>
      <c r="AO302">
        <v>22</v>
      </c>
      <c r="AP302" t="s">
        <v>76</v>
      </c>
      <c r="AQ302">
        <v>10</v>
      </c>
      <c r="AR302">
        <v>0</v>
      </c>
      <c r="AS302">
        <v>4</v>
      </c>
    </row>
    <row r="303" spans="1:4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 t="str">
        <f>IF(Employee_data[[#This Row],[MonthlyIncome]]&lt;5000,"Low Income",
IF(Employee_data[[#This Row],[MonthlyIncome]]&lt;10000,"Medium Income","High Income"))</f>
        <v>Low Income</v>
      </c>
      <c r="U303" t="s">
        <v>91</v>
      </c>
      <c r="V303" t="s">
        <v>91</v>
      </c>
      <c r="W303" t="s">
        <v>91</v>
      </c>
      <c r="X303" t="s">
        <v>91</v>
      </c>
      <c r="Y303">
        <v>9724</v>
      </c>
      <c r="Z303">
        <v>1</v>
      </c>
      <c r="AA303" t="s">
        <v>42</v>
      </c>
      <c r="AB303" t="s">
        <v>43</v>
      </c>
      <c r="AC303">
        <v>12</v>
      </c>
      <c r="AD303">
        <v>3</v>
      </c>
      <c r="AE303">
        <v>1</v>
      </c>
      <c r="AF303">
        <v>80</v>
      </c>
      <c r="AG303">
        <v>0</v>
      </c>
      <c r="AH3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03">
        <v>0</v>
      </c>
      <c r="AJ303" t="s">
        <v>74</v>
      </c>
      <c r="AK303">
        <v>2</v>
      </c>
      <c r="AL303" t="s">
        <v>74</v>
      </c>
      <c r="AM303">
        <v>3</v>
      </c>
      <c r="AN303" t="s">
        <v>74</v>
      </c>
      <c r="AO303">
        <v>0</v>
      </c>
      <c r="AP303" t="s">
        <v>74</v>
      </c>
      <c r="AQ303">
        <v>0</v>
      </c>
      <c r="AR303">
        <v>0</v>
      </c>
      <c r="AS303">
        <v>0</v>
      </c>
    </row>
    <row r="304" spans="1:4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 t="str">
        <f>IF(Employee_data[[#This Row],[MonthlyIncome]]&lt;5000,"Low Income",
IF(Employee_data[[#This Row],[MonthlyIncome]]&lt;10000,"Medium Income","High Income"))</f>
        <v>Medium Income</v>
      </c>
      <c r="U304" t="s">
        <v>92</v>
      </c>
      <c r="V304" t="s">
        <v>92</v>
      </c>
      <c r="W304" t="s">
        <v>92</v>
      </c>
      <c r="X304" t="s">
        <v>92</v>
      </c>
      <c r="Y304">
        <v>4824</v>
      </c>
      <c r="Z304">
        <v>0</v>
      </c>
      <c r="AA304" t="s">
        <v>42</v>
      </c>
      <c r="AB304" t="s">
        <v>43</v>
      </c>
      <c r="AC304">
        <v>19</v>
      </c>
      <c r="AD304">
        <v>3</v>
      </c>
      <c r="AE304">
        <v>3</v>
      </c>
      <c r="AF304">
        <v>80</v>
      </c>
      <c r="AG304">
        <v>0</v>
      </c>
      <c r="AH3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04">
        <v>9</v>
      </c>
      <c r="AJ304" t="s">
        <v>78</v>
      </c>
      <c r="AK304">
        <v>2</v>
      </c>
      <c r="AL304" t="s">
        <v>78</v>
      </c>
      <c r="AM304">
        <v>3</v>
      </c>
      <c r="AN304" t="s">
        <v>78</v>
      </c>
      <c r="AO304">
        <v>8</v>
      </c>
      <c r="AP304" t="s">
        <v>78</v>
      </c>
      <c r="AQ304">
        <v>3</v>
      </c>
      <c r="AR304">
        <v>0</v>
      </c>
      <c r="AS304">
        <v>7</v>
      </c>
    </row>
    <row r="305" spans="1:4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 t="str">
        <f>IF(Employee_data[[#This Row],[MonthlyIncome]]&lt;5000,"Low Income",
IF(Employee_data[[#This Row],[MonthlyIncome]]&lt;10000,"Medium Income","High Income"))</f>
        <v>Medium Income</v>
      </c>
      <c r="U305" t="s">
        <v>92</v>
      </c>
      <c r="V305" t="s">
        <v>92</v>
      </c>
      <c r="W305" t="s">
        <v>92</v>
      </c>
      <c r="X305" t="s">
        <v>92</v>
      </c>
      <c r="Y305">
        <v>12241</v>
      </c>
      <c r="Z305">
        <v>4</v>
      </c>
      <c r="AA305" t="s">
        <v>42</v>
      </c>
      <c r="AB305" t="s">
        <v>43</v>
      </c>
      <c r="AC305">
        <v>11</v>
      </c>
      <c r="AD305">
        <v>3</v>
      </c>
      <c r="AE305">
        <v>2</v>
      </c>
      <c r="AF305">
        <v>80</v>
      </c>
      <c r="AG305">
        <v>1</v>
      </c>
      <c r="AH3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05">
        <v>10</v>
      </c>
      <c r="AJ305" t="s">
        <v>78</v>
      </c>
      <c r="AK305">
        <v>3</v>
      </c>
      <c r="AL305" t="s">
        <v>78</v>
      </c>
      <c r="AM305">
        <v>2</v>
      </c>
      <c r="AN305" t="s">
        <v>78</v>
      </c>
      <c r="AO305">
        <v>8</v>
      </c>
      <c r="AP305" t="s">
        <v>78</v>
      </c>
      <c r="AQ305">
        <v>7</v>
      </c>
      <c r="AR305">
        <v>7</v>
      </c>
      <c r="AS305">
        <v>7</v>
      </c>
    </row>
    <row r="306" spans="1:4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 t="str">
        <f>IF(Employee_data[[#This Row],[MonthlyIncome]]&lt;5000,"Low Income",
IF(Employee_data[[#This Row],[MonthlyIncome]]&lt;10000,"Medium Income","High Income"))</f>
        <v>Medium Income</v>
      </c>
      <c r="U306" t="s">
        <v>92</v>
      </c>
      <c r="V306" t="s">
        <v>92</v>
      </c>
      <c r="W306" t="s">
        <v>92</v>
      </c>
      <c r="X306" t="s">
        <v>92</v>
      </c>
      <c r="Y306">
        <v>10942</v>
      </c>
      <c r="Z306">
        <v>0</v>
      </c>
      <c r="AA306" t="s">
        <v>42</v>
      </c>
      <c r="AB306" t="s">
        <v>43</v>
      </c>
      <c r="AC306">
        <v>17</v>
      </c>
      <c r="AD306">
        <v>3</v>
      </c>
      <c r="AE306">
        <v>1</v>
      </c>
      <c r="AF306">
        <v>80</v>
      </c>
      <c r="AG306">
        <v>3</v>
      </c>
      <c r="AH3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306">
        <v>19</v>
      </c>
      <c r="AJ306" t="s">
        <v>76</v>
      </c>
      <c r="AK306">
        <v>5</v>
      </c>
      <c r="AL306" t="s">
        <v>76</v>
      </c>
      <c r="AM306">
        <v>2</v>
      </c>
      <c r="AN306" t="s">
        <v>76</v>
      </c>
      <c r="AO306">
        <v>18</v>
      </c>
      <c r="AP306" t="s">
        <v>76</v>
      </c>
      <c r="AQ306">
        <v>10</v>
      </c>
      <c r="AR306">
        <v>3</v>
      </c>
      <c r="AS306">
        <v>7</v>
      </c>
    </row>
    <row r="307" spans="1:4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 t="str">
        <f>IF(Employee_data[[#This Row],[MonthlyIncome]]&lt;5000,"Low Income",
IF(Employee_data[[#This Row],[MonthlyIncome]]&lt;10000,"Medium Income","High Income"))</f>
        <v>Medium Income</v>
      </c>
      <c r="U307" t="s">
        <v>92</v>
      </c>
      <c r="V307" t="s">
        <v>92</v>
      </c>
      <c r="W307" t="s">
        <v>92</v>
      </c>
      <c r="X307" t="s">
        <v>92</v>
      </c>
      <c r="Y307">
        <v>6927</v>
      </c>
      <c r="Z307">
        <v>7</v>
      </c>
      <c r="AA307" t="s">
        <v>42</v>
      </c>
      <c r="AB307" t="s">
        <v>43</v>
      </c>
      <c r="AC307">
        <v>15</v>
      </c>
      <c r="AD307">
        <v>3</v>
      </c>
      <c r="AE307">
        <v>3</v>
      </c>
      <c r="AF307">
        <v>80</v>
      </c>
      <c r="AG307">
        <v>1</v>
      </c>
      <c r="AH3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07">
        <v>11</v>
      </c>
      <c r="AJ307" t="s">
        <v>78</v>
      </c>
      <c r="AK307">
        <v>3</v>
      </c>
      <c r="AL307" t="s">
        <v>78</v>
      </c>
      <c r="AM307">
        <v>3</v>
      </c>
      <c r="AN307" t="s">
        <v>78</v>
      </c>
      <c r="AO307">
        <v>9</v>
      </c>
      <c r="AP307" t="s">
        <v>78</v>
      </c>
      <c r="AQ307">
        <v>8</v>
      </c>
      <c r="AR307">
        <v>0</v>
      </c>
      <c r="AS307">
        <v>8</v>
      </c>
    </row>
    <row r="308" spans="1:4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 t="str">
        <f>IF(Employee_data[[#This Row],[MonthlyIncome]]&lt;5000,"Low Income",
IF(Employee_data[[#This Row],[MonthlyIncome]]&lt;10000,"Medium Income","High Income"))</f>
        <v>Medium Income</v>
      </c>
      <c r="U308" t="s">
        <v>92</v>
      </c>
      <c r="V308" t="s">
        <v>92</v>
      </c>
      <c r="W308" t="s">
        <v>92</v>
      </c>
      <c r="X308" t="s">
        <v>92</v>
      </c>
      <c r="Y308">
        <v>16985</v>
      </c>
      <c r="Z308">
        <v>1</v>
      </c>
      <c r="AA308" t="s">
        <v>42</v>
      </c>
      <c r="AB308" t="s">
        <v>43</v>
      </c>
      <c r="AC308">
        <v>14</v>
      </c>
      <c r="AD308">
        <v>3</v>
      </c>
      <c r="AE308">
        <v>3</v>
      </c>
      <c r="AF308">
        <v>80</v>
      </c>
      <c r="AG308">
        <v>1</v>
      </c>
      <c r="AH3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08">
        <v>13</v>
      </c>
      <c r="AJ308" t="s">
        <v>75</v>
      </c>
      <c r="AK308">
        <v>3</v>
      </c>
      <c r="AL308" t="s">
        <v>75</v>
      </c>
      <c r="AM308">
        <v>2</v>
      </c>
      <c r="AN308" t="s">
        <v>75</v>
      </c>
      <c r="AO308">
        <v>13</v>
      </c>
      <c r="AP308" t="s">
        <v>75</v>
      </c>
      <c r="AQ308">
        <v>8</v>
      </c>
      <c r="AR308">
        <v>4</v>
      </c>
      <c r="AS308">
        <v>8</v>
      </c>
    </row>
    <row r="309" spans="1:4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 t="str">
        <f>IF(Employee_data[[#This Row],[MonthlyIncome]]&lt;5000,"Low Income",
IF(Employee_data[[#This Row],[MonthlyIncome]]&lt;10000,"Medium Income","High Income"))</f>
        <v>High Income</v>
      </c>
      <c r="U309" t="s">
        <v>90</v>
      </c>
      <c r="V309" t="s">
        <v>90</v>
      </c>
      <c r="W309" t="s">
        <v>90</v>
      </c>
      <c r="X309" t="s">
        <v>90</v>
      </c>
      <c r="Y309">
        <v>26707</v>
      </c>
      <c r="Z309">
        <v>3</v>
      </c>
      <c r="AA309" t="s">
        <v>42</v>
      </c>
      <c r="AB309" t="s">
        <v>43</v>
      </c>
      <c r="AC309">
        <v>17</v>
      </c>
      <c r="AD309">
        <v>3</v>
      </c>
      <c r="AE309">
        <v>3</v>
      </c>
      <c r="AF309">
        <v>80</v>
      </c>
      <c r="AG309">
        <v>1</v>
      </c>
      <c r="AH3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09">
        <v>19</v>
      </c>
      <c r="AJ309" t="s">
        <v>75</v>
      </c>
      <c r="AK309">
        <v>2</v>
      </c>
      <c r="AL309" t="s">
        <v>75</v>
      </c>
      <c r="AM309">
        <v>3</v>
      </c>
      <c r="AN309" t="s">
        <v>75</v>
      </c>
      <c r="AO309">
        <v>10</v>
      </c>
      <c r="AP309" t="s">
        <v>75</v>
      </c>
      <c r="AQ309">
        <v>8</v>
      </c>
      <c r="AR309">
        <v>0</v>
      </c>
      <c r="AS309">
        <v>1</v>
      </c>
    </row>
    <row r="310" spans="1:4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 t="str">
        <f>IF(Employee_data[[#This Row],[MonthlyIncome]]&lt;5000,"Low Income",
IF(Employee_data[[#This Row],[MonthlyIncome]]&lt;10000,"Medium Income","High Income"))</f>
        <v>Medium Income</v>
      </c>
      <c r="U310" t="s">
        <v>92</v>
      </c>
      <c r="V310" t="s">
        <v>92</v>
      </c>
      <c r="W310" t="s">
        <v>92</v>
      </c>
      <c r="X310" t="s">
        <v>92</v>
      </c>
      <c r="Y310">
        <v>17056</v>
      </c>
      <c r="Z310">
        <v>2</v>
      </c>
      <c r="AA310" t="s">
        <v>42</v>
      </c>
      <c r="AB310" t="s">
        <v>35</v>
      </c>
      <c r="AC310">
        <v>13</v>
      </c>
      <c r="AD310">
        <v>3</v>
      </c>
      <c r="AE310">
        <v>4</v>
      </c>
      <c r="AF310">
        <v>80</v>
      </c>
      <c r="AG310">
        <v>1</v>
      </c>
      <c r="AH3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10">
        <v>12</v>
      </c>
      <c r="AJ310" t="s">
        <v>78</v>
      </c>
      <c r="AK310">
        <v>2</v>
      </c>
      <c r="AL310" t="s">
        <v>78</v>
      </c>
      <c r="AM310">
        <v>3</v>
      </c>
      <c r="AN310" t="s">
        <v>78</v>
      </c>
      <c r="AO310">
        <v>5</v>
      </c>
      <c r="AP310" t="s">
        <v>78</v>
      </c>
      <c r="AQ310">
        <v>3</v>
      </c>
      <c r="AR310">
        <v>1</v>
      </c>
      <c r="AS310">
        <v>2</v>
      </c>
    </row>
    <row r="311" spans="1:4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 t="str">
        <f>IF(Employee_data[[#This Row],[MonthlyIncome]]&lt;5000,"Low Income",
IF(Employee_data[[#This Row],[MonthlyIncome]]&lt;10000,"Medium Income","High Income"))</f>
        <v>Low Income</v>
      </c>
      <c r="U311" t="s">
        <v>91</v>
      </c>
      <c r="V311" t="s">
        <v>91</v>
      </c>
      <c r="W311" t="s">
        <v>91</v>
      </c>
      <c r="X311" t="s">
        <v>91</v>
      </c>
      <c r="Y311">
        <v>10077</v>
      </c>
      <c r="Z311">
        <v>0</v>
      </c>
      <c r="AA311" t="s">
        <v>42</v>
      </c>
      <c r="AB311" t="s">
        <v>35</v>
      </c>
      <c r="AC311">
        <v>12</v>
      </c>
      <c r="AD311">
        <v>3</v>
      </c>
      <c r="AE311">
        <v>3</v>
      </c>
      <c r="AF311">
        <v>80</v>
      </c>
      <c r="AG311">
        <v>1</v>
      </c>
      <c r="AH3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11">
        <v>6</v>
      </c>
      <c r="AJ311" t="s">
        <v>78</v>
      </c>
      <c r="AK311">
        <v>4</v>
      </c>
      <c r="AL311" t="s">
        <v>78</v>
      </c>
      <c r="AM311">
        <v>3</v>
      </c>
      <c r="AN311" t="s">
        <v>78</v>
      </c>
      <c r="AO311">
        <v>5</v>
      </c>
      <c r="AP311" t="s">
        <v>78</v>
      </c>
      <c r="AQ311">
        <v>2</v>
      </c>
      <c r="AR311">
        <v>0</v>
      </c>
      <c r="AS311">
        <v>3</v>
      </c>
    </row>
    <row r="312" spans="1:4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 t="str">
        <f>IF(Employee_data[[#This Row],[MonthlyIncome]]&lt;5000,"Low Income",
IF(Employee_data[[#This Row],[MonthlyIncome]]&lt;10000,"Medium Income","High Income"))</f>
        <v>Medium Income</v>
      </c>
      <c r="U312" t="s">
        <v>92</v>
      </c>
      <c r="V312" t="s">
        <v>92</v>
      </c>
      <c r="W312" t="s">
        <v>92</v>
      </c>
      <c r="X312" t="s">
        <v>92</v>
      </c>
      <c r="Y312">
        <v>17822</v>
      </c>
      <c r="Z312">
        <v>3</v>
      </c>
      <c r="AA312" t="s">
        <v>42</v>
      </c>
      <c r="AB312" t="s">
        <v>43</v>
      </c>
      <c r="AC312">
        <v>12</v>
      </c>
      <c r="AD312">
        <v>3</v>
      </c>
      <c r="AE312">
        <v>4</v>
      </c>
      <c r="AF312">
        <v>80</v>
      </c>
      <c r="AG312">
        <v>0</v>
      </c>
      <c r="AH3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12">
        <v>9</v>
      </c>
      <c r="AJ312" t="s">
        <v>74</v>
      </c>
      <c r="AK312">
        <v>1</v>
      </c>
      <c r="AL312" t="s">
        <v>74</v>
      </c>
      <c r="AM312">
        <v>3</v>
      </c>
      <c r="AN312" t="s">
        <v>74</v>
      </c>
      <c r="AO312">
        <v>2</v>
      </c>
      <c r="AP312" t="s">
        <v>74</v>
      </c>
      <c r="AQ312">
        <v>2</v>
      </c>
      <c r="AR312">
        <v>1</v>
      </c>
      <c r="AS312">
        <v>0</v>
      </c>
    </row>
    <row r="313" spans="1:4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 t="str">
        <f>IF(Employee_data[[#This Row],[MonthlyIncome]]&lt;5000,"Low Income",
IF(Employee_data[[#This Row],[MonthlyIncome]]&lt;10000,"Medium Income","High Income"))</f>
        <v>Medium Income</v>
      </c>
      <c r="U313" t="s">
        <v>92</v>
      </c>
      <c r="V313" t="s">
        <v>92</v>
      </c>
      <c r="W313" t="s">
        <v>92</v>
      </c>
      <c r="X313" t="s">
        <v>92</v>
      </c>
      <c r="Y313">
        <v>20308</v>
      </c>
      <c r="Z313">
        <v>1</v>
      </c>
      <c r="AA313" t="s">
        <v>42</v>
      </c>
      <c r="AB313" t="s">
        <v>43</v>
      </c>
      <c r="AC313">
        <v>18</v>
      </c>
      <c r="AD313">
        <v>3</v>
      </c>
      <c r="AE313">
        <v>1</v>
      </c>
      <c r="AF313">
        <v>80</v>
      </c>
      <c r="AG313">
        <v>1</v>
      </c>
      <c r="AH3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313">
        <v>24</v>
      </c>
      <c r="AJ313" t="s">
        <v>76</v>
      </c>
      <c r="AK313">
        <v>2</v>
      </c>
      <c r="AL313" t="s">
        <v>76</v>
      </c>
      <c r="AM313">
        <v>3</v>
      </c>
      <c r="AN313" t="s">
        <v>76</v>
      </c>
      <c r="AO313">
        <v>24</v>
      </c>
      <c r="AP313" t="s">
        <v>76</v>
      </c>
      <c r="AQ313">
        <v>9</v>
      </c>
      <c r="AR313">
        <v>9</v>
      </c>
      <c r="AS313">
        <v>11</v>
      </c>
    </row>
    <row r="314" spans="1:4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 t="str">
        <f>IF(Employee_data[[#This Row],[MonthlyIncome]]&lt;5000,"Low Income",
IF(Employee_data[[#This Row],[MonthlyIncome]]&lt;10000,"Medium Income","High Income"))</f>
        <v>Low Income</v>
      </c>
      <c r="U314" t="s">
        <v>91</v>
      </c>
      <c r="V314" t="s">
        <v>91</v>
      </c>
      <c r="W314" t="s">
        <v>91</v>
      </c>
      <c r="X314" t="s">
        <v>91</v>
      </c>
      <c r="Y314">
        <v>7747</v>
      </c>
      <c r="Z314">
        <v>0</v>
      </c>
      <c r="AA314" t="s">
        <v>42</v>
      </c>
      <c r="AB314" t="s">
        <v>35</v>
      </c>
      <c r="AC314">
        <v>18</v>
      </c>
      <c r="AD314">
        <v>3</v>
      </c>
      <c r="AE314">
        <v>2</v>
      </c>
      <c r="AF314">
        <v>80</v>
      </c>
      <c r="AG314">
        <v>1</v>
      </c>
      <c r="AH3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14">
        <v>3</v>
      </c>
      <c r="AJ314" t="s">
        <v>74</v>
      </c>
      <c r="AK314">
        <v>2</v>
      </c>
      <c r="AL314" t="s">
        <v>74</v>
      </c>
      <c r="AM314">
        <v>1</v>
      </c>
      <c r="AN314" t="s">
        <v>74</v>
      </c>
      <c r="AO314">
        <v>2</v>
      </c>
      <c r="AP314" t="s">
        <v>74</v>
      </c>
      <c r="AQ314">
        <v>2</v>
      </c>
      <c r="AR314">
        <v>2</v>
      </c>
      <c r="AS314">
        <v>2</v>
      </c>
    </row>
    <row r="315" spans="1:4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 t="str">
        <f>IF(Employee_data[[#This Row],[MonthlyIncome]]&lt;5000,"Low Income",
IF(Employee_data[[#This Row],[MonthlyIncome]]&lt;10000,"Medium Income","High Income"))</f>
        <v>High Income</v>
      </c>
      <c r="U315" t="s">
        <v>90</v>
      </c>
      <c r="V315" t="s">
        <v>90</v>
      </c>
      <c r="W315" t="s">
        <v>90</v>
      </c>
      <c r="X315" t="s">
        <v>90</v>
      </c>
      <c r="Y315">
        <v>23364</v>
      </c>
      <c r="Z315">
        <v>6</v>
      </c>
      <c r="AA315" t="s">
        <v>42</v>
      </c>
      <c r="AB315" t="s">
        <v>43</v>
      </c>
      <c r="AC315">
        <v>11</v>
      </c>
      <c r="AD315">
        <v>3</v>
      </c>
      <c r="AE315">
        <v>2</v>
      </c>
      <c r="AF315">
        <v>80</v>
      </c>
      <c r="AG315">
        <v>2</v>
      </c>
      <c r="AH3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15">
        <v>12</v>
      </c>
      <c r="AJ315" t="s">
        <v>75</v>
      </c>
      <c r="AK315">
        <v>2</v>
      </c>
      <c r="AL315" t="s">
        <v>75</v>
      </c>
      <c r="AM315">
        <v>3</v>
      </c>
      <c r="AN315" t="s">
        <v>75</v>
      </c>
      <c r="AO315">
        <v>10</v>
      </c>
      <c r="AP315" t="s">
        <v>75</v>
      </c>
      <c r="AQ315">
        <v>6</v>
      </c>
      <c r="AR315">
        <v>8</v>
      </c>
      <c r="AS315">
        <v>8</v>
      </c>
    </row>
    <row r="316" spans="1:4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 t="str">
        <f>IF(Employee_data[[#This Row],[MonthlyIncome]]&lt;5000,"Low Income",
IF(Employee_data[[#This Row],[MonthlyIncome]]&lt;10000,"Medium Income","High Income"))</f>
        <v>High Income</v>
      </c>
      <c r="U316" t="s">
        <v>90</v>
      </c>
      <c r="V316" t="s">
        <v>90</v>
      </c>
      <c r="W316" t="s">
        <v>90</v>
      </c>
      <c r="X316" t="s">
        <v>90</v>
      </c>
      <c r="Y316">
        <v>5355</v>
      </c>
      <c r="Z316">
        <v>1</v>
      </c>
      <c r="AA316" t="s">
        <v>42</v>
      </c>
      <c r="AB316" t="s">
        <v>35</v>
      </c>
      <c r="AC316">
        <v>14</v>
      </c>
      <c r="AD316">
        <v>3</v>
      </c>
      <c r="AE316">
        <v>4</v>
      </c>
      <c r="AF316">
        <v>80</v>
      </c>
      <c r="AG316">
        <v>0</v>
      </c>
      <c r="AH3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316">
        <v>21</v>
      </c>
      <c r="AJ316" t="s">
        <v>76</v>
      </c>
      <c r="AK316">
        <v>3</v>
      </c>
      <c r="AL316" t="s">
        <v>76</v>
      </c>
      <c r="AM316">
        <v>3</v>
      </c>
      <c r="AN316" t="s">
        <v>76</v>
      </c>
      <c r="AO316">
        <v>21</v>
      </c>
      <c r="AP316" t="s">
        <v>76</v>
      </c>
      <c r="AQ316">
        <v>9</v>
      </c>
      <c r="AR316">
        <v>11</v>
      </c>
      <c r="AS316">
        <v>10</v>
      </c>
    </row>
    <row r="317" spans="1:4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 t="str">
        <f>IF(Employee_data[[#This Row],[MonthlyIncome]]&lt;5000,"Low Income",
IF(Employee_data[[#This Row],[MonthlyIncome]]&lt;10000,"Medium Income","High Income"))</f>
        <v>Low Income</v>
      </c>
      <c r="U317" t="s">
        <v>91</v>
      </c>
      <c r="V317" t="s">
        <v>91</v>
      </c>
      <c r="W317" t="s">
        <v>91</v>
      </c>
      <c r="X317" t="s">
        <v>91</v>
      </c>
      <c r="Y317">
        <v>10675</v>
      </c>
      <c r="Z317">
        <v>0</v>
      </c>
      <c r="AA317" t="s">
        <v>42</v>
      </c>
      <c r="AB317" t="s">
        <v>43</v>
      </c>
      <c r="AC317">
        <v>19</v>
      </c>
      <c r="AD317">
        <v>3</v>
      </c>
      <c r="AE317">
        <v>1</v>
      </c>
      <c r="AF317">
        <v>80</v>
      </c>
      <c r="AG317">
        <v>0</v>
      </c>
      <c r="AH3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17">
        <v>9</v>
      </c>
      <c r="AJ317" t="s">
        <v>78</v>
      </c>
      <c r="AK317">
        <v>5</v>
      </c>
      <c r="AL317" t="s">
        <v>78</v>
      </c>
      <c r="AM317">
        <v>3</v>
      </c>
      <c r="AN317" t="s">
        <v>78</v>
      </c>
      <c r="AO317">
        <v>8</v>
      </c>
      <c r="AP317" t="s">
        <v>78</v>
      </c>
      <c r="AQ317">
        <v>7</v>
      </c>
      <c r="AR317">
        <v>1</v>
      </c>
      <c r="AS317">
        <v>7</v>
      </c>
    </row>
    <row r="318" spans="1:4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 t="str">
        <f>IF(Employee_data[[#This Row],[MonthlyIncome]]&lt;5000,"Low Income",
IF(Employee_data[[#This Row],[MonthlyIncome]]&lt;10000,"Medium Income","High Income"))</f>
        <v>High Income</v>
      </c>
      <c r="U318" t="s">
        <v>90</v>
      </c>
      <c r="V318" t="s">
        <v>90</v>
      </c>
      <c r="W318" t="s">
        <v>90</v>
      </c>
      <c r="X318" t="s">
        <v>90</v>
      </c>
      <c r="Y318">
        <v>17810</v>
      </c>
      <c r="Z318">
        <v>7</v>
      </c>
      <c r="AA318" t="s">
        <v>42</v>
      </c>
      <c r="AB318" t="s">
        <v>35</v>
      </c>
      <c r="AC318">
        <v>12</v>
      </c>
      <c r="AD318">
        <v>3</v>
      </c>
      <c r="AE318">
        <v>4</v>
      </c>
      <c r="AF318">
        <v>80</v>
      </c>
      <c r="AG318">
        <v>0</v>
      </c>
      <c r="AH3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18">
        <v>25</v>
      </c>
      <c r="AJ318" t="s">
        <v>78</v>
      </c>
      <c r="AK318">
        <v>2</v>
      </c>
      <c r="AL318" t="s">
        <v>78</v>
      </c>
      <c r="AM318">
        <v>3</v>
      </c>
      <c r="AN318" t="s">
        <v>78</v>
      </c>
      <c r="AO318">
        <v>7</v>
      </c>
      <c r="AP318" t="s">
        <v>78</v>
      </c>
      <c r="AQ318">
        <v>1</v>
      </c>
      <c r="AR318">
        <v>0</v>
      </c>
      <c r="AS318">
        <v>7</v>
      </c>
    </row>
    <row r="319" spans="1:4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 t="str">
        <f>IF(Employee_data[[#This Row],[MonthlyIncome]]&lt;5000,"Low Income",
IF(Employee_data[[#This Row],[MonthlyIncome]]&lt;10000,"Medium Income","High Income"))</f>
        <v>Low Income</v>
      </c>
      <c r="U319" t="s">
        <v>91</v>
      </c>
      <c r="V319" t="s">
        <v>91</v>
      </c>
      <c r="W319" t="s">
        <v>91</v>
      </c>
      <c r="X319" t="s">
        <v>91</v>
      </c>
      <c r="Y319">
        <v>17747</v>
      </c>
      <c r="Z319">
        <v>2</v>
      </c>
      <c r="AA319" t="s">
        <v>42</v>
      </c>
      <c r="AB319" t="s">
        <v>43</v>
      </c>
      <c r="AC319">
        <v>15</v>
      </c>
      <c r="AD319">
        <v>3</v>
      </c>
      <c r="AE319">
        <v>1</v>
      </c>
      <c r="AF319">
        <v>80</v>
      </c>
      <c r="AG319">
        <v>0</v>
      </c>
      <c r="AH3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19">
        <v>11</v>
      </c>
      <c r="AJ319" t="s">
        <v>78</v>
      </c>
      <c r="AK319">
        <v>3</v>
      </c>
      <c r="AL319" t="s">
        <v>78</v>
      </c>
      <c r="AM319">
        <v>2</v>
      </c>
      <c r="AN319" t="s">
        <v>78</v>
      </c>
      <c r="AO319">
        <v>8</v>
      </c>
      <c r="AP319" t="s">
        <v>78</v>
      </c>
      <c r="AQ319">
        <v>2</v>
      </c>
      <c r="AR319">
        <v>7</v>
      </c>
      <c r="AS319">
        <v>7</v>
      </c>
    </row>
    <row r="320" spans="1:4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 t="str">
        <f>IF(Employee_data[[#This Row],[MonthlyIncome]]&lt;5000,"Low Income",
IF(Employee_data[[#This Row],[MonthlyIncome]]&lt;10000,"Medium Income","High Income"))</f>
        <v>Low Income</v>
      </c>
      <c r="U320" t="s">
        <v>91</v>
      </c>
      <c r="V320" t="s">
        <v>91</v>
      </c>
      <c r="W320" t="s">
        <v>91</v>
      </c>
      <c r="X320" t="s">
        <v>91</v>
      </c>
      <c r="Y320">
        <v>20938</v>
      </c>
      <c r="Z320">
        <v>1</v>
      </c>
      <c r="AA320" t="s">
        <v>42</v>
      </c>
      <c r="AB320" t="s">
        <v>35</v>
      </c>
      <c r="AC320">
        <v>12</v>
      </c>
      <c r="AD320">
        <v>3</v>
      </c>
      <c r="AE320">
        <v>2</v>
      </c>
      <c r="AF320">
        <v>80</v>
      </c>
      <c r="AG320">
        <v>0</v>
      </c>
      <c r="AH3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20">
        <v>4</v>
      </c>
      <c r="AJ320" t="s">
        <v>74</v>
      </c>
      <c r="AK320">
        <v>2</v>
      </c>
      <c r="AL320" t="s">
        <v>74</v>
      </c>
      <c r="AM320">
        <v>2</v>
      </c>
      <c r="AN320" t="s">
        <v>74</v>
      </c>
      <c r="AO320">
        <v>4</v>
      </c>
      <c r="AP320" t="s">
        <v>74</v>
      </c>
      <c r="AQ320">
        <v>3</v>
      </c>
      <c r="AR320">
        <v>1</v>
      </c>
      <c r="AS320">
        <v>2</v>
      </c>
    </row>
    <row r="321" spans="1:4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 t="str">
        <f>IF(Employee_data[[#This Row],[MonthlyIncome]]&lt;5000,"Low Income",
IF(Employee_data[[#This Row],[MonthlyIncome]]&lt;10000,"Medium Income","High Income"))</f>
        <v>Medium Income</v>
      </c>
      <c r="U321" t="s">
        <v>92</v>
      </c>
      <c r="V321" t="s">
        <v>92</v>
      </c>
      <c r="W321" t="s">
        <v>92</v>
      </c>
      <c r="X321" t="s">
        <v>92</v>
      </c>
      <c r="Y321">
        <v>24624</v>
      </c>
      <c r="Z321">
        <v>1</v>
      </c>
      <c r="AA321" t="s">
        <v>42</v>
      </c>
      <c r="AB321" t="s">
        <v>35</v>
      </c>
      <c r="AC321">
        <v>11</v>
      </c>
      <c r="AD321">
        <v>3</v>
      </c>
      <c r="AE321">
        <v>4</v>
      </c>
      <c r="AF321">
        <v>80</v>
      </c>
      <c r="AG321">
        <v>0</v>
      </c>
      <c r="AH3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21">
        <v>13</v>
      </c>
      <c r="AJ321" t="s">
        <v>75</v>
      </c>
      <c r="AK321">
        <v>2</v>
      </c>
      <c r="AL321" t="s">
        <v>75</v>
      </c>
      <c r="AM321">
        <v>3</v>
      </c>
      <c r="AN321" t="s">
        <v>75</v>
      </c>
      <c r="AO321">
        <v>13</v>
      </c>
      <c r="AP321" t="s">
        <v>75</v>
      </c>
      <c r="AQ321">
        <v>12</v>
      </c>
      <c r="AR321">
        <v>11</v>
      </c>
      <c r="AS321">
        <v>9</v>
      </c>
    </row>
    <row r="322" spans="1:4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 t="str">
        <f>IF(Employee_data[[#This Row],[MonthlyIncome]]&lt;5000,"Low Income",
IF(Employee_data[[#This Row],[MonthlyIncome]]&lt;10000,"Medium Income","High Income"))</f>
        <v>Low Income</v>
      </c>
      <c r="U322" t="s">
        <v>91</v>
      </c>
      <c r="V322" t="s">
        <v>91</v>
      </c>
      <c r="W322" t="s">
        <v>91</v>
      </c>
      <c r="X322" t="s">
        <v>91</v>
      </c>
      <c r="Y322">
        <v>5242</v>
      </c>
      <c r="Z322">
        <v>1</v>
      </c>
      <c r="AA322" t="s">
        <v>42</v>
      </c>
      <c r="AB322" t="s">
        <v>35</v>
      </c>
      <c r="AC322">
        <v>11</v>
      </c>
      <c r="AD322">
        <v>3</v>
      </c>
      <c r="AE322">
        <v>1</v>
      </c>
      <c r="AF322">
        <v>80</v>
      </c>
      <c r="AG322">
        <v>0</v>
      </c>
      <c r="AH3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22">
        <v>5</v>
      </c>
      <c r="AJ322" t="s">
        <v>78</v>
      </c>
      <c r="AK322">
        <v>3</v>
      </c>
      <c r="AL322" t="s">
        <v>78</v>
      </c>
      <c r="AM322">
        <v>3</v>
      </c>
      <c r="AN322" t="s">
        <v>78</v>
      </c>
      <c r="AO322">
        <v>5</v>
      </c>
      <c r="AP322" t="s">
        <v>78</v>
      </c>
      <c r="AQ322">
        <v>4</v>
      </c>
      <c r="AR322">
        <v>0</v>
      </c>
      <c r="AS322">
        <v>4</v>
      </c>
    </row>
    <row r="323" spans="1:4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 t="str">
        <f>IF(Employee_data[[#This Row],[MonthlyIncome]]&lt;5000,"Low Income",
IF(Employee_data[[#This Row],[MonthlyIncome]]&lt;10000,"Medium Income","High Income"))</f>
        <v>Medium Income</v>
      </c>
      <c r="U323" t="s">
        <v>92</v>
      </c>
      <c r="V323" t="s">
        <v>92</v>
      </c>
      <c r="W323" t="s">
        <v>92</v>
      </c>
      <c r="X323" t="s">
        <v>92</v>
      </c>
      <c r="Y323">
        <v>7143</v>
      </c>
      <c r="Z323">
        <v>4</v>
      </c>
      <c r="AA323" t="s">
        <v>42</v>
      </c>
      <c r="AB323" t="s">
        <v>43</v>
      </c>
      <c r="AC323">
        <v>12</v>
      </c>
      <c r="AD323">
        <v>3</v>
      </c>
      <c r="AE323">
        <v>4</v>
      </c>
      <c r="AF323">
        <v>80</v>
      </c>
      <c r="AG323">
        <v>3</v>
      </c>
      <c r="AH3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23">
        <v>13</v>
      </c>
      <c r="AJ323" t="s">
        <v>78</v>
      </c>
      <c r="AK323">
        <v>3</v>
      </c>
      <c r="AL323" t="s">
        <v>78</v>
      </c>
      <c r="AM323">
        <v>3</v>
      </c>
      <c r="AN323" t="s">
        <v>78</v>
      </c>
      <c r="AO323">
        <v>7</v>
      </c>
      <c r="AP323" t="s">
        <v>78</v>
      </c>
      <c r="AQ323">
        <v>7</v>
      </c>
      <c r="AR323">
        <v>1</v>
      </c>
      <c r="AS323">
        <v>7</v>
      </c>
    </row>
    <row r="324" spans="1:4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 t="str">
        <f>IF(Employee_data[[#This Row],[MonthlyIncome]]&lt;5000,"Low Income",
IF(Employee_data[[#This Row],[MonthlyIncome]]&lt;10000,"Medium Income","High Income"))</f>
        <v>Medium Income</v>
      </c>
      <c r="U324" t="s">
        <v>92</v>
      </c>
      <c r="V324" t="s">
        <v>92</v>
      </c>
      <c r="W324" t="s">
        <v>92</v>
      </c>
      <c r="X324" t="s">
        <v>92</v>
      </c>
      <c r="Y324">
        <v>10557</v>
      </c>
      <c r="Z324">
        <v>7</v>
      </c>
      <c r="AA324" t="s">
        <v>42</v>
      </c>
      <c r="AB324" t="s">
        <v>43</v>
      </c>
      <c r="AC324">
        <v>16</v>
      </c>
      <c r="AD324">
        <v>3</v>
      </c>
      <c r="AE324">
        <v>3</v>
      </c>
      <c r="AF324">
        <v>80</v>
      </c>
      <c r="AG324">
        <v>0</v>
      </c>
      <c r="AH3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24">
        <v>10</v>
      </c>
      <c r="AJ324" t="s">
        <v>78</v>
      </c>
      <c r="AK324">
        <v>0</v>
      </c>
      <c r="AL324" t="s">
        <v>78</v>
      </c>
      <c r="AM324">
        <v>2</v>
      </c>
      <c r="AN324" t="s">
        <v>78</v>
      </c>
      <c r="AO324">
        <v>7</v>
      </c>
      <c r="AP324" t="s">
        <v>78</v>
      </c>
      <c r="AQ324">
        <v>7</v>
      </c>
      <c r="AR324">
        <v>0</v>
      </c>
      <c r="AS324">
        <v>7</v>
      </c>
    </row>
    <row r="325" spans="1:4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 t="str">
        <f>IF(Employee_data[[#This Row],[MonthlyIncome]]&lt;5000,"Low Income",
IF(Employee_data[[#This Row],[MonthlyIncome]]&lt;10000,"Medium Income","High Income"))</f>
        <v>Low Income</v>
      </c>
      <c r="U325" t="s">
        <v>91</v>
      </c>
      <c r="V325" t="s">
        <v>91</v>
      </c>
      <c r="W325" t="s">
        <v>91</v>
      </c>
      <c r="X325" t="s">
        <v>91</v>
      </c>
      <c r="Y325">
        <v>24737</v>
      </c>
      <c r="Z325">
        <v>5</v>
      </c>
      <c r="AA325" t="s">
        <v>42</v>
      </c>
      <c r="AB325" t="s">
        <v>35</v>
      </c>
      <c r="AC325">
        <v>13</v>
      </c>
      <c r="AD325">
        <v>3</v>
      </c>
      <c r="AE325">
        <v>4</v>
      </c>
      <c r="AF325">
        <v>80</v>
      </c>
      <c r="AG325">
        <v>0</v>
      </c>
      <c r="AH3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25">
        <v>5</v>
      </c>
      <c r="AJ325" t="s">
        <v>74</v>
      </c>
      <c r="AK325">
        <v>4</v>
      </c>
      <c r="AL325" t="s">
        <v>74</v>
      </c>
      <c r="AM325">
        <v>2</v>
      </c>
      <c r="AN325" t="s">
        <v>74</v>
      </c>
      <c r="AO325">
        <v>3</v>
      </c>
      <c r="AP325" t="s">
        <v>74</v>
      </c>
      <c r="AQ325">
        <v>2</v>
      </c>
      <c r="AR325">
        <v>2</v>
      </c>
      <c r="AS325">
        <v>2</v>
      </c>
    </row>
    <row r="326" spans="1:4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 t="str">
        <f>IF(Employee_data[[#This Row],[MonthlyIncome]]&lt;5000,"Low Income",
IF(Employee_data[[#This Row],[MonthlyIncome]]&lt;10000,"Medium Income","High Income"))</f>
        <v>Medium Income</v>
      </c>
      <c r="U326" t="s">
        <v>92</v>
      </c>
      <c r="V326" t="s">
        <v>92</v>
      </c>
      <c r="W326" t="s">
        <v>92</v>
      </c>
      <c r="X326" t="s">
        <v>92</v>
      </c>
      <c r="Y326">
        <v>11934</v>
      </c>
      <c r="Z326">
        <v>1</v>
      </c>
      <c r="AA326" t="s">
        <v>42</v>
      </c>
      <c r="AB326" t="s">
        <v>43</v>
      </c>
      <c r="AC326">
        <v>13</v>
      </c>
      <c r="AD326">
        <v>3</v>
      </c>
      <c r="AE326">
        <v>4</v>
      </c>
      <c r="AF326">
        <v>80</v>
      </c>
      <c r="AG326">
        <v>2</v>
      </c>
      <c r="AH3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26">
        <v>11</v>
      </c>
      <c r="AJ326" t="s">
        <v>75</v>
      </c>
      <c r="AK326">
        <v>2</v>
      </c>
      <c r="AL326" t="s">
        <v>75</v>
      </c>
      <c r="AM326">
        <v>3</v>
      </c>
      <c r="AN326" t="s">
        <v>75</v>
      </c>
      <c r="AO326">
        <v>10</v>
      </c>
      <c r="AP326" t="s">
        <v>75</v>
      </c>
      <c r="AQ326">
        <v>8</v>
      </c>
      <c r="AR326">
        <v>1</v>
      </c>
      <c r="AS326">
        <v>9</v>
      </c>
    </row>
    <row r="327" spans="1:4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 t="str">
        <f>IF(Employee_data[[#This Row],[MonthlyIncome]]&lt;5000,"Low Income",
IF(Employee_data[[#This Row],[MonthlyIncome]]&lt;10000,"Medium Income","High Income"))</f>
        <v>Medium Income</v>
      </c>
      <c r="U327" t="s">
        <v>92</v>
      </c>
      <c r="V327" t="s">
        <v>92</v>
      </c>
      <c r="W327" t="s">
        <v>92</v>
      </c>
      <c r="X327" t="s">
        <v>92</v>
      </c>
      <c r="Y327">
        <v>14034</v>
      </c>
      <c r="Z327">
        <v>1</v>
      </c>
      <c r="AA327" t="s">
        <v>42</v>
      </c>
      <c r="AB327" t="s">
        <v>43</v>
      </c>
      <c r="AC327">
        <v>24</v>
      </c>
      <c r="AD327">
        <v>4</v>
      </c>
      <c r="AE327">
        <v>1</v>
      </c>
      <c r="AF327">
        <v>80</v>
      </c>
      <c r="AG327">
        <v>1</v>
      </c>
      <c r="AH3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27">
        <v>10</v>
      </c>
      <c r="AJ327" t="s">
        <v>75</v>
      </c>
      <c r="AK327">
        <v>2</v>
      </c>
      <c r="AL327" t="s">
        <v>75</v>
      </c>
      <c r="AM327">
        <v>3</v>
      </c>
      <c r="AN327" t="s">
        <v>75</v>
      </c>
      <c r="AO327">
        <v>10</v>
      </c>
      <c r="AP327" t="s">
        <v>75</v>
      </c>
      <c r="AQ327">
        <v>9</v>
      </c>
      <c r="AR327">
        <v>8</v>
      </c>
      <c r="AS327">
        <v>9</v>
      </c>
    </row>
    <row r="328" spans="1:4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 t="str">
        <f>IF(Employee_data[[#This Row],[MonthlyIncome]]&lt;5000,"Low Income",
IF(Employee_data[[#This Row],[MonthlyIncome]]&lt;10000,"Medium Income","High Income"))</f>
        <v>High Income</v>
      </c>
      <c r="U328" t="s">
        <v>90</v>
      </c>
      <c r="V328" t="s">
        <v>90</v>
      </c>
      <c r="W328" t="s">
        <v>90</v>
      </c>
      <c r="X328" t="s">
        <v>90</v>
      </c>
      <c r="Y328">
        <v>21141</v>
      </c>
      <c r="Z328">
        <v>1</v>
      </c>
      <c r="AA328" t="s">
        <v>42</v>
      </c>
      <c r="AB328" t="s">
        <v>43</v>
      </c>
      <c r="AC328">
        <v>15</v>
      </c>
      <c r="AD328">
        <v>3</v>
      </c>
      <c r="AE328">
        <v>1</v>
      </c>
      <c r="AF328">
        <v>80</v>
      </c>
      <c r="AG328">
        <v>1</v>
      </c>
      <c r="AH3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328">
        <v>21</v>
      </c>
      <c r="AJ328" t="s">
        <v>76</v>
      </c>
      <c r="AK328">
        <v>2</v>
      </c>
      <c r="AL328" t="s">
        <v>76</v>
      </c>
      <c r="AM328">
        <v>3</v>
      </c>
      <c r="AN328" t="s">
        <v>76</v>
      </c>
      <c r="AO328">
        <v>21</v>
      </c>
      <c r="AP328" t="s">
        <v>76</v>
      </c>
      <c r="AQ328">
        <v>9</v>
      </c>
      <c r="AR328">
        <v>13</v>
      </c>
      <c r="AS328">
        <v>3</v>
      </c>
    </row>
    <row r="329" spans="1:4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 t="str">
        <f>IF(Employee_data[[#This Row],[MonthlyIncome]]&lt;5000,"Low Income",
IF(Employee_data[[#This Row],[MonthlyIncome]]&lt;10000,"Medium Income","High Income"))</f>
        <v>Medium Income</v>
      </c>
      <c r="U329" t="s">
        <v>92</v>
      </c>
      <c r="V329" t="s">
        <v>92</v>
      </c>
      <c r="W329" t="s">
        <v>92</v>
      </c>
      <c r="X329" t="s">
        <v>92</v>
      </c>
      <c r="Y329">
        <v>17778</v>
      </c>
      <c r="Z329">
        <v>4</v>
      </c>
      <c r="AA329" t="s">
        <v>42</v>
      </c>
      <c r="AB329" t="s">
        <v>35</v>
      </c>
      <c r="AC329">
        <v>18</v>
      </c>
      <c r="AD329">
        <v>3</v>
      </c>
      <c r="AE329">
        <v>1</v>
      </c>
      <c r="AF329">
        <v>80</v>
      </c>
      <c r="AG329">
        <v>0</v>
      </c>
      <c r="AH3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29">
        <v>12</v>
      </c>
      <c r="AJ329" t="s">
        <v>74</v>
      </c>
      <c r="AK329">
        <v>3</v>
      </c>
      <c r="AL329" t="s">
        <v>74</v>
      </c>
      <c r="AM329">
        <v>2</v>
      </c>
      <c r="AN329" t="s">
        <v>74</v>
      </c>
      <c r="AO329">
        <v>1</v>
      </c>
      <c r="AP329" t="s">
        <v>74</v>
      </c>
      <c r="AQ329">
        <v>0</v>
      </c>
      <c r="AR329">
        <v>0</v>
      </c>
      <c r="AS329">
        <v>0</v>
      </c>
    </row>
    <row r="330" spans="1:4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 t="str">
        <f>IF(Employee_data[[#This Row],[MonthlyIncome]]&lt;5000,"Low Income",
IF(Employee_data[[#This Row],[MonthlyIncome]]&lt;10000,"Medium Income","High Income"))</f>
        <v>Low Income</v>
      </c>
      <c r="U330" t="s">
        <v>91</v>
      </c>
      <c r="V330" t="s">
        <v>91</v>
      </c>
      <c r="W330" t="s">
        <v>91</v>
      </c>
      <c r="X330" t="s">
        <v>91</v>
      </c>
      <c r="Y330">
        <v>4317</v>
      </c>
      <c r="Z330">
        <v>3</v>
      </c>
      <c r="AA330" t="s">
        <v>42</v>
      </c>
      <c r="AB330" t="s">
        <v>43</v>
      </c>
      <c r="AC330">
        <v>14</v>
      </c>
      <c r="AD330">
        <v>3</v>
      </c>
      <c r="AE330">
        <v>3</v>
      </c>
      <c r="AF330">
        <v>80</v>
      </c>
      <c r="AG330">
        <v>0</v>
      </c>
      <c r="AH3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30">
        <v>9</v>
      </c>
      <c r="AJ330" t="s">
        <v>78</v>
      </c>
      <c r="AK330">
        <v>6</v>
      </c>
      <c r="AL330" t="s">
        <v>78</v>
      </c>
      <c r="AM330">
        <v>2</v>
      </c>
      <c r="AN330" t="s">
        <v>78</v>
      </c>
      <c r="AO330">
        <v>7</v>
      </c>
      <c r="AP330" t="s">
        <v>78</v>
      </c>
      <c r="AQ330">
        <v>7</v>
      </c>
      <c r="AR330">
        <v>0</v>
      </c>
      <c r="AS330">
        <v>1</v>
      </c>
    </row>
    <row r="331" spans="1:4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 t="str">
        <f>IF(Employee_data[[#This Row],[MonthlyIncome]]&lt;5000,"Low Income",
IF(Employee_data[[#This Row],[MonthlyIncome]]&lt;10000,"Medium Income","High Income"))</f>
        <v>High Income</v>
      </c>
      <c r="U331" t="s">
        <v>90</v>
      </c>
      <c r="V331" t="s">
        <v>90</v>
      </c>
      <c r="W331" t="s">
        <v>90</v>
      </c>
      <c r="X331" t="s">
        <v>90</v>
      </c>
      <c r="Y331">
        <v>16375</v>
      </c>
      <c r="Z331">
        <v>4</v>
      </c>
      <c r="AA331" t="s">
        <v>42</v>
      </c>
      <c r="AB331" t="s">
        <v>43</v>
      </c>
      <c r="AC331">
        <v>11</v>
      </c>
      <c r="AD331">
        <v>3</v>
      </c>
      <c r="AE331">
        <v>2</v>
      </c>
      <c r="AF331">
        <v>80</v>
      </c>
      <c r="AG331">
        <v>1</v>
      </c>
      <c r="AH3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31">
        <v>21</v>
      </c>
      <c r="AJ331" t="s">
        <v>74</v>
      </c>
      <c r="AK331">
        <v>2</v>
      </c>
      <c r="AL331" t="s">
        <v>74</v>
      </c>
      <c r="AM331">
        <v>3</v>
      </c>
      <c r="AN331" t="s">
        <v>74</v>
      </c>
      <c r="AO331">
        <v>3</v>
      </c>
      <c r="AP331" t="s">
        <v>74</v>
      </c>
      <c r="AQ331">
        <v>2</v>
      </c>
      <c r="AR331">
        <v>1</v>
      </c>
      <c r="AS331">
        <v>1</v>
      </c>
    </row>
    <row r="332" spans="1:4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 t="str">
        <f>IF(Employee_data[[#This Row],[MonthlyIncome]]&lt;5000,"Low Income",
IF(Employee_data[[#This Row],[MonthlyIncome]]&lt;10000,"Medium Income","High Income"))</f>
        <v>Medium Income</v>
      </c>
      <c r="U332" t="s">
        <v>92</v>
      </c>
      <c r="V332" t="s">
        <v>92</v>
      </c>
      <c r="W332" t="s">
        <v>92</v>
      </c>
      <c r="X332" t="s">
        <v>92</v>
      </c>
      <c r="Y332">
        <v>6227</v>
      </c>
      <c r="Z332">
        <v>1</v>
      </c>
      <c r="AA332" t="s">
        <v>42</v>
      </c>
      <c r="AB332" t="s">
        <v>43</v>
      </c>
      <c r="AC332">
        <v>11</v>
      </c>
      <c r="AD332">
        <v>3</v>
      </c>
      <c r="AE332">
        <v>2</v>
      </c>
      <c r="AF332">
        <v>80</v>
      </c>
      <c r="AG332">
        <v>1</v>
      </c>
      <c r="AH3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32">
        <v>9</v>
      </c>
      <c r="AJ332" t="s">
        <v>78</v>
      </c>
      <c r="AK332">
        <v>3</v>
      </c>
      <c r="AL332" t="s">
        <v>78</v>
      </c>
      <c r="AM332">
        <v>4</v>
      </c>
      <c r="AN332" t="s">
        <v>78</v>
      </c>
      <c r="AO332">
        <v>9</v>
      </c>
      <c r="AP332" t="s">
        <v>78</v>
      </c>
      <c r="AQ332">
        <v>7</v>
      </c>
      <c r="AR332">
        <v>0</v>
      </c>
      <c r="AS332">
        <v>0</v>
      </c>
    </row>
    <row r="333" spans="1:4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 t="str">
        <f>IF(Employee_data[[#This Row],[MonthlyIncome]]&lt;5000,"Low Income",
IF(Employee_data[[#This Row],[MonthlyIncome]]&lt;10000,"Medium Income","High Income"))</f>
        <v>Medium Income</v>
      </c>
      <c r="U333" t="s">
        <v>92</v>
      </c>
      <c r="V333" t="s">
        <v>92</v>
      </c>
      <c r="W333" t="s">
        <v>92</v>
      </c>
      <c r="X333" t="s">
        <v>92</v>
      </c>
      <c r="Y333">
        <v>22107</v>
      </c>
      <c r="Z333">
        <v>0</v>
      </c>
      <c r="AA333" t="s">
        <v>42</v>
      </c>
      <c r="AB333" t="s">
        <v>35</v>
      </c>
      <c r="AC333">
        <v>13</v>
      </c>
      <c r="AD333">
        <v>3</v>
      </c>
      <c r="AE333">
        <v>4</v>
      </c>
      <c r="AF333">
        <v>80</v>
      </c>
      <c r="AG333">
        <v>1</v>
      </c>
      <c r="AH3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33">
        <v>6</v>
      </c>
      <c r="AJ333" t="s">
        <v>78</v>
      </c>
      <c r="AK333">
        <v>0</v>
      </c>
      <c r="AL333" t="s">
        <v>78</v>
      </c>
      <c r="AM333">
        <v>3</v>
      </c>
      <c r="AN333" t="s">
        <v>78</v>
      </c>
      <c r="AO333">
        <v>5</v>
      </c>
      <c r="AP333" t="s">
        <v>78</v>
      </c>
      <c r="AQ333">
        <v>4</v>
      </c>
      <c r="AR333">
        <v>1</v>
      </c>
      <c r="AS333">
        <v>4</v>
      </c>
    </row>
    <row r="334" spans="1:4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 t="str">
        <f>IF(Employee_data[[#This Row],[MonthlyIncome]]&lt;5000,"Low Income",
IF(Employee_data[[#This Row],[MonthlyIncome]]&lt;10000,"Medium Income","High Income"))</f>
        <v>Low Income</v>
      </c>
      <c r="U334" t="s">
        <v>91</v>
      </c>
      <c r="V334" t="s">
        <v>91</v>
      </c>
      <c r="W334" t="s">
        <v>91</v>
      </c>
      <c r="X334" t="s">
        <v>91</v>
      </c>
      <c r="Y334">
        <v>16885</v>
      </c>
      <c r="Z334">
        <v>3</v>
      </c>
      <c r="AA334" t="s">
        <v>42</v>
      </c>
      <c r="AB334" t="s">
        <v>43</v>
      </c>
      <c r="AC334">
        <v>12</v>
      </c>
      <c r="AD334">
        <v>3</v>
      </c>
      <c r="AE334">
        <v>4</v>
      </c>
      <c r="AF334">
        <v>80</v>
      </c>
      <c r="AG334">
        <v>0</v>
      </c>
      <c r="AH3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34">
        <v>20</v>
      </c>
      <c r="AJ334" t="s">
        <v>74</v>
      </c>
      <c r="AK334">
        <v>4</v>
      </c>
      <c r="AL334" t="s">
        <v>74</v>
      </c>
      <c r="AM334">
        <v>2</v>
      </c>
      <c r="AN334" t="s">
        <v>74</v>
      </c>
      <c r="AO334">
        <v>4</v>
      </c>
      <c r="AP334" t="s">
        <v>74</v>
      </c>
      <c r="AQ334">
        <v>3</v>
      </c>
      <c r="AR334">
        <v>0</v>
      </c>
      <c r="AS334">
        <v>3</v>
      </c>
    </row>
    <row r="335" spans="1:4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 t="str">
        <f>IF(Employee_data[[#This Row],[MonthlyIncome]]&lt;5000,"Low Income",
IF(Employee_data[[#This Row],[MonthlyIncome]]&lt;10000,"Medium Income","High Income"))</f>
        <v>Medium Income</v>
      </c>
      <c r="U335" t="s">
        <v>92</v>
      </c>
      <c r="V335" t="s">
        <v>92</v>
      </c>
      <c r="W335" t="s">
        <v>92</v>
      </c>
      <c r="X335" t="s">
        <v>92</v>
      </c>
      <c r="Y335">
        <v>9262</v>
      </c>
      <c r="Z335">
        <v>8</v>
      </c>
      <c r="AA335" t="s">
        <v>42</v>
      </c>
      <c r="AB335" t="s">
        <v>43</v>
      </c>
      <c r="AC335">
        <v>16</v>
      </c>
      <c r="AD335">
        <v>3</v>
      </c>
      <c r="AE335">
        <v>1</v>
      </c>
      <c r="AF335">
        <v>80</v>
      </c>
      <c r="AG335">
        <v>1</v>
      </c>
      <c r="AH3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35">
        <v>10</v>
      </c>
      <c r="AJ335" t="s">
        <v>74</v>
      </c>
      <c r="AK335">
        <v>1</v>
      </c>
      <c r="AL335" t="s">
        <v>74</v>
      </c>
      <c r="AM335">
        <v>2</v>
      </c>
      <c r="AN335" t="s">
        <v>74</v>
      </c>
      <c r="AO335">
        <v>1</v>
      </c>
      <c r="AP335" t="s">
        <v>74</v>
      </c>
      <c r="AQ335">
        <v>0</v>
      </c>
      <c r="AR335">
        <v>0</v>
      </c>
      <c r="AS335">
        <v>0</v>
      </c>
    </row>
    <row r="336" spans="1:4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 t="str">
        <f>IF(Employee_data[[#This Row],[MonthlyIncome]]&lt;5000,"Low Income",
IF(Employee_data[[#This Row],[MonthlyIncome]]&lt;10000,"Medium Income","High Income"))</f>
        <v>Low Income</v>
      </c>
      <c r="U336" t="s">
        <v>91</v>
      </c>
      <c r="V336" t="s">
        <v>91</v>
      </c>
      <c r="W336" t="s">
        <v>91</v>
      </c>
      <c r="X336" t="s">
        <v>91</v>
      </c>
      <c r="Y336">
        <v>9278</v>
      </c>
      <c r="Z336">
        <v>9</v>
      </c>
      <c r="AA336" t="s">
        <v>42</v>
      </c>
      <c r="AB336" t="s">
        <v>43</v>
      </c>
      <c r="AC336">
        <v>14</v>
      </c>
      <c r="AD336">
        <v>3</v>
      </c>
      <c r="AE336">
        <v>1</v>
      </c>
      <c r="AF336">
        <v>80</v>
      </c>
      <c r="AG336">
        <v>2</v>
      </c>
      <c r="AH3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36">
        <v>12</v>
      </c>
      <c r="AJ336" t="s">
        <v>75</v>
      </c>
      <c r="AK336">
        <v>3</v>
      </c>
      <c r="AL336" t="s">
        <v>75</v>
      </c>
      <c r="AM336">
        <v>3</v>
      </c>
      <c r="AN336" t="s">
        <v>75</v>
      </c>
      <c r="AO336">
        <v>10</v>
      </c>
      <c r="AP336" t="s">
        <v>75</v>
      </c>
      <c r="AQ336">
        <v>9</v>
      </c>
      <c r="AR336">
        <v>9</v>
      </c>
      <c r="AS336">
        <v>8</v>
      </c>
    </row>
    <row r="337" spans="1:4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 t="str">
        <f>IF(Employee_data[[#This Row],[MonthlyIncome]]&lt;5000,"Low Income",
IF(Employee_data[[#This Row],[MonthlyIncome]]&lt;10000,"Medium Income","High Income"))</f>
        <v>Medium Income</v>
      </c>
      <c r="U337" t="s">
        <v>92</v>
      </c>
      <c r="V337" t="s">
        <v>92</v>
      </c>
      <c r="W337" t="s">
        <v>92</v>
      </c>
      <c r="X337" t="s">
        <v>92</v>
      </c>
      <c r="Y337">
        <v>13273</v>
      </c>
      <c r="Z337">
        <v>2</v>
      </c>
      <c r="AA337" t="s">
        <v>42</v>
      </c>
      <c r="AB337" t="s">
        <v>35</v>
      </c>
      <c r="AC337">
        <v>22</v>
      </c>
      <c r="AD337">
        <v>4</v>
      </c>
      <c r="AE337">
        <v>3</v>
      </c>
      <c r="AF337">
        <v>80</v>
      </c>
      <c r="AG337">
        <v>3</v>
      </c>
      <c r="AH3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37">
        <v>6</v>
      </c>
      <c r="AJ337" t="s">
        <v>74</v>
      </c>
      <c r="AK337">
        <v>2</v>
      </c>
      <c r="AL337" t="s">
        <v>74</v>
      </c>
      <c r="AM337">
        <v>2</v>
      </c>
      <c r="AN337" t="s">
        <v>74</v>
      </c>
      <c r="AO337">
        <v>4</v>
      </c>
      <c r="AP337" t="s">
        <v>74</v>
      </c>
      <c r="AQ337">
        <v>3</v>
      </c>
      <c r="AR337">
        <v>0</v>
      </c>
      <c r="AS337">
        <v>2</v>
      </c>
    </row>
    <row r="338" spans="1:4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 t="str">
        <f>IF(Employee_data[[#This Row],[MonthlyIncome]]&lt;5000,"Low Income",
IF(Employee_data[[#This Row],[MonthlyIncome]]&lt;10000,"Medium Income","High Income"))</f>
        <v>Low Income</v>
      </c>
      <c r="U338" t="s">
        <v>91</v>
      </c>
      <c r="V338" t="s">
        <v>91</v>
      </c>
      <c r="W338" t="s">
        <v>91</v>
      </c>
      <c r="X338" t="s">
        <v>91</v>
      </c>
      <c r="Y338">
        <v>4759</v>
      </c>
      <c r="Z338">
        <v>1</v>
      </c>
      <c r="AA338" t="s">
        <v>42</v>
      </c>
      <c r="AB338" t="s">
        <v>35</v>
      </c>
      <c r="AC338">
        <v>11</v>
      </c>
      <c r="AD338">
        <v>3</v>
      </c>
      <c r="AE338">
        <v>4</v>
      </c>
      <c r="AF338">
        <v>80</v>
      </c>
      <c r="AG338">
        <v>0</v>
      </c>
      <c r="AH3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38">
        <v>7</v>
      </c>
      <c r="AJ338" t="s">
        <v>78</v>
      </c>
      <c r="AK338">
        <v>4</v>
      </c>
      <c r="AL338" t="s">
        <v>78</v>
      </c>
      <c r="AM338">
        <v>2</v>
      </c>
      <c r="AN338" t="s">
        <v>78</v>
      </c>
      <c r="AO338">
        <v>7</v>
      </c>
      <c r="AP338" t="s">
        <v>78</v>
      </c>
      <c r="AQ338">
        <v>7</v>
      </c>
      <c r="AR338">
        <v>0</v>
      </c>
      <c r="AS338">
        <v>7</v>
      </c>
    </row>
    <row r="339" spans="1:4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 t="str">
        <f>IF(Employee_data[[#This Row],[MonthlyIncome]]&lt;5000,"Low Income",
IF(Employee_data[[#This Row],[MonthlyIncome]]&lt;10000,"Medium Income","High Income"))</f>
        <v>Low Income</v>
      </c>
      <c r="U339" t="s">
        <v>91</v>
      </c>
      <c r="V339" t="s">
        <v>91</v>
      </c>
      <c r="W339" t="s">
        <v>91</v>
      </c>
      <c r="X339" t="s">
        <v>91</v>
      </c>
      <c r="Y339">
        <v>7621</v>
      </c>
      <c r="Z339">
        <v>0</v>
      </c>
      <c r="AA339" t="s">
        <v>42</v>
      </c>
      <c r="AB339" t="s">
        <v>43</v>
      </c>
      <c r="AC339">
        <v>17</v>
      </c>
      <c r="AD339">
        <v>3</v>
      </c>
      <c r="AE339">
        <v>3</v>
      </c>
      <c r="AF339">
        <v>80</v>
      </c>
      <c r="AG339">
        <v>0</v>
      </c>
      <c r="AH3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39">
        <v>4</v>
      </c>
      <c r="AJ339" t="s">
        <v>74</v>
      </c>
      <c r="AK339">
        <v>2</v>
      </c>
      <c r="AL339" t="s">
        <v>74</v>
      </c>
      <c r="AM339">
        <v>3</v>
      </c>
      <c r="AN339" t="s">
        <v>74</v>
      </c>
      <c r="AO339">
        <v>3</v>
      </c>
      <c r="AP339" t="s">
        <v>74</v>
      </c>
      <c r="AQ339">
        <v>2</v>
      </c>
      <c r="AR339">
        <v>2</v>
      </c>
      <c r="AS339">
        <v>2</v>
      </c>
    </row>
    <row r="340" spans="1:4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 t="str">
        <f>IF(Employee_data[[#This Row],[MonthlyIncome]]&lt;5000,"Low Income",
IF(Employee_data[[#This Row],[MonthlyIncome]]&lt;10000,"Medium Income","High Income"))</f>
        <v>Medium Income</v>
      </c>
      <c r="U340" t="s">
        <v>92</v>
      </c>
      <c r="V340" t="s">
        <v>92</v>
      </c>
      <c r="W340" t="s">
        <v>92</v>
      </c>
      <c r="X340" t="s">
        <v>92</v>
      </c>
      <c r="Y340">
        <v>5431</v>
      </c>
      <c r="Z340">
        <v>1</v>
      </c>
      <c r="AA340" t="s">
        <v>42</v>
      </c>
      <c r="AB340" t="s">
        <v>43</v>
      </c>
      <c r="AC340">
        <v>13</v>
      </c>
      <c r="AD340">
        <v>3</v>
      </c>
      <c r="AE340">
        <v>3</v>
      </c>
      <c r="AF340">
        <v>80</v>
      </c>
      <c r="AG340">
        <v>3</v>
      </c>
      <c r="AH3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40">
        <v>10</v>
      </c>
      <c r="AJ340" t="s">
        <v>75</v>
      </c>
      <c r="AK340">
        <v>2</v>
      </c>
      <c r="AL340" t="s">
        <v>75</v>
      </c>
      <c r="AM340">
        <v>3</v>
      </c>
      <c r="AN340" t="s">
        <v>75</v>
      </c>
      <c r="AO340">
        <v>10</v>
      </c>
      <c r="AP340" t="s">
        <v>75</v>
      </c>
      <c r="AQ340">
        <v>9</v>
      </c>
      <c r="AR340">
        <v>1</v>
      </c>
      <c r="AS340">
        <v>2</v>
      </c>
    </row>
    <row r="341" spans="1:4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 t="str">
        <f>IF(Employee_data[[#This Row],[MonthlyIncome]]&lt;5000,"Low Income",
IF(Employee_data[[#This Row],[MonthlyIncome]]&lt;10000,"Medium Income","High Income"))</f>
        <v>Medium Income</v>
      </c>
      <c r="U341" t="s">
        <v>92</v>
      </c>
      <c r="V341" t="s">
        <v>92</v>
      </c>
      <c r="W341" t="s">
        <v>92</v>
      </c>
      <c r="X341" t="s">
        <v>92</v>
      </c>
      <c r="Y341">
        <v>3415</v>
      </c>
      <c r="Z341">
        <v>1</v>
      </c>
      <c r="AA341" t="s">
        <v>42</v>
      </c>
      <c r="AB341" t="s">
        <v>43</v>
      </c>
      <c r="AC341">
        <v>18</v>
      </c>
      <c r="AD341">
        <v>3</v>
      </c>
      <c r="AE341">
        <v>1</v>
      </c>
      <c r="AF341">
        <v>80</v>
      </c>
      <c r="AG341">
        <v>1</v>
      </c>
      <c r="AH3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41">
        <v>8</v>
      </c>
      <c r="AJ341" t="s">
        <v>78</v>
      </c>
      <c r="AK341">
        <v>3</v>
      </c>
      <c r="AL341" t="s">
        <v>78</v>
      </c>
      <c r="AM341">
        <v>3</v>
      </c>
      <c r="AN341" t="s">
        <v>78</v>
      </c>
      <c r="AO341">
        <v>8</v>
      </c>
      <c r="AP341" t="s">
        <v>78</v>
      </c>
      <c r="AQ341">
        <v>7</v>
      </c>
      <c r="AR341">
        <v>0</v>
      </c>
      <c r="AS341">
        <v>7</v>
      </c>
    </row>
    <row r="342" spans="1:4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 t="str">
        <f>IF(Employee_data[[#This Row],[MonthlyIncome]]&lt;5000,"Low Income",
IF(Employee_data[[#This Row],[MonthlyIncome]]&lt;10000,"Medium Income","High Income"))</f>
        <v>Medium Income</v>
      </c>
      <c r="U342" t="s">
        <v>92</v>
      </c>
      <c r="V342" t="s">
        <v>92</v>
      </c>
      <c r="W342" t="s">
        <v>92</v>
      </c>
      <c r="X342" t="s">
        <v>92</v>
      </c>
      <c r="Y342">
        <v>23177</v>
      </c>
      <c r="Z342">
        <v>7</v>
      </c>
      <c r="AA342" t="s">
        <v>42</v>
      </c>
      <c r="AB342" t="s">
        <v>43</v>
      </c>
      <c r="AC342">
        <v>16</v>
      </c>
      <c r="AD342">
        <v>3</v>
      </c>
      <c r="AE342">
        <v>3</v>
      </c>
      <c r="AF342">
        <v>80</v>
      </c>
      <c r="AG342">
        <v>2</v>
      </c>
      <c r="AH3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42">
        <v>8</v>
      </c>
      <c r="AJ342" t="s">
        <v>78</v>
      </c>
      <c r="AK342">
        <v>2</v>
      </c>
      <c r="AL342" t="s">
        <v>78</v>
      </c>
      <c r="AM342">
        <v>2</v>
      </c>
      <c r="AN342" t="s">
        <v>78</v>
      </c>
      <c r="AO342">
        <v>6</v>
      </c>
      <c r="AP342" t="s">
        <v>78</v>
      </c>
      <c r="AQ342">
        <v>2</v>
      </c>
      <c r="AR342">
        <v>0</v>
      </c>
      <c r="AS342">
        <v>4</v>
      </c>
    </row>
    <row r="343" spans="1:4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 t="str">
        <f>IF(Employee_data[[#This Row],[MonthlyIncome]]&lt;5000,"Low Income",
IF(Employee_data[[#This Row],[MonthlyIncome]]&lt;10000,"Medium Income","High Income"))</f>
        <v>High Income</v>
      </c>
      <c r="U343" t="s">
        <v>90</v>
      </c>
      <c r="V343" t="s">
        <v>90</v>
      </c>
      <c r="W343" t="s">
        <v>90</v>
      </c>
      <c r="X343" t="s">
        <v>90</v>
      </c>
      <c r="Y343">
        <v>15682</v>
      </c>
      <c r="Z343">
        <v>0</v>
      </c>
      <c r="AA343" t="s">
        <v>42</v>
      </c>
      <c r="AB343" t="s">
        <v>35</v>
      </c>
      <c r="AC343">
        <v>14</v>
      </c>
      <c r="AD343">
        <v>3</v>
      </c>
      <c r="AE343">
        <v>2</v>
      </c>
      <c r="AF343">
        <v>80</v>
      </c>
      <c r="AG343">
        <v>1</v>
      </c>
      <c r="AH3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43">
        <v>12</v>
      </c>
      <c r="AJ343" t="s">
        <v>75</v>
      </c>
      <c r="AK343">
        <v>3</v>
      </c>
      <c r="AL343" t="s">
        <v>75</v>
      </c>
      <c r="AM343">
        <v>3</v>
      </c>
      <c r="AN343" t="s">
        <v>75</v>
      </c>
      <c r="AO343">
        <v>11</v>
      </c>
      <c r="AP343" t="s">
        <v>75</v>
      </c>
      <c r="AQ343">
        <v>10</v>
      </c>
      <c r="AR343">
        <v>2</v>
      </c>
      <c r="AS343">
        <v>9</v>
      </c>
    </row>
    <row r="344" spans="1:4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 t="str">
        <f>IF(Employee_data[[#This Row],[MonthlyIncome]]&lt;5000,"Low Income",
IF(Employee_data[[#This Row],[MonthlyIncome]]&lt;10000,"Medium Income","High Income"))</f>
        <v>Medium Income</v>
      </c>
      <c r="U344" t="s">
        <v>92</v>
      </c>
      <c r="V344" t="s">
        <v>92</v>
      </c>
      <c r="W344" t="s">
        <v>92</v>
      </c>
      <c r="X344" t="s">
        <v>92</v>
      </c>
      <c r="Y344">
        <v>25713</v>
      </c>
      <c r="Z344">
        <v>1</v>
      </c>
      <c r="AA344" t="s">
        <v>42</v>
      </c>
      <c r="AB344" t="s">
        <v>35</v>
      </c>
      <c r="AC344">
        <v>14</v>
      </c>
      <c r="AD344">
        <v>3</v>
      </c>
      <c r="AE344">
        <v>3</v>
      </c>
      <c r="AF344">
        <v>80</v>
      </c>
      <c r="AG344">
        <v>0</v>
      </c>
      <c r="AH3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44">
        <v>11</v>
      </c>
      <c r="AJ344" t="s">
        <v>75</v>
      </c>
      <c r="AK344">
        <v>2</v>
      </c>
      <c r="AL344" t="s">
        <v>75</v>
      </c>
      <c r="AM344">
        <v>2</v>
      </c>
      <c r="AN344" t="s">
        <v>75</v>
      </c>
      <c r="AO344">
        <v>11</v>
      </c>
      <c r="AP344" t="s">
        <v>75</v>
      </c>
      <c r="AQ344">
        <v>9</v>
      </c>
      <c r="AR344">
        <v>4</v>
      </c>
      <c r="AS344">
        <v>10</v>
      </c>
    </row>
    <row r="345" spans="1:4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 t="str">
        <f>IF(Employee_data[[#This Row],[MonthlyIncome]]&lt;5000,"Low Income",
IF(Employee_data[[#This Row],[MonthlyIncome]]&lt;10000,"Medium Income","High Income"))</f>
        <v>Medium Income</v>
      </c>
      <c r="U345" t="s">
        <v>92</v>
      </c>
      <c r="V345" t="s">
        <v>92</v>
      </c>
      <c r="W345" t="s">
        <v>92</v>
      </c>
      <c r="X345" t="s">
        <v>92</v>
      </c>
      <c r="Y345">
        <v>11866</v>
      </c>
      <c r="Z345">
        <v>1</v>
      </c>
      <c r="AA345" t="s">
        <v>42</v>
      </c>
      <c r="AB345" t="s">
        <v>35</v>
      </c>
      <c r="AC345">
        <v>14</v>
      </c>
      <c r="AD345">
        <v>3</v>
      </c>
      <c r="AE345">
        <v>1</v>
      </c>
      <c r="AF345">
        <v>80</v>
      </c>
      <c r="AG345">
        <v>2</v>
      </c>
      <c r="AH3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45">
        <v>7</v>
      </c>
      <c r="AJ345" t="s">
        <v>78</v>
      </c>
      <c r="AK345">
        <v>2</v>
      </c>
      <c r="AL345" t="s">
        <v>78</v>
      </c>
      <c r="AM345">
        <v>3</v>
      </c>
      <c r="AN345" t="s">
        <v>78</v>
      </c>
      <c r="AO345">
        <v>7</v>
      </c>
      <c r="AP345" t="s">
        <v>78</v>
      </c>
      <c r="AQ345">
        <v>7</v>
      </c>
      <c r="AR345">
        <v>1</v>
      </c>
      <c r="AS345">
        <v>7</v>
      </c>
    </row>
    <row r="346" spans="1:4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 t="str">
        <f>IF(Employee_data[[#This Row],[MonthlyIncome]]&lt;5000,"Low Income",
IF(Employee_data[[#This Row],[MonthlyIncome]]&lt;10000,"Medium Income","High Income"))</f>
        <v>Medium Income</v>
      </c>
      <c r="U346" t="s">
        <v>92</v>
      </c>
      <c r="V346" t="s">
        <v>92</v>
      </c>
      <c r="W346" t="s">
        <v>92</v>
      </c>
      <c r="X346" t="s">
        <v>92</v>
      </c>
      <c r="Y346">
        <v>18264</v>
      </c>
      <c r="Z346">
        <v>0</v>
      </c>
      <c r="AA346" t="s">
        <v>42</v>
      </c>
      <c r="AB346" t="s">
        <v>43</v>
      </c>
      <c r="AC346">
        <v>13</v>
      </c>
      <c r="AD346">
        <v>3</v>
      </c>
      <c r="AE346">
        <v>4</v>
      </c>
      <c r="AF346">
        <v>80</v>
      </c>
      <c r="AG346">
        <v>0</v>
      </c>
      <c r="AH3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346">
        <v>17</v>
      </c>
      <c r="AJ346" t="s">
        <v>76</v>
      </c>
      <c r="AK346">
        <v>5</v>
      </c>
      <c r="AL346" t="s">
        <v>76</v>
      </c>
      <c r="AM346">
        <v>3</v>
      </c>
      <c r="AN346" t="s">
        <v>76</v>
      </c>
      <c r="AO346">
        <v>16</v>
      </c>
      <c r="AP346" t="s">
        <v>76</v>
      </c>
      <c r="AQ346">
        <v>6</v>
      </c>
      <c r="AR346">
        <v>0</v>
      </c>
      <c r="AS346">
        <v>13</v>
      </c>
    </row>
    <row r="347" spans="1:4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 t="str">
        <f>IF(Employee_data[[#This Row],[MonthlyIncome]]&lt;5000,"Low Income",
IF(Employee_data[[#This Row],[MonthlyIncome]]&lt;10000,"Medium Income","High Income"))</f>
        <v>Low Income</v>
      </c>
      <c r="U347" t="s">
        <v>91</v>
      </c>
      <c r="V347" t="s">
        <v>91</v>
      </c>
      <c r="W347" t="s">
        <v>91</v>
      </c>
      <c r="X347" t="s">
        <v>91</v>
      </c>
      <c r="Y347">
        <v>16092</v>
      </c>
      <c r="Z347">
        <v>1</v>
      </c>
      <c r="AA347" t="s">
        <v>42</v>
      </c>
      <c r="AB347" t="s">
        <v>43</v>
      </c>
      <c r="AC347">
        <v>12</v>
      </c>
      <c r="AD347">
        <v>3</v>
      </c>
      <c r="AE347">
        <v>3</v>
      </c>
      <c r="AF347">
        <v>80</v>
      </c>
      <c r="AG347">
        <v>2</v>
      </c>
      <c r="AH3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47">
        <v>4</v>
      </c>
      <c r="AJ347" t="s">
        <v>74</v>
      </c>
      <c r="AK347">
        <v>2</v>
      </c>
      <c r="AL347" t="s">
        <v>74</v>
      </c>
      <c r="AM347">
        <v>2</v>
      </c>
      <c r="AN347" t="s">
        <v>74</v>
      </c>
      <c r="AO347">
        <v>4</v>
      </c>
      <c r="AP347" t="s">
        <v>74</v>
      </c>
      <c r="AQ347">
        <v>2</v>
      </c>
      <c r="AR347">
        <v>0</v>
      </c>
      <c r="AS347">
        <v>2</v>
      </c>
    </row>
    <row r="348" spans="1:4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 t="str">
        <f>IF(Employee_data[[#This Row],[MonthlyIncome]]&lt;5000,"Low Income",
IF(Employee_data[[#This Row],[MonthlyIncome]]&lt;10000,"Medium Income","High Income"))</f>
        <v>Medium Income</v>
      </c>
      <c r="U348" t="s">
        <v>92</v>
      </c>
      <c r="V348" t="s">
        <v>92</v>
      </c>
      <c r="W348" t="s">
        <v>92</v>
      </c>
      <c r="X348" t="s">
        <v>92</v>
      </c>
      <c r="Y348">
        <v>10110</v>
      </c>
      <c r="Z348">
        <v>6</v>
      </c>
      <c r="AA348" t="s">
        <v>42</v>
      </c>
      <c r="AB348" t="s">
        <v>35</v>
      </c>
      <c r="AC348">
        <v>15</v>
      </c>
      <c r="AD348">
        <v>3</v>
      </c>
      <c r="AE348">
        <v>4</v>
      </c>
      <c r="AF348">
        <v>80</v>
      </c>
      <c r="AG348">
        <v>0</v>
      </c>
      <c r="AH3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48">
        <v>8</v>
      </c>
      <c r="AJ348" t="s">
        <v>78</v>
      </c>
      <c r="AK348">
        <v>3</v>
      </c>
      <c r="AL348" t="s">
        <v>78</v>
      </c>
      <c r="AM348">
        <v>3</v>
      </c>
      <c r="AN348" t="s">
        <v>78</v>
      </c>
      <c r="AO348">
        <v>5</v>
      </c>
      <c r="AP348" t="s">
        <v>78</v>
      </c>
      <c r="AQ348">
        <v>4</v>
      </c>
      <c r="AR348">
        <v>1</v>
      </c>
      <c r="AS348">
        <v>2</v>
      </c>
    </row>
    <row r="349" spans="1:4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 t="str">
        <f>IF(Employee_data[[#This Row],[MonthlyIncome]]&lt;5000,"Low Income",
IF(Employee_data[[#This Row],[MonthlyIncome]]&lt;10000,"Medium Income","High Income"))</f>
        <v>Low Income</v>
      </c>
      <c r="U349" t="s">
        <v>91</v>
      </c>
      <c r="V349" t="s">
        <v>91</v>
      </c>
      <c r="W349" t="s">
        <v>91</v>
      </c>
      <c r="X349" t="s">
        <v>91</v>
      </c>
      <c r="Y349">
        <v>25751</v>
      </c>
      <c r="Z349">
        <v>3</v>
      </c>
      <c r="AA349" t="s">
        <v>42</v>
      </c>
      <c r="AB349" t="s">
        <v>43</v>
      </c>
      <c r="AC349">
        <v>19</v>
      </c>
      <c r="AD349">
        <v>3</v>
      </c>
      <c r="AE349">
        <v>1</v>
      </c>
      <c r="AF349">
        <v>80</v>
      </c>
      <c r="AG349">
        <v>0</v>
      </c>
      <c r="AH3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49">
        <v>5</v>
      </c>
      <c r="AJ349" t="s">
        <v>74</v>
      </c>
      <c r="AK349">
        <v>3</v>
      </c>
      <c r="AL349" t="s">
        <v>74</v>
      </c>
      <c r="AM349">
        <v>3</v>
      </c>
      <c r="AN349" t="s">
        <v>74</v>
      </c>
      <c r="AO349">
        <v>0</v>
      </c>
      <c r="AP349" t="s">
        <v>74</v>
      </c>
      <c r="AQ349">
        <v>0</v>
      </c>
      <c r="AR349">
        <v>0</v>
      </c>
      <c r="AS349">
        <v>0</v>
      </c>
    </row>
    <row r="350" spans="1:4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 t="str">
        <f>IF(Employee_data[[#This Row],[MonthlyIncome]]&lt;5000,"Low Income",
IF(Employee_data[[#This Row],[MonthlyIncome]]&lt;10000,"Medium Income","High Income"))</f>
        <v>High Income</v>
      </c>
      <c r="U350" t="s">
        <v>90</v>
      </c>
      <c r="V350" t="s">
        <v>90</v>
      </c>
      <c r="W350" t="s">
        <v>90</v>
      </c>
      <c r="X350" t="s">
        <v>90</v>
      </c>
      <c r="Y350">
        <v>15901</v>
      </c>
      <c r="Z350">
        <v>2</v>
      </c>
      <c r="AA350" t="s">
        <v>42</v>
      </c>
      <c r="AB350" t="s">
        <v>43</v>
      </c>
      <c r="AC350">
        <v>14</v>
      </c>
      <c r="AD350">
        <v>3</v>
      </c>
      <c r="AE350">
        <v>2</v>
      </c>
      <c r="AF350">
        <v>80</v>
      </c>
      <c r="AG350">
        <v>0</v>
      </c>
      <c r="AH3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50">
        <v>16</v>
      </c>
      <c r="AJ350" t="s">
        <v>74</v>
      </c>
      <c r="AK350">
        <v>2</v>
      </c>
      <c r="AL350" t="s">
        <v>74</v>
      </c>
      <c r="AM350">
        <v>3</v>
      </c>
      <c r="AN350" t="s">
        <v>74</v>
      </c>
      <c r="AO350">
        <v>1</v>
      </c>
      <c r="AP350" t="s">
        <v>74</v>
      </c>
      <c r="AQ350">
        <v>0</v>
      </c>
      <c r="AR350">
        <v>0</v>
      </c>
      <c r="AS350">
        <v>0</v>
      </c>
    </row>
    <row r="351" spans="1:4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 t="str">
        <f>IF(Employee_data[[#This Row],[MonthlyIncome]]&lt;5000,"Low Income",
IF(Employee_data[[#This Row],[MonthlyIncome]]&lt;10000,"Medium Income","High Income"))</f>
        <v>Low Income</v>
      </c>
      <c r="U351" t="s">
        <v>91</v>
      </c>
      <c r="V351" t="s">
        <v>91</v>
      </c>
      <c r="W351" t="s">
        <v>91</v>
      </c>
      <c r="X351" t="s">
        <v>91</v>
      </c>
      <c r="Y351">
        <v>16928</v>
      </c>
      <c r="Z351">
        <v>1</v>
      </c>
      <c r="AA351" t="s">
        <v>42</v>
      </c>
      <c r="AB351" t="s">
        <v>43</v>
      </c>
      <c r="AC351">
        <v>14</v>
      </c>
      <c r="AD351">
        <v>3</v>
      </c>
      <c r="AE351">
        <v>1</v>
      </c>
      <c r="AF351">
        <v>80</v>
      </c>
      <c r="AG351">
        <v>1</v>
      </c>
      <c r="AH3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51">
        <v>4</v>
      </c>
      <c r="AJ351" t="s">
        <v>74</v>
      </c>
      <c r="AK351">
        <v>3</v>
      </c>
      <c r="AL351" t="s">
        <v>74</v>
      </c>
      <c r="AM351">
        <v>2</v>
      </c>
      <c r="AN351" t="s">
        <v>74</v>
      </c>
      <c r="AO351">
        <v>4</v>
      </c>
      <c r="AP351" t="s">
        <v>74</v>
      </c>
      <c r="AQ351">
        <v>3</v>
      </c>
      <c r="AR351">
        <v>0</v>
      </c>
      <c r="AS351">
        <v>2</v>
      </c>
    </row>
    <row r="352" spans="1:4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 t="str">
        <f>IF(Employee_data[[#This Row],[MonthlyIncome]]&lt;5000,"Low Income",
IF(Employee_data[[#This Row],[MonthlyIncome]]&lt;10000,"Medium Income","High Income"))</f>
        <v>Low Income</v>
      </c>
      <c r="U352" t="s">
        <v>91</v>
      </c>
      <c r="V352" t="s">
        <v>91</v>
      </c>
      <c r="W352" t="s">
        <v>91</v>
      </c>
      <c r="X352" t="s">
        <v>91</v>
      </c>
      <c r="Y352">
        <v>24017</v>
      </c>
      <c r="Z352">
        <v>0</v>
      </c>
      <c r="AA352" t="s">
        <v>42</v>
      </c>
      <c r="AB352" t="s">
        <v>35</v>
      </c>
      <c r="AC352">
        <v>11</v>
      </c>
      <c r="AD352">
        <v>3</v>
      </c>
      <c r="AE352">
        <v>3</v>
      </c>
      <c r="AF352">
        <v>80</v>
      </c>
      <c r="AG352">
        <v>1</v>
      </c>
      <c r="AH3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52">
        <v>4</v>
      </c>
      <c r="AJ352" t="s">
        <v>74</v>
      </c>
      <c r="AK352">
        <v>5</v>
      </c>
      <c r="AL352" t="s">
        <v>74</v>
      </c>
      <c r="AM352">
        <v>3</v>
      </c>
      <c r="AN352" t="s">
        <v>74</v>
      </c>
      <c r="AO352">
        <v>3</v>
      </c>
      <c r="AP352" t="s">
        <v>74</v>
      </c>
      <c r="AQ352">
        <v>2</v>
      </c>
      <c r="AR352">
        <v>1</v>
      </c>
      <c r="AS352">
        <v>0</v>
      </c>
    </row>
    <row r="353" spans="1:4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 t="str">
        <f>IF(Employee_data[[#This Row],[MonthlyIncome]]&lt;5000,"Low Income",
IF(Employee_data[[#This Row],[MonthlyIncome]]&lt;10000,"Medium Income","High Income"))</f>
        <v>Low Income</v>
      </c>
      <c r="U353" t="s">
        <v>91</v>
      </c>
      <c r="V353" t="s">
        <v>91</v>
      </c>
      <c r="W353" t="s">
        <v>91</v>
      </c>
      <c r="X353" t="s">
        <v>91</v>
      </c>
      <c r="Y353">
        <v>3956</v>
      </c>
      <c r="Z353">
        <v>1</v>
      </c>
      <c r="AA353" t="s">
        <v>42</v>
      </c>
      <c r="AB353" t="s">
        <v>43</v>
      </c>
      <c r="AC353">
        <v>13</v>
      </c>
      <c r="AD353">
        <v>3</v>
      </c>
      <c r="AE353">
        <v>3</v>
      </c>
      <c r="AF353">
        <v>80</v>
      </c>
      <c r="AG353">
        <v>1</v>
      </c>
      <c r="AH3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53">
        <v>8</v>
      </c>
      <c r="AJ353" t="s">
        <v>78</v>
      </c>
      <c r="AK353">
        <v>4</v>
      </c>
      <c r="AL353" t="s">
        <v>78</v>
      </c>
      <c r="AM353">
        <v>3</v>
      </c>
      <c r="AN353" t="s">
        <v>78</v>
      </c>
      <c r="AO353">
        <v>8</v>
      </c>
      <c r="AP353" t="s">
        <v>78</v>
      </c>
      <c r="AQ353">
        <v>0</v>
      </c>
      <c r="AR353">
        <v>0</v>
      </c>
      <c r="AS353">
        <v>7</v>
      </c>
    </row>
    <row r="354" spans="1:4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 t="str">
        <f>IF(Employee_data[[#This Row],[MonthlyIncome]]&lt;5000,"Low Income",
IF(Employee_data[[#This Row],[MonthlyIncome]]&lt;10000,"Medium Income","High Income"))</f>
        <v>High Income</v>
      </c>
      <c r="U354" t="s">
        <v>90</v>
      </c>
      <c r="V354" t="s">
        <v>90</v>
      </c>
      <c r="W354" t="s">
        <v>90</v>
      </c>
      <c r="X354" t="s">
        <v>90</v>
      </c>
      <c r="Y354">
        <v>23978</v>
      </c>
      <c r="Z354">
        <v>3</v>
      </c>
      <c r="AA354" t="s">
        <v>42</v>
      </c>
      <c r="AB354" t="s">
        <v>43</v>
      </c>
      <c r="AC354">
        <v>21</v>
      </c>
      <c r="AD354">
        <v>4</v>
      </c>
      <c r="AE354">
        <v>2</v>
      </c>
      <c r="AF354">
        <v>80</v>
      </c>
      <c r="AG354">
        <v>1</v>
      </c>
      <c r="AH3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54">
        <v>15</v>
      </c>
      <c r="AJ354" t="s">
        <v>74</v>
      </c>
      <c r="AK354">
        <v>3</v>
      </c>
      <c r="AL354" t="s">
        <v>74</v>
      </c>
      <c r="AM354">
        <v>1</v>
      </c>
      <c r="AN354" t="s">
        <v>74</v>
      </c>
      <c r="AO354">
        <v>0</v>
      </c>
      <c r="AP354" t="s">
        <v>74</v>
      </c>
      <c r="AQ354">
        <v>0</v>
      </c>
      <c r="AR354">
        <v>0</v>
      </c>
      <c r="AS354">
        <v>0</v>
      </c>
    </row>
    <row r="355" spans="1:4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 t="str">
        <f>IF(Employee_data[[#This Row],[MonthlyIncome]]&lt;5000,"Low Income",
IF(Employee_data[[#This Row],[MonthlyIncome]]&lt;10000,"Medium Income","High Income"))</f>
        <v>Medium Income</v>
      </c>
      <c r="U355" t="s">
        <v>92</v>
      </c>
      <c r="V355" t="s">
        <v>92</v>
      </c>
      <c r="W355" t="s">
        <v>92</v>
      </c>
      <c r="X355" t="s">
        <v>92</v>
      </c>
      <c r="Y355">
        <v>17001</v>
      </c>
      <c r="Z355">
        <v>4</v>
      </c>
      <c r="AA355" t="s">
        <v>42</v>
      </c>
      <c r="AB355" t="s">
        <v>35</v>
      </c>
      <c r="AC355">
        <v>13</v>
      </c>
      <c r="AD355">
        <v>3</v>
      </c>
      <c r="AE355">
        <v>1</v>
      </c>
      <c r="AF355">
        <v>80</v>
      </c>
      <c r="AG355">
        <v>2</v>
      </c>
      <c r="AH3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55">
        <v>13</v>
      </c>
      <c r="AJ355" t="s">
        <v>78</v>
      </c>
      <c r="AK355">
        <v>2</v>
      </c>
      <c r="AL355" t="s">
        <v>78</v>
      </c>
      <c r="AM355">
        <v>3</v>
      </c>
      <c r="AN355" t="s">
        <v>78</v>
      </c>
      <c r="AO355">
        <v>7</v>
      </c>
      <c r="AP355" t="s">
        <v>78</v>
      </c>
      <c r="AQ355">
        <v>7</v>
      </c>
      <c r="AR355">
        <v>6</v>
      </c>
      <c r="AS355">
        <v>7</v>
      </c>
    </row>
    <row r="356" spans="1:4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 t="str">
        <f>IF(Employee_data[[#This Row],[MonthlyIncome]]&lt;5000,"Low Income",
IF(Employee_data[[#This Row],[MonthlyIncome]]&lt;10000,"Medium Income","High Income"))</f>
        <v>Low Income</v>
      </c>
      <c r="U356" t="s">
        <v>91</v>
      </c>
      <c r="V356" t="s">
        <v>91</v>
      </c>
      <c r="W356" t="s">
        <v>91</v>
      </c>
      <c r="X356" t="s">
        <v>91</v>
      </c>
      <c r="Y356">
        <v>6069</v>
      </c>
      <c r="Z356">
        <v>7</v>
      </c>
      <c r="AA356" t="s">
        <v>42</v>
      </c>
      <c r="AB356" t="s">
        <v>35</v>
      </c>
      <c r="AC356">
        <v>12</v>
      </c>
      <c r="AD356">
        <v>3</v>
      </c>
      <c r="AE356">
        <v>2</v>
      </c>
      <c r="AF356">
        <v>80</v>
      </c>
      <c r="AG356">
        <v>1</v>
      </c>
      <c r="AH3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56">
        <v>4</v>
      </c>
      <c r="AJ356" t="s">
        <v>74</v>
      </c>
      <c r="AK356">
        <v>2</v>
      </c>
      <c r="AL356" t="s">
        <v>74</v>
      </c>
      <c r="AM356">
        <v>4</v>
      </c>
      <c r="AN356" t="s">
        <v>74</v>
      </c>
      <c r="AO356">
        <v>2</v>
      </c>
      <c r="AP356" t="s">
        <v>74</v>
      </c>
      <c r="AQ356">
        <v>2</v>
      </c>
      <c r="AR356">
        <v>2</v>
      </c>
      <c r="AS356">
        <v>2</v>
      </c>
    </row>
    <row r="357" spans="1:4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 t="str">
        <f>IF(Employee_data[[#This Row],[MonthlyIncome]]&lt;5000,"Low Income",
IF(Employee_data[[#This Row],[MonthlyIncome]]&lt;10000,"Medium Income","High Income"))</f>
        <v>Medium Income</v>
      </c>
      <c r="U357" t="s">
        <v>92</v>
      </c>
      <c r="V357" t="s">
        <v>92</v>
      </c>
      <c r="W357" t="s">
        <v>92</v>
      </c>
      <c r="X357" t="s">
        <v>92</v>
      </c>
      <c r="Y357">
        <v>20156</v>
      </c>
      <c r="Z357">
        <v>1</v>
      </c>
      <c r="AA357" t="s">
        <v>42</v>
      </c>
      <c r="AB357" t="s">
        <v>43</v>
      </c>
      <c r="AC357">
        <v>17</v>
      </c>
      <c r="AD357">
        <v>3</v>
      </c>
      <c r="AE357">
        <v>2</v>
      </c>
      <c r="AF357">
        <v>80</v>
      </c>
      <c r="AG357">
        <v>1</v>
      </c>
      <c r="AH3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57">
        <v>8</v>
      </c>
      <c r="AJ357" t="s">
        <v>78</v>
      </c>
      <c r="AK357">
        <v>3</v>
      </c>
      <c r="AL357" t="s">
        <v>78</v>
      </c>
      <c r="AM357">
        <v>3</v>
      </c>
      <c r="AN357" t="s">
        <v>78</v>
      </c>
      <c r="AO357">
        <v>8</v>
      </c>
      <c r="AP357" t="s">
        <v>78</v>
      </c>
      <c r="AQ357">
        <v>7</v>
      </c>
      <c r="AR357">
        <v>7</v>
      </c>
      <c r="AS357">
        <v>7</v>
      </c>
    </row>
    <row r="358" spans="1:4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 t="str">
        <f>IF(Employee_data[[#This Row],[MonthlyIncome]]&lt;5000,"Low Income",
IF(Employee_data[[#This Row],[MonthlyIncome]]&lt;10000,"Medium Income","High Income"))</f>
        <v>Medium Income</v>
      </c>
      <c r="U358" t="s">
        <v>92</v>
      </c>
      <c r="V358" t="s">
        <v>92</v>
      </c>
      <c r="W358" t="s">
        <v>92</v>
      </c>
      <c r="X358" t="s">
        <v>92</v>
      </c>
      <c r="Y358">
        <v>17078</v>
      </c>
      <c r="Z358">
        <v>3</v>
      </c>
      <c r="AA358" t="s">
        <v>42</v>
      </c>
      <c r="AB358" t="s">
        <v>43</v>
      </c>
      <c r="AC358">
        <v>23</v>
      </c>
      <c r="AD358">
        <v>4</v>
      </c>
      <c r="AE358">
        <v>2</v>
      </c>
      <c r="AF358">
        <v>80</v>
      </c>
      <c r="AG358">
        <v>0</v>
      </c>
      <c r="AH3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58">
        <v>14</v>
      </c>
      <c r="AJ358" t="s">
        <v>74</v>
      </c>
      <c r="AK358">
        <v>6</v>
      </c>
      <c r="AL358" t="s">
        <v>74</v>
      </c>
      <c r="AM358">
        <v>3</v>
      </c>
      <c r="AN358" t="s">
        <v>74</v>
      </c>
      <c r="AO358">
        <v>1</v>
      </c>
      <c r="AP358" t="s">
        <v>74</v>
      </c>
      <c r="AQ358">
        <v>0</v>
      </c>
      <c r="AR358">
        <v>0</v>
      </c>
      <c r="AS358">
        <v>0</v>
      </c>
    </row>
    <row r="359" spans="1:4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 t="str">
        <f>IF(Employee_data[[#This Row],[MonthlyIncome]]&lt;5000,"Low Income",
IF(Employee_data[[#This Row],[MonthlyIncome]]&lt;10000,"Medium Income","High Income"))</f>
        <v>Low Income</v>
      </c>
      <c r="U359" t="s">
        <v>91</v>
      </c>
      <c r="V359" t="s">
        <v>91</v>
      </c>
      <c r="W359" t="s">
        <v>91</v>
      </c>
      <c r="X359" t="s">
        <v>91</v>
      </c>
      <c r="Y359">
        <v>9150</v>
      </c>
      <c r="Z359">
        <v>1</v>
      </c>
      <c r="AA359" t="s">
        <v>42</v>
      </c>
      <c r="AB359" t="s">
        <v>35</v>
      </c>
      <c r="AC359">
        <v>11</v>
      </c>
      <c r="AD359">
        <v>3</v>
      </c>
      <c r="AE359">
        <v>3</v>
      </c>
      <c r="AF359">
        <v>80</v>
      </c>
      <c r="AG359">
        <v>0</v>
      </c>
      <c r="AH3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59">
        <v>3</v>
      </c>
      <c r="AJ359" t="s">
        <v>74</v>
      </c>
      <c r="AK359">
        <v>3</v>
      </c>
      <c r="AL359" t="s">
        <v>74</v>
      </c>
      <c r="AM359">
        <v>3</v>
      </c>
      <c r="AN359" t="s">
        <v>74</v>
      </c>
      <c r="AO359">
        <v>3</v>
      </c>
      <c r="AP359" t="s">
        <v>74</v>
      </c>
      <c r="AQ359">
        <v>2</v>
      </c>
      <c r="AR359">
        <v>1</v>
      </c>
      <c r="AS359">
        <v>2</v>
      </c>
    </row>
    <row r="360" spans="1:4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 t="str">
        <f>IF(Employee_data[[#This Row],[MonthlyIncome]]&lt;5000,"Low Income",
IF(Employee_data[[#This Row],[MonthlyIncome]]&lt;10000,"Medium Income","High Income"))</f>
        <v>Medium Income</v>
      </c>
      <c r="U360" t="s">
        <v>92</v>
      </c>
      <c r="V360" t="s">
        <v>92</v>
      </c>
      <c r="W360" t="s">
        <v>92</v>
      </c>
      <c r="X360" t="s">
        <v>92</v>
      </c>
      <c r="Y360">
        <v>15276</v>
      </c>
      <c r="Z360">
        <v>4</v>
      </c>
      <c r="AA360" t="s">
        <v>42</v>
      </c>
      <c r="AB360" t="s">
        <v>43</v>
      </c>
      <c r="AC360">
        <v>15</v>
      </c>
      <c r="AD360">
        <v>3</v>
      </c>
      <c r="AE360">
        <v>2</v>
      </c>
      <c r="AF360">
        <v>80</v>
      </c>
      <c r="AG360">
        <v>0</v>
      </c>
      <c r="AH3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60">
        <v>7</v>
      </c>
      <c r="AJ360" t="s">
        <v>74</v>
      </c>
      <c r="AK360">
        <v>6</v>
      </c>
      <c r="AL360" t="s">
        <v>74</v>
      </c>
      <c r="AM360">
        <v>3</v>
      </c>
      <c r="AN360" t="s">
        <v>74</v>
      </c>
      <c r="AO360">
        <v>1</v>
      </c>
      <c r="AP360" t="s">
        <v>74</v>
      </c>
      <c r="AQ360">
        <v>0</v>
      </c>
      <c r="AR360">
        <v>0</v>
      </c>
      <c r="AS360">
        <v>0</v>
      </c>
    </row>
    <row r="361" spans="1:4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 t="str">
        <f>IF(Employee_data[[#This Row],[MonthlyIncome]]&lt;5000,"Low Income",
IF(Employee_data[[#This Row],[MonthlyIncome]]&lt;10000,"Medium Income","High Income"))</f>
        <v>Medium Income</v>
      </c>
      <c r="U361" t="s">
        <v>92</v>
      </c>
      <c r="V361" t="s">
        <v>92</v>
      </c>
      <c r="W361" t="s">
        <v>92</v>
      </c>
      <c r="X361" t="s">
        <v>92</v>
      </c>
      <c r="Y361">
        <v>7246</v>
      </c>
      <c r="Z361">
        <v>4</v>
      </c>
      <c r="AA361" t="s">
        <v>42</v>
      </c>
      <c r="AB361" t="s">
        <v>43</v>
      </c>
      <c r="AC361">
        <v>11</v>
      </c>
      <c r="AD361">
        <v>3</v>
      </c>
      <c r="AE361">
        <v>1</v>
      </c>
      <c r="AF361">
        <v>80</v>
      </c>
      <c r="AG361">
        <v>1</v>
      </c>
      <c r="AH3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61">
        <v>16</v>
      </c>
      <c r="AJ361" t="s">
        <v>75</v>
      </c>
      <c r="AK361">
        <v>2</v>
      </c>
      <c r="AL361" t="s">
        <v>75</v>
      </c>
      <c r="AM361">
        <v>3</v>
      </c>
      <c r="AN361" t="s">
        <v>75</v>
      </c>
      <c r="AO361">
        <v>13</v>
      </c>
      <c r="AP361" t="s">
        <v>75</v>
      </c>
      <c r="AQ361">
        <v>9</v>
      </c>
      <c r="AR361">
        <v>1</v>
      </c>
      <c r="AS361">
        <v>12</v>
      </c>
    </row>
    <row r="362" spans="1:4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 t="str">
        <f>IF(Employee_data[[#This Row],[MonthlyIncome]]&lt;5000,"Low Income",
IF(Employee_data[[#This Row],[MonthlyIncome]]&lt;10000,"Medium Income","High Income"))</f>
        <v>Medium Income</v>
      </c>
      <c r="U362" t="s">
        <v>92</v>
      </c>
      <c r="V362" t="s">
        <v>92</v>
      </c>
      <c r="W362" t="s">
        <v>92</v>
      </c>
      <c r="X362" t="s">
        <v>92</v>
      </c>
      <c r="Y362">
        <v>2967</v>
      </c>
      <c r="Z362">
        <v>2</v>
      </c>
      <c r="AA362" t="s">
        <v>42</v>
      </c>
      <c r="AB362" t="s">
        <v>43</v>
      </c>
      <c r="AC362">
        <v>11</v>
      </c>
      <c r="AD362">
        <v>3</v>
      </c>
      <c r="AE362">
        <v>3</v>
      </c>
      <c r="AF362">
        <v>80</v>
      </c>
      <c r="AG362">
        <v>0</v>
      </c>
      <c r="AH3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62">
        <v>15</v>
      </c>
      <c r="AJ362" t="s">
        <v>74</v>
      </c>
      <c r="AK362">
        <v>2</v>
      </c>
      <c r="AL362" t="s">
        <v>74</v>
      </c>
      <c r="AM362">
        <v>3</v>
      </c>
      <c r="AN362" t="s">
        <v>74</v>
      </c>
      <c r="AO362">
        <v>3</v>
      </c>
      <c r="AP362" t="s">
        <v>74</v>
      </c>
      <c r="AQ362">
        <v>2</v>
      </c>
      <c r="AR362">
        <v>1</v>
      </c>
      <c r="AS362">
        <v>2</v>
      </c>
    </row>
    <row r="363" spans="1:4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 t="str">
        <f>IF(Employee_data[[#This Row],[MonthlyIncome]]&lt;5000,"Low Income",
IF(Employee_data[[#This Row],[MonthlyIncome]]&lt;10000,"Medium Income","High Income"))</f>
        <v>Low Income</v>
      </c>
      <c r="U363" t="s">
        <v>91</v>
      </c>
      <c r="V363" t="s">
        <v>91</v>
      </c>
      <c r="W363" t="s">
        <v>91</v>
      </c>
      <c r="X363" t="s">
        <v>91</v>
      </c>
      <c r="Y363">
        <v>22495</v>
      </c>
      <c r="Z363">
        <v>3</v>
      </c>
      <c r="AA363" t="s">
        <v>42</v>
      </c>
      <c r="AB363" t="s">
        <v>35</v>
      </c>
      <c r="AC363">
        <v>13</v>
      </c>
      <c r="AD363">
        <v>3</v>
      </c>
      <c r="AE363">
        <v>3</v>
      </c>
      <c r="AF363">
        <v>80</v>
      </c>
      <c r="AG363">
        <v>1</v>
      </c>
      <c r="AH3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63">
        <v>10</v>
      </c>
      <c r="AJ363" t="s">
        <v>78</v>
      </c>
      <c r="AK363">
        <v>3</v>
      </c>
      <c r="AL363" t="s">
        <v>78</v>
      </c>
      <c r="AM363">
        <v>3</v>
      </c>
      <c r="AN363" t="s">
        <v>78</v>
      </c>
      <c r="AO363">
        <v>7</v>
      </c>
      <c r="AP363" t="s">
        <v>78</v>
      </c>
      <c r="AQ363">
        <v>7</v>
      </c>
      <c r="AR363">
        <v>1</v>
      </c>
      <c r="AS363">
        <v>7</v>
      </c>
    </row>
    <row r="364" spans="1:4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 t="str">
        <f>IF(Employee_data[[#This Row],[MonthlyIncome]]&lt;5000,"Low Income",
IF(Employee_data[[#This Row],[MonthlyIncome]]&lt;10000,"Medium Income","High Income"))</f>
        <v>Low Income</v>
      </c>
      <c r="U364" t="s">
        <v>91</v>
      </c>
      <c r="V364" t="s">
        <v>91</v>
      </c>
      <c r="W364" t="s">
        <v>91</v>
      </c>
      <c r="X364" t="s">
        <v>91</v>
      </c>
      <c r="Y364">
        <v>2851</v>
      </c>
      <c r="Z364">
        <v>1</v>
      </c>
      <c r="AA364" t="s">
        <v>42</v>
      </c>
      <c r="AB364" t="s">
        <v>43</v>
      </c>
      <c r="AC364">
        <v>24</v>
      </c>
      <c r="AD364">
        <v>4</v>
      </c>
      <c r="AE364">
        <v>3</v>
      </c>
      <c r="AF364">
        <v>80</v>
      </c>
      <c r="AG364">
        <v>0</v>
      </c>
      <c r="AH3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64">
        <v>3</v>
      </c>
      <c r="AJ364" t="s">
        <v>74</v>
      </c>
      <c r="AK364">
        <v>3</v>
      </c>
      <c r="AL364" t="s">
        <v>74</v>
      </c>
      <c r="AM364">
        <v>2</v>
      </c>
      <c r="AN364" t="s">
        <v>74</v>
      </c>
      <c r="AO364">
        <v>3</v>
      </c>
      <c r="AP364" t="s">
        <v>74</v>
      </c>
      <c r="AQ364">
        <v>2</v>
      </c>
      <c r="AR364">
        <v>2</v>
      </c>
      <c r="AS364">
        <v>2</v>
      </c>
    </row>
    <row r="365" spans="1:4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 t="str">
        <f>IF(Employee_data[[#This Row],[MonthlyIncome]]&lt;5000,"Low Income",
IF(Employee_data[[#This Row],[MonthlyIncome]]&lt;10000,"Medium Income","High Income"))</f>
        <v>Low Income</v>
      </c>
      <c r="U365" t="s">
        <v>91</v>
      </c>
      <c r="V365" t="s">
        <v>91</v>
      </c>
      <c r="W365" t="s">
        <v>91</v>
      </c>
      <c r="X365" t="s">
        <v>91</v>
      </c>
      <c r="Y365">
        <v>9150</v>
      </c>
      <c r="Z365">
        <v>1</v>
      </c>
      <c r="AA365" t="s">
        <v>42</v>
      </c>
      <c r="AB365" t="s">
        <v>35</v>
      </c>
      <c r="AC365">
        <v>13</v>
      </c>
      <c r="AD365">
        <v>3</v>
      </c>
      <c r="AE365">
        <v>2</v>
      </c>
      <c r="AF365">
        <v>80</v>
      </c>
      <c r="AG365">
        <v>0</v>
      </c>
      <c r="AH3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65">
        <v>1</v>
      </c>
      <c r="AJ365" t="s">
        <v>74</v>
      </c>
      <c r="AK365">
        <v>2</v>
      </c>
      <c r="AL365" t="s">
        <v>74</v>
      </c>
      <c r="AM365">
        <v>3</v>
      </c>
      <c r="AN365" t="s">
        <v>74</v>
      </c>
      <c r="AO365">
        <v>1</v>
      </c>
      <c r="AP365" t="s">
        <v>74</v>
      </c>
      <c r="AQ365">
        <v>0</v>
      </c>
      <c r="AR365">
        <v>0</v>
      </c>
      <c r="AS365">
        <v>0</v>
      </c>
    </row>
    <row r="366" spans="1:4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 t="str">
        <f>IF(Employee_data[[#This Row],[MonthlyIncome]]&lt;5000,"Low Income",
IF(Employee_data[[#This Row],[MonthlyIncome]]&lt;10000,"Medium Income","High Income"))</f>
        <v>Low Income</v>
      </c>
      <c r="U366" t="s">
        <v>91</v>
      </c>
      <c r="V366" t="s">
        <v>91</v>
      </c>
      <c r="W366" t="s">
        <v>91</v>
      </c>
      <c r="X366" t="s">
        <v>91</v>
      </c>
      <c r="Y366">
        <v>17663</v>
      </c>
      <c r="Z366">
        <v>6</v>
      </c>
      <c r="AA366" t="s">
        <v>42</v>
      </c>
      <c r="AB366" t="s">
        <v>43</v>
      </c>
      <c r="AC366">
        <v>20</v>
      </c>
      <c r="AD366">
        <v>4</v>
      </c>
      <c r="AE366">
        <v>2</v>
      </c>
      <c r="AF366">
        <v>80</v>
      </c>
      <c r="AG366">
        <v>1</v>
      </c>
      <c r="AH3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66">
        <v>17</v>
      </c>
      <c r="AJ366" t="s">
        <v>78</v>
      </c>
      <c r="AK366">
        <v>3</v>
      </c>
      <c r="AL366" t="s">
        <v>78</v>
      </c>
      <c r="AM366">
        <v>3</v>
      </c>
      <c r="AN366" t="s">
        <v>78</v>
      </c>
      <c r="AO366">
        <v>5</v>
      </c>
      <c r="AP366" t="s">
        <v>78</v>
      </c>
      <c r="AQ366">
        <v>4</v>
      </c>
      <c r="AR366">
        <v>0</v>
      </c>
      <c r="AS366">
        <v>3</v>
      </c>
    </row>
    <row r="367" spans="1:4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 t="str">
        <f>IF(Employee_data[[#This Row],[MonthlyIncome]]&lt;5000,"Low Income",
IF(Employee_data[[#This Row],[MonthlyIncome]]&lt;10000,"Medium Income","High Income"))</f>
        <v>Medium Income</v>
      </c>
      <c r="U367" t="s">
        <v>92</v>
      </c>
      <c r="V367" t="s">
        <v>92</v>
      </c>
      <c r="W367" t="s">
        <v>92</v>
      </c>
      <c r="X367" t="s">
        <v>92</v>
      </c>
      <c r="Y367">
        <v>16044</v>
      </c>
      <c r="Z367">
        <v>2</v>
      </c>
      <c r="AA367" t="s">
        <v>42</v>
      </c>
      <c r="AB367" t="s">
        <v>43</v>
      </c>
      <c r="AC367">
        <v>14</v>
      </c>
      <c r="AD367">
        <v>3</v>
      </c>
      <c r="AE367">
        <v>3</v>
      </c>
      <c r="AF367">
        <v>80</v>
      </c>
      <c r="AG367">
        <v>0</v>
      </c>
      <c r="AH3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67">
        <v>7</v>
      </c>
      <c r="AJ367" t="s">
        <v>74</v>
      </c>
      <c r="AK367">
        <v>2</v>
      </c>
      <c r="AL367" t="s">
        <v>74</v>
      </c>
      <c r="AM367">
        <v>4</v>
      </c>
      <c r="AN367" t="s">
        <v>74</v>
      </c>
      <c r="AO367">
        <v>1</v>
      </c>
      <c r="AP367" t="s">
        <v>74</v>
      </c>
      <c r="AQ367">
        <v>0</v>
      </c>
      <c r="AR367">
        <v>0</v>
      </c>
      <c r="AS367">
        <v>0</v>
      </c>
    </row>
    <row r="368" spans="1:4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 t="str">
        <f>IF(Employee_data[[#This Row],[MonthlyIncome]]&lt;5000,"Low Income",
IF(Employee_data[[#This Row],[MonthlyIncome]]&lt;10000,"Medium Income","High Income"))</f>
        <v>Medium Income</v>
      </c>
      <c r="U368" t="s">
        <v>92</v>
      </c>
      <c r="V368" t="s">
        <v>92</v>
      </c>
      <c r="W368" t="s">
        <v>92</v>
      </c>
      <c r="X368" t="s">
        <v>92</v>
      </c>
      <c r="Y368">
        <v>9558</v>
      </c>
      <c r="Z368">
        <v>1</v>
      </c>
      <c r="AA368" t="s">
        <v>42</v>
      </c>
      <c r="AB368" t="s">
        <v>43</v>
      </c>
      <c r="AC368">
        <v>18</v>
      </c>
      <c r="AD368">
        <v>3</v>
      </c>
      <c r="AE368">
        <v>3</v>
      </c>
      <c r="AF368">
        <v>80</v>
      </c>
      <c r="AG368">
        <v>0</v>
      </c>
      <c r="AH3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68">
        <v>8</v>
      </c>
      <c r="AJ368" t="s">
        <v>78</v>
      </c>
      <c r="AK368">
        <v>5</v>
      </c>
      <c r="AL368" t="s">
        <v>78</v>
      </c>
      <c r="AM368">
        <v>3</v>
      </c>
      <c r="AN368" t="s">
        <v>78</v>
      </c>
      <c r="AO368">
        <v>8</v>
      </c>
      <c r="AP368" t="s">
        <v>78</v>
      </c>
      <c r="AQ368">
        <v>7</v>
      </c>
      <c r="AR368">
        <v>7</v>
      </c>
      <c r="AS368">
        <v>7</v>
      </c>
    </row>
    <row r="369" spans="1:4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 t="str">
        <f>IF(Employee_data[[#This Row],[MonthlyIncome]]&lt;5000,"Low Income",
IF(Employee_data[[#This Row],[MonthlyIncome]]&lt;10000,"Medium Income","High Income"))</f>
        <v>High Income</v>
      </c>
      <c r="U369" t="s">
        <v>90</v>
      </c>
      <c r="V369" t="s">
        <v>90</v>
      </c>
      <c r="W369" t="s">
        <v>90</v>
      </c>
      <c r="X369" t="s">
        <v>90</v>
      </c>
      <c r="Y369">
        <v>2755</v>
      </c>
      <c r="Z369">
        <v>6</v>
      </c>
      <c r="AA369" t="s">
        <v>42</v>
      </c>
      <c r="AB369" t="s">
        <v>43</v>
      </c>
      <c r="AC369">
        <v>15</v>
      </c>
      <c r="AD369">
        <v>3</v>
      </c>
      <c r="AE369">
        <v>4</v>
      </c>
      <c r="AF369">
        <v>80</v>
      </c>
      <c r="AG369">
        <v>0</v>
      </c>
      <c r="AH3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69">
        <v>20</v>
      </c>
      <c r="AJ369" t="s">
        <v>74</v>
      </c>
      <c r="AK369">
        <v>2</v>
      </c>
      <c r="AL369" t="s">
        <v>74</v>
      </c>
      <c r="AM369">
        <v>3</v>
      </c>
      <c r="AN369" t="s">
        <v>74</v>
      </c>
      <c r="AO369">
        <v>4</v>
      </c>
      <c r="AP369" t="s">
        <v>74</v>
      </c>
      <c r="AQ369">
        <v>3</v>
      </c>
      <c r="AR369">
        <v>1</v>
      </c>
      <c r="AS369">
        <v>3</v>
      </c>
    </row>
    <row r="370" spans="1:4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 t="str">
        <f>IF(Employee_data[[#This Row],[MonthlyIncome]]&lt;5000,"Low Income",
IF(Employee_data[[#This Row],[MonthlyIncome]]&lt;10000,"Medium Income","High Income"))</f>
        <v>Medium Income</v>
      </c>
      <c r="U370" t="s">
        <v>92</v>
      </c>
      <c r="V370" t="s">
        <v>92</v>
      </c>
      <c r="W370" t="s">
        <v>92</v>
      </c>
      <c r="X370" t="s">
        <v>92</v>
      </c>
      <c r="Y370">
        <v>6110</v>
      </c>
      <c r="Z370">
        <v>2</v>
      </c>
      <c r="AA370" t="s">
        <v>42</v>
      </c>
      <c r="AB370" t="s">
        <v>35</v>
      </c>
      <c r="AC370">
        <v>12</v>
      </c>
      <c r="AD370">
        <v>3</v>
      </c>
      <c r="AE370">
        <v>1</v>
      </c>
      <c r="AF370">
        <v>80</v>
      </c>
      <c r="AG370">
        <v>2</v>
      </c>
      <c r="AH3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70">
        <v>8</v>
      </c>
      <c r="AJ370" t="s">
        <v>78</v>
      </c>
      <c r="AK370">
        <v>6</v>
      </c>
      <c r="AL370" t="s">
        <v>78</v>
      </c>
      <c r="AM370">
        <v>3</v>
      </c>
      <c r="AN370" t="s">
        <v>78</v>
      </c>
      <c r="AO370">
        <v>6</v>
      </c>
      <c r="AP370" t="s">
        <v>78</v>
      </c>
      <c r="AQ370">
        <v>4</v>
      </c>
      <c r="AR370">
        <v>1</v>
      </c>
      <c r="AS370">
        <v>0</v>
      </c>
    </row>
    <row r="371" spans="1:4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 t="str">
        <f>IF(Employee_data[[#This Row],[MonthlyIncome]]&lt;5000,"Low Income",
IF(Employee_data[[#This Row],[MonthlyIncome]]&lt;10000,"Medium Income","High Income"))</f>
        <v>Low Income</v>
      </c>
      <c r="U371" t="s">
        <v>91</v>
      </c>
      <c r="V371" t="s">
        <v>91</v>
      </c>
      <c r="W371" t="s">
        <v>91</v>
      </c>
      <c r="X371" t="s">
        <v>91</v>
      </c>
      <c r="Y371">
        <v>7551</v>
      </c>
      <c r="Z371">
        <v>0</v>
      </c>
      <c r="AA371" t="s">
        <v>42</v>
      </c>
      <c r="AB371" t="s">
        <v>35</v>
      </c>
      <c r="AC371">
        <v>16</v>
      </c>
      <c r="AD371">
        <v>3</v>
      </c>
      <c r="AE371">
        <v>4</v>
      </c>
      <c r="AF371">
        <v>80</v>
      </c>
      <c r="AG371">
        <v>0</v>
      </c>
      <c r="AH3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71">
        <v>3</v>
      </c>
      <c r="AJ371" t="s">
        <v>74</v>
      </c>
      <c r="AK371">
        <v>5</v>
      </c>
      <c r="AL371" t="s">
        <v>74</v>
      </c>
      <c r="AM371">
        <v>3</v>
      </c>
      <c r="AN371" t="s">
        <v>74</v>
      </c>
      <c r="AO371">
        <v>2</v>
      </c>
      <c r="AP371" t="s">
        <v>74</v>
      </c>
      <c r="AQ371">
        <v>2</v>
      </c>
      <c r="AR371">
        <v>2</v>
      </c>
      <c r="AS371">
        <v>2</v>
      </c>
    </row>
    <row r="372" spans="1:4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 t="str">
        <f>IF(Employee_data[[#This Row],[MonthlyIncome]]&lt;5000,"Low Income",
IF(Employee_data[[#This Row],[MonthlyIncome]]&lt;10000,"Medium Income","High Income"))</f>
        <v>Low Income</v>
      </c>
      <c r="U372" t="s">
        <v>91</v>
      </c>
      <c r="V372" t="s">
        <v>91</v>
      </c>
      <c r="W372" t="s">
        <v>91</v>
      </c>
      <c r="X372" t="s">
        <v>91</v>
      </c>
      <c r="Y372">
        <v>25422</v>
      </c>
      <c r="Z372">
        <v>1</v>
      </c>
      <c r="AA372" t="s">
        <v>42</v>
      </c>
      <c r="AB372" t="s">
        <v>43</v>
      </c>
      <c r="AC372">
        <v>15</v>
      </c>
      <c r="AD372">
        <v>3</v>
      </c>
      <c r="AE372">
        <v>4</v>
      </c>
      <c r="AF372">
        <v>80</v>
      </c>
      <c r="AG372">
        <v>0</v>
      </c>
      <c r="AH3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72">
        <v>1</v>
      </c>
      <c r="AJ372" t="s">
        <v>74</v>
      </c>
      <c r="AK372">
        <v>0</v>
      </c>
      <c r="AL372" t="s">
        <v>74</v>
      </c>
      <c r="AM372">
        <v>3</v>
      </c>
      <c r="AN372" t="s">
        <v>74</v>
      </c>
      <c r="AO372">
        <v>1</v>
      </c>
      <c r="AP372" t="s">
        <v>74</v>
      </c>
      <c r="AQ372">
        <v>0</v>
      </c>
      <c r="AR372">
        <v>0</v>
      </c>
      <c r="AS372">
        <v>0</v>
      </c>
    </row>
    <row r="373" spans="1:4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 t="str">
        <f>IF(Employee_data[[#This Row],[MonthlyIncome]]&lt;5000,"Low Income",
IF(Employee_data[[#This Row],[MonthlyIncome]]&lt;10000,"Medium Income","High Income"))</f>
        <v>Low Income</v>
      </c>
      <c r="U373" t="s">
        <v>91</v>
      </c>
      <c r="V373" t="s">
        <v>91</v>
      </c>
      <c r="W373" t="s">
        <v>91</v>
      </c>
      <c r="X373" t="s">
        <v>91</v>
      </c>
      <c r="Y373">
        <v>18168</v>
      </c>
      <c r="Z373">
        <v>9</v>
      </c>
      <c r="AA373" t="s">
        <v>42</v>
      </c>
      <c r="AB373" t="s">
        <v>43</v>
      </c>
      <c r="AC373">
        <v>16</v>
      </c>
      <c r="AD373">
        <v>3</v>
      </c>
      <c r="AE373">
        <v>4</v>
      </c>
      <c r="AF373">
        <v>80</v>
      </c>
      <c r="AG373">
        <v>0</v>
      </c>
      <c r="AH3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73">
        <v>6</v>
      </c>
      <c r="AJ373" t="s">
        <v>74</v>
      </c>
      <c r="AK373">
        <v>4</v>
      </c>
      <c r="AL373" t="s">
        <v>74</v>
      </c>
      <c r="AM373">
        <v>3</v>
      </c>
      <c r="AN373" t="s">
        <v>74</v>
      </c>
      <c r="AO373">
        <v>3</v>
      </c>
      <c r="AP373" t="s">
        <v>74</v>
      </c>
      <c r="AQ373">
        <v>2</v>
      </c>
      <c r="AR373">
        <v>1</v>
      </c>
      <c r="AS373">
        <v>2</v>
      </c>
    </row>
    <row r="374" spans="1:4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 t="str">
        <f>IF(Employee_data[[#This Row],[MonthlyIncome]]&lt;5000,"Low Income",
IF(Employee_data[[#This Row],[MonthlyIncome]]&lt;10000,"Medium Income","High Income"))</f>
        <v>Medium Income</v>
      </c>
      <c r="U374" t="s">
        <v>92</v>
      </c>
      <c r="V374" t="s">
        <v>92</v>
      </c>
      <c r="W374" t="s">
        <v>92</v>
      </c>
      <c r="X374" t="s">
        <v>92</v>
      </c>
      <c r="Y374">
        <v>19394</v>
      </c>
      <c r="Z374">
        <v>9</v>
      </c>
      <c r="AA374" t="s">
        <v>42</v>
      </c>
      <c r="AB374" t="s">
        <v>43</v>
      </c>
      <c r="AC374">
        <v>19</v>
      </c>
      <c r="AD374">
        <v>3</v>
      </c>
      <c r="AE374">
        <v>3</v>
      </c>
      <c r="AF374">
        <v>80</v>
      </c>
      <c r="AG374">
        <v>0</v>
      </c>
      <c r="AH3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74">
        <v>10</v>
      </c>
      <c r="AJ374" t="s">
        <v>74</v>
      </c>
      <c r="AK374">
        <v>5</v>
      </c>
      <c r="AL374" t="s">
        <v>74</v>
      </c>
      <c r="AM374">
        <v>3</v>
      </c>
      <c r="AN374" t="s">
        <v>74</v>
      </c>
      <c r="AO374">
        <v>1</v>
      </c>
      <c r="AP374" t="s">
        <v>74</v>
      </c>
      <c r="AQ374">
        <v>1</v>
      </c>
      <c r="AR374">
        <v>0</v>
      </c>
      <c r="AS374">
        <v>0</v>
      </c>
    </row>
    <row r="375" spans="1:4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 t="str">
        <f>IF(Employee_data[[#This Row],[MonthlyIncome]]&lt;5000,"Low Income",
IF(Employee_data[[#This Row],[MonthlyIncome]]&lt;10000,"Medium Income","High Income"))</f>
        <v>Low Income</v>
      </c>
      <c r="U375" t="s">
        <v>91</v>
      </c>
      <c r="V375" t="s">
        <v>91</v>
      </c>
      <c r="W375" t="s">
        <v>91</v>
      </c>
      <c r="X375" t="s">
        <v>91</v>
      </c>
      <c r="Y375">
        <v>17881</v>
      </c>
      <c r="Z375">
        <v>1</v>
      </c>
      <c r="AA375" t="s">
        <v>42</v>
      </c>
      <c r="AB375" t="s">
        <v>43</v>
      </c>
      <c r="AC375">
        <v>11</v>
      </c>
      <c r="AD375">
        <v>3</v>
      </c>
      <c r="AE375">
        <v>2</v>
      </c>
      <c r="AF375">
        <v>80</v>
      </c>
      <c r="AG375">
        <v>1</v>
      </c>
      <c r="AH3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75">
        <v>5</v>
      </c>
      <c r="AJ375" t="s">
        <v>78</v>
      </c>
      <c r="AK375">
        <v>2</v>
      </c>
      <c r="AL375" t="s">
        <v>78</v>
      </c>
      <c r="AM375">
        <v>3</v>
      </c>
      <c r="AN375" t="s">
        <v>78</v>
      </c>
      <c r="AO375">
        <v>5</v>
      </c>
      <c r="AP375" t="s">
        <v>78</v>
      </c>
      <c r="AQ375">
        <v>2</v>
      </c>
      <c r="AR375">
        <v>0</v>
      </c>
      <c r="AS375">
        <v>4</v>
      </c>
    </row>
    <row r="376" spans="1:4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 t="str">
        <f>IF(Employee_data[[#This Row],[MonthlyIncome]]&lt;5000,"Low Income",
IF(Employee_data[[#This Row],[MonthlyIncome]]&lt;10000,"Medium Income","High Income"))</f>
        <v>Medium Income</v>
      </c>
      <c r="U376" t="s">
        <v>92</v>
      </c>
      <c r="V376" t="s">
        <v>92</v>
      </c>
      <c r="W376" t="s">
        <v>92</v>
      </c>
      <c r="X376" t="s">
        <v>92</v>
      </c>
      <c r="Y376">
        <v>20750</v>
      </c>
      <c r="Z376">
        <v>1</v>
      </c>
      <c r="AA376" t="s">
        <v>42</v>
      </c>
      <c r="AB376" t="s">
        <v>43</v>
      </c>
      <c r="AC376">
        <v>16</v>
      </c>
      <c r="AD376">
        <v>3</v>
      </c>
      <c r="AE376">
        <v>4</v>
      </c>
      <c r="AF376">
        <v>80</v>
      </c>
      <c r="AG376">
        <v>0</v>
      </c>
      <c r="AH3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76">
        <v>7</v>
      </c>
      <c r="AJ376" t="s">
        <v>78</v>
      </c>
      <c r="AK376">
        <v>1</v>
      </c>
      <c r="AL376" t="s">
        <v>78</v>
      </c>
      <c r="AM376">
        <v>3</v>
      </c>
      <c r="AN376" t="s">
        <v>78</v>
      </c>
      <c r="AO376">
        <v>7</v>
      </c>
      <c r="AP376" t="s">
        <v>78</v>
      </c>
      <c r="AQ376">
        <v>5</v>
      </c>
      <c r="AR376">
        <v>0</v>
      </c>
      <c r="AS376">
        <v>7</v>
      </c>
    </row>
    <row r="377" spans="1:4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 t="str">
        <f>IF(Employee_data[[#This Row],[MonthlyIncome]]&lt;5000,"Low Income",
IF(Employee_data[[#This Row],[MonthlyIncome]]&lt;10000,"Medium Income","High Income"))</f>
        <v>High Income</v>
      </c>
      <c r="U377" t="s">
        <v>90</v>
      </c>
      <c r="V377" t="s">
        <v>90</v>
      </c>
      <c r="W377" t="s">
        <v>90</v>
      </c>
      <c r="X377" t="s">
        <v>90</v>
      </c>
      <c r="Y377">
        <v>12066</v>
      </c>
      <c r="Z377">
        <v>8</v>
      </c>
      <c r="AA377" t="s">
        <v>42</v>
      </c>
      <c r="AB377" t="s">
        <v>43</v>
      </c>
      <c r="AC377">
        <v>24</v>
      </c>
      <c r="AD377">
        <v>4</v>
      </c>
      <c r="AE377">
        <v>3</v>
      </c>
      <c r="AF377">
        <v>80</v>
      </c>
      <c r="AG377">
        <v>0</v>
      </c>
      <c r="AH3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77">
        <v>26</v>
      </c>
      <c r="AJ377" t="s">
        <v>78</v>
      </c>
      <c r="AK377">
        <v>2</v>
      </c>
      <c r="AL377" t="s">
        <v>78</v>
      </c>
      <c r="AM377">
        <v>3</v>
      </c>
      <c r="AN377" t="s">
        <v>78</v>
      </c>
      <c r="AO377">
        <v>5</v>
      </c>
      <c r="AP377" t="s">
        <v>78</v>
      </c>
      <c r="AQ377">
        <v>2</v>
      </c>
      <c r="AR377">
        <v>0</v>
      </c>
      <c r="AS377">
        <v>0</v>
      </c>
    </row>
    <row r="378" spans="1:4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 t="str">
        <f>IF(Employee_data[[#This Row],[MonthlyIncome]]&lt;5000,"Low Income",
IF(Employee_data[[#This Row],[MonthlyIncome]]&lt;10000,"Medium Income","High Income"))</f>
        <v>Low Income</v>
      </c>
      <c r="U378" t="s">
        <v>91</v>
      </c>
      <c r="V378" t="s">
        <v>91</v>
      </c>
      <c r="W378" t="s">
        <v>91</v>
      </c>
      <c r="X378" t="s">
        <v>91</v>
      </c>
      <c r="Y378">
        <v>14862</v>
      </c>
      <c r="Z378">
        <v>4</v>
      </c>
      <c r="AA378" t="s">
        <v>42</v>
      </c>
      <c r="AB378" t="s">
        <v>43</v>
      </c>
      <c r="AC378">
        <v>11</v>
      </c>
      <c r="AD378">
        <v>3</v>
      </c>
      <c r="AE378">
        <v>3</v>
      </c>
      <c r="AF378">
        <v>80</v>
      </c>
      <c r="AG378">
        <v>1</v>
      </c>
      <c r="AH3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78">
        <v>18</v>
      </c>
      <c r="AJ378" t="s">
        <v>78</v>
      </c>
      <c r="AK378">
        <v>2</v>
      </c>
      <c r="AL378" t="s">
        <v>78</v>
      </c>
      <c r="AM378">
        <v>2</v>
      </c>
      <c r="AN378" t="s">
        <v>78</v>
      </c>
      <c r="AO378">
        <v>7</v>
      </c>
      <c r="AP378" t="s">
        <v>78</v>
      </c>
      <c r="AQ378">
        <v>7</v>
      </c>
      <c r="AR378">
        <v>0</v>
      </c>
      <c r="AS378">
        <v>7</v>
      </c>
    </row>
    <row r="379" spans="1:4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 t="str">
        <f>IF(Employee_data[[#This Row],[MonthlyIncome]]&lt;5000,"Low Income",
IF(Employee_data[[#This Row],[MonthlyIncome]]&lt;10000,"Medium Income","High Income"))</f>
        <v>Low Income</v>
      </c>
      <c r="U379" t="s">
        <v>91</v>
      </c>
      <c r="V379" t="s">
        <v>91</v>
      </c>
      <c r="W379" t="s">
        <v>91</v>
      </c>
      <c r="X379" t="s">
        <v>91</v>
      </c>
      <c r="Y379">
        <v>11868</v>
      </c>
      <c r="Z379">
        <v>4</v>
      </c>
      <c r="AA379" t="s">
        <v>42</v>
      </c>
      <c r="AB379" t="s">
        <v>43</v>
      </c>
      <c r="AC379">
        <v>13</v>
      </c>
      <c r="AD379">
        <v>3</v>
      </c>
      <c r="AE379">
        <v>2</v>
      </c>
      <c r="AF379">
        <v>80</v>
      </c>
      <c r="AG379">
        <v>1</v>
      </c>
      <c r="AH3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79">
        <v>6</v>
      </c>
      <c r="AJ379" t="s">
        <v>74</v>
      </c>
      <c r="AK379">
        <v>3</v>
      </c>
      <c r="AL379" t="s">
        <v>74</v>
      </c>
      <c r="AM379">
        <v>3</v>
      </c>
      <c r="AN379" t="s">
        <v>74</v>
      </c>
      <c r="AO379">
        <v>2</v>
      </c>
      <c r="AP379" t="s">
        <v>74</v>
      </c>
      <c r="AQ379">
        <v>2</v>
      </c>
      <c r="AR379">
        <v>2</v>
      </c>
      <c r="AS379">
        <v>2</v>
      </c>
    </row>
    <row r="380" spans="1:4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 t="str">
        <f>IF(Employee_data[[#This Row],[MonthlyIncome]]&lt;5000,"Low Income",
IF(Employee_data[[#This Row],[MonthlyIncome]]&lt;10000,"Medium Income","High Income"))</f>
        <v>Medium Income</v>
      </c>
      <c r="U380" t="s">
        <v>92</v>
      </c>
      <c r="V380" t="s">
        <v>92</v>
      </c>
      <c r="W380" t="s">
        <v>92</v>
      </c>
      <c r="X380" t="s">
        <v>92</v>
      </c>
      <c r="Y380">
        <v>4652</v>
      </c>
      <c r="Z380">
        <v>8</v>
      </c>
      <c r="AA380" t="s">
        <v>42</v>
      </c>
      <c r="AB380" t="s">
        <v>35</v>
      </c>
      <c r="AC380">
        <v>13</v>
      </c>
      <c r="AD380">
        <v>3</v>
      </c>
      <c r="AE380">
        <v>2</v>
      </c>
      <c r="AF380">
        <v>80</v>
      </c>
      <c r="AG380">
        <v>0</v>
      </c>
      <c r="AH3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80">
        <v>9</v>
      </c>
      <c r="AJ380" t="s">
        <v>78</v>
      </c>
      <c r="AK380">
        <v>3</v>
      </c>
      <c r="AL380" t="s">
        <v>78</v>
      </c>
      <c r="AM380">
        <v>2</v>
      </c>
      <c r="AN380" t="s">
        <v>78</v>
      </c>
      <c r="AO380">
        <v>5</v>
      </c>
      <c r="AP380" t="s">
        <v>78</v>
      </c>
      <c r="AQ380">
        <v>2</v>
      </c>
      <c r="AR380">
        <v>0</v>
      </c>
      <c r="AS380">
        <v>4</v>
      </c>
    </row>
    <row r="381" spans="1:4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 t="str">
        <f>IF(Employee_data[[#This Row],[MonthlyIncome]]&lt;5000,"Low Income",
IF(Employee_data[[#This Row],[MonthlyIncome]]&lt;10000,"Medium Income","High Income"))</f>
        <v>High Income</v>
      </c>
      <c r="U381" t="s">
        <v>90</v>
      </c>
      <c r="V381" t="s">
        <v>90</v>
      </c>
      <c r="W381" t="s">
        <v>90</v>
      </c>
      <c r="X381" t="s">
        <v>90</v>
      </c>
      <c r="Y381">
        <v>23258</v>
      </c>
      <c r="Z381">
        <v>2</v>
      </c>
      <c r="AA381" t="s">
        <v>42</v>
      </c>
      <c r="AB381" t="s">
        <v>35</v>
      </c>
      <c r="AC381">
        <v>13</v>
      </c>
      <c r="AD381">
        <v>3</v>
      </c>
      <c r="AE381">
        <v>3</v>
      </c>
      <c r="AF381">
        <v>80</v>
      </c>
      <c r="AG381">
        <v>0</v>
      </c>
      <c r="AH3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81">
        <v>30</v>
      </c>
      <c r="AJ381" t="s">
        <v>78</v>
      </c>
      <c r="AK381">
        <v>2</v>
      </c>
      <c r="AL381" t="s">
        <v>78</v>
      </c>
      <c r="AM381">
        <v>3</v>
      </c>
      <c r="AN381" t="s">
        <v>78</v>
      </c>
      <c r="AO381">
        <v>5</v>
      </c>
      <c r="AP381" t="s">
        <v>78</v>
      </c>
      <c r="AQ381">
        <v>4</v>
      </c>
      <c r="AR381">
        <v>1</v>
      </c>
      <c r="AS381">
        <v>2</v>
      </c>
    </row>
    <row r="382" spans="1:4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 t="str">
        <f>IF(Employee_data[[#This Row],[MonthlyIncome]]&lt;5000,"Low Income",
IF(Employee_data[[#This Row],[MonthlyIncome]]&lt;10000,"Medium Income","High Income"))</f>
        <v>Low Income</v>
      </c>
      <c r="U382" t="s">
        <v>91</v>
      </c>
      <c r="V382" t="s">
        <v>91</v>
      </c>
      <c r="W382" t="s">
        <v>91</v>
      </c>
      <c r="X382" t="s">
        <v>91</v>
      </c>
      <c r="Y382">
        <v>5915</v>
      </c>
      <c r="Z382">
        <v>1</v>
      </c>
      <c r="AA382" t="s">
        <v>42</v>
      </c>
      <c r="AB382" t="s">
        <v>35</v>
      </c>
      <c r="AC382">
        <v>12</v>
      </c>
      <c r="AD382">
        <v>3</v>
      </c>
      <c r="AE382">
        <v>4</v>
      </c>
      <c r="AF382">
        <v>80</v>
      </c>
      <c r="AG382">
        <v>1</v>
      </c>
      <c r="AH3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82">
        <v>5</v>
      </c>
      <c r="AJ382" t="s">
        <v>78</v>
      </c>
      <c r="AK382">
        <v>2</v>
      </c>
      <c r="AL382" t="s">
        <v>78</v>
      </c>
      <c r="AM382">
        <v>4</v>
      </c>
      <c r="AN382" t="s">
        <v>78</v>
      </c>
      <c r="AO382">
        <v>5</v>
      </c>
      <c r="AP382" t="s">
        <v>78</v>
      </c>
      <c r="AQ382">
        <v>2</v>
      </c>
      <c r="AR382">
        <v>0</v>
      </c>
      <c r="AS382">
        <v>3</v>
      </c>
    </row>
    <row r="383" spans="1:4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 t="str">
        <f>IF(Employee_data[[#This Row],[MonthlyIncome]]&lt;5000,"Low Income",
IF(Employee_data[[#This Row],[MonthlyIncome]]&lt;10000,"Medium Income","High Income"))</f>
        <v>Low Income</v>
      </c>
      <c r="U383" t="s">
        <v>91</v>
      </c>
      <c r="V383" t="s">
        <v>91</v>
      </c>
      <c r="W383" t="s">
        <v>91</v>
      </c>
      <c r="X383" t="s">
        <v>91</v>
      </c>
      <c r="Y383">
        <v>17434</v>
      </c>
      <c r="Z383">
        <v>1</v>
      </c>
      <c r="AA383" t="s">
        <v>42</v>
      </c>
      <c r="AB383" t="s">
        <v>43</v>
      </c>
      <c r="AC383">
        <v>18</v>
      </c>
      <c r="AD383">
        <v>3</v>
      </c>
      <c r="AE383">
        <v>1</v>
      </c>
      <c r="AF383">
        <v>80</v>
      </c>
      <c r="AG383">
        <v>1</v>
      </c>
      <c r="AH3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83">
        <v>1</v>
      </c>
      <c r="AJ383" t="s">
        <v>74</v>
      </c>
      <c r="AK383">
        <v>3</v>
      </c>
      <c r="AL383" t="s">
        <v>74</v>
      </c>
      <c r="AM383">
        <v>3</v>
      </c>
      <c r="AN383" t="s">
        <v>74</v>
      </c>
      <c r="AO383">
        <v>1</v>
      </c>
      <c r="AP383" t="s">
        <v>74</v>
      </c>
      <c r="AQ383">
        <v>0</v>
      </c>
      <c r="AR383">
        <v>0</v>
      </c>
      <c r="AS383">
        <v>0</v>
      </c>
    </row>
    <row r="384" spans="1:4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 t="str">
        <f>IF(Employee_data[[#This Row],[MonthlyIncome]]&lt;5000,"Low Income",
IF(Employee_data[[#This Row],[MonthlyIncome]]&lt;10000,"Medium Income","High Income"))</f>
        <v>Low Income</v>
      </c>
      <c r="U384" t="s">
        <v>91</v>
      </c>
      <c r="V384" t="s">
        <v>91</v>
      </c>
      <c r="W384" t="s">
        <v>91</v>
      </c>
      <c r="X384" t="s">
        <v>91</v>
      </c>
      <c r="Y384">
        <v>6582</v>
      </c>
      <c r="Z384">
        <v>0</v>
      </c>
      <c r="AA384" t="s">
        <v>42</v>
      </c>
      <c r="AB384" t="s">
        <v>43</v>
      </c>
      <c r="AC384">
        <v>22</v>
      </c>
      <c r="AD384">
        <v>4</v>
      </c>
      <c r="AE384">
        <v>3</v>
      </c>
      <c r="AF384">
        <v>80</v>
      </c>
      <c r="AG384">
        <v>0</v>
      </c>
      <c r="AH3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84">
        <v>7</v>
      </c>
      <c r="AJ384" t="s">
        <v>78</v>
      </c>
      <c r="AK384">
        <v>2</v>
      </c>
      <c r="AL384" t="s">
        <v>78</v>
      </c>
      <c r="AM384">
        <v>3</v>
      </c>
      <c r="AN384" t="s">
        <v>78</v>
      </c>
      <c r="AO384">
        <v>6</v>
      </c>
      <c r="AP384" t="s">
        <v>78</v>
      </c>
      <c r="AQ384">
        <v>4</v>
      </c>
      <c r="AR384">
        <v>0</v>
      </c>
      <c r="AS384">
        <v>4</v>
      </c>
    </row>
    <row r="385" spans="1:4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 t="str">
        <f>IF(Employee_data[[#This Row],[MonthlyIncome]]&lt;5000,"Low Income",
IF(Employee_data[[#This Row],[MonthlyIncome]]&lt;10000,"Medium Income","High Income"))</f>
        <v>Low Income</v>
      </c>
      <c r="U385" t="s">
        <v>91</v>
      </c>
      <c r="V385" t="s">
        <v>91</v>
      </c>
      <c r="W385" t="s">
        <v>91</v>
      </c>
      <c r="X385" t="s">
        <v>91</v>
      </c>
      <c r="Y385">
        <v>24440</v>
      </c>
      <c r="Z385">
        <v>1</v>
      </c>
      <c r="AA385" t="s">
        <v>42</v>
      </c>
      <c r="AB385" t="s">
        <v>43</v>
      </c>
      <c r="AC385">
        <v>13</v>
      </c>
      <c r="AD385">
        <v>3</v>
      </c>
      <c r="AE385">
        <v>4</v>
      </c>
      <c r="AF385">
        <v>80</v>
      </c>
      <c r="AG385">
        <v>1</v>
      </c>
      <c r="AH3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85">
        <v>2</v>
      </c>
      <c r="AJ385" t="s">
        <v>74</v>
      </c>
      <c r="AK385">
        <v>1</v>
      </c>
      <c r="AL385" t="s">
        <v>74</v>
      </c>
      <c r="AM385">
        <v>3</v>
      </c>
      <c r="AN385" t="s">
        <v>74</v>
      </c>
      <c r="AO385">
        <v>2</v>
      </c>
      <c r="AP385" t="s">
        <v>74</v>
      </c>
      <c r="AQ385">
        <v>1</v>
      </c>
      <c r="AR385">
        <v>1</v>
      </c>
      <c r="AS385">
        <v>2</v>
      </c>
    </row>
    <row r="386" spans="1:4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 t="str">
        <f>IF(Employee_data[[#This Row],[MonthlyIncome]]&lt;5000,"Low Income",
IF(Employee_data[[#This Row],[MonthlyIncome]]&lt;10000,"Medium Income","High Income"))</f>
        <v>Medium Income</v>
      </c>
      <c r="U386" t="s">
        <v>92</v>
      </c>
      <c r="V386" t="s">
        <v>92</v>
      </c>
      <c r="W386" t="s">
        <v>92</v>
      </c>
      <c r="X386" t="s">
        <v>92</v>
      </c>
      <c r="Y386">
        <v>3809</v>
      </c>
      <c r="Z386">
        <v>1</v>
      </c>
      <c r="AA386" t="s">
        <v>42</v>
      </c>
      <c r="AB386" t="s">
        <v>43</v>
      </c>
      <c r="AC386">
        <v>13</v>
      </c>
      <c r="AD386">
        <v>3</v>
      </c>
      <c r="AE386">
        <v>2</v>
      </c>
      <c r="AF386">
        <v>80</v>
      </c>
      <c r="AG386">
        <v>2</v>
      </c>
      <c r="AH3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86">
        <v>10</v>
      </c>
      <c r="AJ386" t="s">
        <v>75</v>
      </c>
      <c r="AK386">
        <v>2</v>
      </c>
      <c r="AL386" t="s">
        <v>75</v>
      </c>
      <c r="AM386">
        <v>3</v>
      </c>
      <c r="AN386" t="s">
        <v>75</v>
      </c>
      <c r="AO386">
        <v>10</v>
      </c>
      <c r="AP386" t="s">
        <v>75</v>
      </c>
      <c r="AQ386">
        <v>9</v>
      </c>
      <c r="AR386">
        <v>9</v>
      </c>
      <c r="AS386">
        <v>0</v>
      </c>
    </row>
    <row r="387" spans="1:4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 t="str">
        <f>IF(Employee_data[[#This Row],[MonthlyIncome]]&lt;5000,"Low Income",
IF(Employee_data[[#This Row],[MonthlyIncome]]&lt;10000,"Medium Income","High Income"))</f>
        <v>Low Income</v>
      </c>
      <c r="U387" t="s">
        <v>91</v>
      </c>
      <c r="V387" t="s">
        <v>91</v>
      </c>
      <c r="W387" t="s">
        <v>91</v>
      </c>
      <c r="X387" t="s">
        <v>91</v>
      </c>
      <c r="Y387">
        <v>3427</v>
      </c>
      <c r="Z387">
        <v>9</v>
      </c>
      <c r="AA387" t="s">
        <v>42</v>
      </c>
      <c r="AB387" t="s">
        <v>35</v>
      </c>
      <c r="AC387">
        <v>23</v>
      </c>
      <c r="AD387">
        <v>4</v>
      </c>
      <c r="AE387">
        <v>3</v>
      </c>
      <c r="AF387">
        <v>80</v>
      </c>
      <c r="AG387">
        <v>0</v>
      </c>
      <c r="AH3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87">
        <v>3</v>
      </c>
      <c r="AJ387" t="s">
        <v>74</v>
      </c>
      <c r="AK387">
        <v>4</v>
      </c>
      <c r="AL387" t="s">
        <v>74</v>
      </c>
      <c r="AM387">
        <v>3</v>
      </c>
      <c r="AN387" t="s">
        <v>74</v>
      </c>
      <c r="AO387">
        <v>1</v>
      </c>
      <c r="AP387" t="s">
        <v>74</v>
      </c>
      <c r="AQ387">
        <v>0</v>
      </c>
      <c r="AR387">
        <v>0</v>
      </c>
      <c r="AS387">
        <v>0</v>
      </c>
    </row>
    <row r="388" spans="1:4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 t="str">
        <f>IF(Employee_data[[#This Row],[MonthlyIncome]]&lt;5000,"Low Income",
IF(Employee_data[[#This Row],[MonthlyIncome]]&lt;10000,"Medium Income","High Income"))</f>
        <v>Low Income</v>
      </c>
      <c r="U388" t="s">
        <v>91</v>
      </c>
      <c r="V388" t="s">
        <v>91</v>
      </c>
      <c r="W388" t="s">
        <v>91</v>
      </c>
      <c r="X388" t="s">
        <v>91</v>
      </c>
      <c r="Y388">
        <v>26914</v>
      </c>
      <c r="Z388">
        <v>1</v>
      </c>
      <c r="AA388" t="s">
        <v>42</v>
      </c>
      <c r="AB388" t="s">
        <v>43</v>
      </c>
      <c r="AC388">
        <v>12</v>
      </c>
      <c r="AD388">
        <v>3</v>
      </c>
      <c r="AE388">
        <v>3</v>
      </c>
      <c r="AF388">
        <v>80</v>
      </c>
      <c r="AG388">
        <v>1</v>
      </c>
      <c r="AH3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388">
        <v>18</v>
      </c>
      <c r="AJ388" t="s">
        <v>76</v>
      </c>
      <c r="AK388">
        <v>2</v>
      </c>
      <c r="AL388" t="s">
        <v>76</v>
      </c>
      <c r="AM388">
        <v>2</v>
      </c>
      <c r="AN388" t="s">
        <v>76</v>
      </c>
      <c r="AO388">
        <v>18</v>
      </c>
      <c r="AP388" t="s">
        <v>76</v>
      </c>
      <c r="AQ388">
        <v>7</v>
      </c>
      <c r="AR388">
        <v>12</v>
      </c>
      <c r="AS388">
        <v>17</v>
      </c>
    </row>
    <row r="389" spans="1:4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 t="str">
        <f>IF(Employee_data[[#This Row],[MonthlyIncome]]&lt;5000,"Low Income",
IF(Employee_data[[#This Row],[MonthlyIncome]]&lt;10000,"Medium Income","High Income"))</f>
        <v>Medium Income</v>
      </c>
      <c r="U389" t="s">
        <v>92</v>
      </c>
      <c r="V389" t="s">
        <v>92</v>
      </c>
      <c r="W389" t="s">
        <v>92</v>
      </c>
      <c r="X389" t="s">
        <v>92</v>
      </c>
      <c r="Y389">
        <v>22553</v>
      </c>
      <c r="Z389">
        <v>7</v>
      </c>
      <c r="AA389" t="s">
        <v>42</v>
      </c>
      <c r="AB389" t="s">
        <v>43</v>
      </c>
      <c r="AC389">
        <v>12</v>
      </c>
      <c r="AD389">
        <v>3</v>
      </c>
      <c r="AE389">
        <v>3</v>
      </c>
      <c r="AF389">
        <v>80</v>
      </c>
      <c r="AG389">
        <v>2</v>
      </c>
      <c r="AH3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89">
        <v>8</v>
      </c>
      <c r="AJ389" t="s">
        <v>78</v>
      </c>
      <c r="AK389">
        <v>5</v>
      </c>
      <c r="AL389" t="s">
        <v>78</v>
      </c>
      <c r="AM389">
        <v>3</v>
      </c>
      <c r="AN389" t="s">
        <v>78</v>
      </c>
      <c r="AO389">
        <v>5</v>
      </c>
      <c r="AP389" t="s">
        <v>78</v>
      </c>
      <c r="AQ389">
        <v>4</v>
      </c>
      <c r="AR389">
        <v>1</v>
      </c>
      <c r="AS389">
        <v>3</v>
      </c>
    </row>
    <row r="390" spans="1:4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 t="str">
        <f>IF(Employee_data[[#This Row],[MonthlyIncome]]&lt;5000,"Low Income",
IF(Employee_data[[#This Row],[MonthlyIncome]]&lt;10000,"Medium Income","High Income"))</f>
        <v>Low Income</v>
      </c>
      <c r="U390" t="s">
        <v>91</v>
      </c>
      <c r="V390" t="s">
        <v>91</v>
      </c>
      <c r="W390" t="s">
        <v>91</v>
      </c>
      <c r="X390" t="s">
        <v>91</v>
      </c>
      <c r="Y390">
        <v>20490</v>
      </c>
      <c r="Z390">
        <v>3</v>
      </c>
      <c r="AA390" t="s">
        <v>42</v>
      </c>
      <c r="AB390" t="s">
        <v>43</v>
      </c>
      <c r="AC390">
        <v>16</v>
      </c>
      <c r="AD390">
        <v>3</v>
      </c>
      <c r="AE390">
        <v>2</v>
      </c>
      <c r="AF390">
        <v>80</v>
      </c>
      <c r="AG390">
        <v>1</v>
      </c>
      <c r="AH3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90">
        <v>8</v>
      </c>
      <c r="AJ390" t="s">
        <v>78</v>
      </c>
      <c r="AK390">
        <v>5</v>
      </c>
      <c r="AL390" t="s">
        <v>78</v>
      </c>
      <c r="AM390">
        <v>3</v>
      </c>
      <c r="AN390" t="s">
        <v>78</v>
      </c>
      <c r="AO390">
        <v>5</v>
      </c>
      <c r="AP390" t="s">
        <v>78</v>
      </c>
      <c r="AQ390">
        <v>2</v>
      </c>
      <c r="AR390">
        <v>1</v>
      </c>
      <c r="AS390">
        <v>2</v>
      </c>
    </row>
    <row r="391" spans="1:4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 t="str">
        <f>IF(Employee_data[[#This Row],[MonthlyIncome]]&lt;5000,"Low Income",
IF(Employee_data[[#This Row],[MonthlyIncome]]&lt;10000,"Medium Income","High Income"))</f>
        <v>Low Income</v>
      </c>
      <c r="U391" t="s">
        <v>91</v>
      </c>
      <c r="V391" t="s">
        <v>91</v>
      </c>
      <c r="W391" t="s">
        <v>91</v>
      </c>
      <c r="X391" t="s">
        <v>91</v>
      </c>
      <c r="Y391">
        <v>21123</v>
      </c>
      <c r="Z391">
        <v>2</v>
      </c>
      <c r="AA391" t="s">
        <v>42</v>
      </c>
      <c r="AB391" t="s">
        <v>35</v>
      </c>
      <c r="AC391">
        <v>12</v>
      </c>
      <c r="AD391">
        <v>3</v>
      </c>
      <c r="AE391">
        <v>4</v>
      </c>
      <c r="AF391">
        <v>80</v>
      </c>
      <c r="AG391">
        <v>0</v>
      </c>
      <c r="AH3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91">
        <v>18</v>
      </c>
      <c r="AJ391" t="s">
        <v>74</v>
      </c>
      <c r="AK391">
        <v>2</v>
      </c>
      <c r="AL391" t="s">
        <v>74</v>
      </c>
      <c r="AM391">
        <v>2</v>
      </c>
      <c r="AN391" t="s">
        <v>74</v>
      </c>
      <c r="AO391">
        <v>1</v>
      </c>
      <c r="AP391" t="s">
        <v>74</v>
      </c>
      <c r="AQ391">
        <v>0</v>
      </c>
      <c r="AR391">
        <v>0</v>
      </c>
      <c r="AS391">
        <v>1</v>
      </c>
    </row>
    <row r="392" spans="1:4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 t="str">
        <f>IF(Employee_data[[#This Row],[MonthlyIncome]]&lt;5000,"Low Income",
IF(Employee_data[[#This Row],[MonthlyIncome]]&lt;10000,"Medium Income","High Income"))</f>
        <v>High Income</v>
      </c>
      <c r="U392" t="s">
        <v>90</v>
      </c>
      <c r="V392" t="s">
        <v>90</v>
      </c>
      <c r="W392" t="s">
        <v>90</v>
      </c>
      <c r="X392" t="s">
        <v>90</v>
      </c>
      <c r="Y392">
        <v>4345</v>
      </c>
      <c r="Z392">
        <v>1</v>
      </c>
      <c r="AA392" t="s">
        <v>42</v>
      </c>
      <c r="AB392" t="s">
        <v>43</v>
      </c>
      <c r="AC392">
        <v>11</v>
      </c>
      <c r="AD392">
        <v>3</v>
      </c>
      <c r="AE392">
        <v>3</v>
      </c>
      <c r="AF392">
        <v>80</v>
      </c>
      <c r="AG392">
        <v>1</v>
      </c>
      <c r="AH3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392">
        <v>25</v>
      </c>
      <c r="AJ392" t="s">
        <v>77</v>
      </c>
      <c r="AK392">
        <v>3</v>
      </c>
      <c r="AL392" t="s">
        <v>77</v>
      </c>
      <c r="AM392">
        <v>3</v>
      </c>
      <c r="AN392" t="s">
        <v>77</v>
      </c>
      <c r="AO392">
        <v>25</v>
      </c>
      <c r="AP392" t="s">
        <v>77</v>
      </c>
      <c r="AQ392">
        <v>10</v>
      </c>
      <c r="AR392">
        <v>3</v>
      </c>
      <c r="AS392">
        <v>9</v>
      </c>
    </row>
    <row r="393" spans="1:4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 t="str">
        <f>IF(Employee_data[[#This Row],[MonthlyIncome]]&lt;5000,"Low Income",
IF(Employee_data[[#This Row],[MonthlyIncome]]&lt;10000,"Medium Income","High Income"))</f>
        <v>Low Income</v>
      </c>
      <c r="U393" t="s">
        <v>91</v>
      </c>
      <c r="V393" t="s">
        <v>91</v>
      </c>
      <c r="W393" t="s">
        <v>91</v>
      </c>
      <c r="X393" t="s">
        <v>91</v>
      </c>
      <c r="Y393">
        <v>13436</v>
      </c>
      <c r="Z393">
        <v>6</v>
      </c>
      <c r="AA393" t="s">
        <v>42</v>
      </c>
      <c r="AB393" t="s">
        <v>43</v>
      </c>
      <c r="AC393">
        <v>22</v>
      </c>
      <c r="AD393">
        <v>4</v>
      </c>
      <c r="AE393">
        <v>2</v>
      </c>
      <c r="AF393">
        <v>80</v>
      </c>
      <c r="AG393">
        <v>1</v>
      </c>
      <c r="AH3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93">
        <v>20</v>
      </c>
      <c r="AJ393" t="s">
        <v>74</v>
      </c>
      <c r="AK393">
        <v>3</v>
      </c>
      <c r="AL393" t="s">
        <v>74</v>
      </c>
      <c r="AM393">
        <v>3</v>
      </c>
      <c r="AN393" t="s">
        <v>74</v>
      </c>
      <c r="AO393">
        <v>1</v>
      </c>
      <c r="AP393" t="s">
        <v>74</v>
      </c>
      <c r="AQ393">
        <v>0</v>
      </c>
      <c r="AR393">
        <v>0</v>
      </c>
      <c r="AS393">
        <v>0</v>
      </c>
    </row>
    <row r="394" spans="1:4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 t="str">
        <f>IF(Employee_data[[#This Row],[MonthlyIncome]]&lt;5000,"Low Income",
IF(Employee_data[[#This Row],[MonthlyIncome]]&lt;10000,"Medium Income","High Income"))</f>
        <v>High Income</v>
      </c>
      <c r="U394" t="s">
        <v>90</v>
      </c>
      <c r="V394" t="s">
        <v>90</v>
      </c>
      <c r="W394" t="s">
        <v>90</v>
      </c>
      <c r="X394" t="s">
        <v>90</v>
      </c>
      <c r="Y394">
        <v>8509</v>
      </c>
      <c r="Z394">
        <v>4</v>
      </c>
      <c r="AA394" t="s">
        <v>42</v>
      </c>
      <c r="AB394" t="s">
        <v>43</v>
      </c>
      <c r="AC394">
        <v>11</v>
      </c>
      <c r="AD394">
        <v>3</v>
      </c>
      <c r="AE394">
        <v>3</v>
      </c>
      <c r="AF394">
        <v>80</v>
      </c>
      <c r="AG394">
        <v>1</v>
      </c>
      <c r="AH3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94">
        <v>24</v>
      </c>
      <c r="AJ394" t="s">
        <v>74</v>
      </c>
      <c r="AK394">
        <v>4</v>
      </c>
      <c r="AL394" t="s">
        <v>74</v>
      </c>
      <c r="AM394">
        <v>2</v>
      </c>
      <c r="AN394" t="s">
        <v>74</v>
      </c>
      <c r="AO394">
        <v>4</v>
      </c>
      <c r="AP394" t="s">
        <v>74</v>
      </c>
      <c r="AQ394">
        <v>2</v>
      </c>
      <c r="AR394">
        <v>1</v>
      </c>
      <c r="AS394">
        <v>2</v>
      </c>
    </row>
    <row r="395" spans="1:4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 t="str">
        <f>IF(Employee_data[[#This Row],[MonthlyIncome]]&lt;5000,"Low Income",
IF(Employee_data[[#This Row],[MonthlyIncome]]&lt;10000,"Medium Income","High Income"))</f>
        <v>Medium Income</v>
      </c>
      <c r="U395" t="s">
        <v>92</v>
      </c>
      <c r="V395" t="s">
        <v>92</v>
      </c>
      <c r="W395" t="s">
        <v>92</v>
      </c>
      <c r="X395" t="s">
        <v>92</v>
      </c>
      <c r="Y395">
        <v>12740</v>
      </c>
      <c r="Z395">
        <v>9</v>
      </c>
      <c r="AA395" t="s">
        <v>42</v>
      </c>
      <c r="AB395" t="s">
        <v>43</v>
      </c>
      <c r="AC395">
        <v>15</v>
      </c>
      <c r="AD395">
        <v>3</v>
      </c>
      <c r="AE395">
        <v>1</v>
      </c>
      <c r="AF395">
        <v>80</v>
      </c>
      <c r="AG395">
        <v>1</v>
      </c>
      <c r="AH3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95">
        <v>6</v>
      </c>
      <c r="AJ395" t="s">
        <v>74</v>
      </c>
      <c r="AK395">
        <v>3</v>
      </c>
      <c r="AL395" t="s">
        <v>74</v>
      </c>
      <c r="AM395">
        <v>3</v>
      </c>
      <c r="AN395" t="s">
        <v>74</v>
      </c>
      <c r="AO395">
        <v>3</v>
      </c>
      <c r="AP395" t="s">
        <v>74</v>
      </c>
      <c r="AQ395">
        <v>2</v>
      </c>
      <c r="AR395">
        <v>1</v>
      </c>
      <c r="AS395">
        <v>2</v>
      </c>
    </row>
    <row r="396" spans="1:4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 t="str">
        <f>IF(Employee_data[[#This Row],[MonthlyIncome]]&lt;5000,"Low Income",
IF(Employee_data[[#This Row],[MonthlyIncome]]&lt;10000,"Medium Income","High Income"))</f>
        <v>Low Income</v>
      </c>
      <c r="U396" t="s">
        <v>91</v>
      </c>
      <c r="V396" t="s">
        <v>91</v>
      </c>
      <c r="W396" t="s">
        <v>91</v>
      </c>
      <c r="X396" t="s">
        <v>91</v>
      </c>
      <c r="Y396">
        <v>4156</v>
      </c>
      <c r="Z396">
        <v>1</v>
      </c>
      <c r="AA396" t="s">
        <v>42</v>
      </c>
      <c r="AB396" t="s">
        <v>43</v>
      </c>
      <c r="AC396">
        <v>12</v>
      </c>
      <c r="AD396">
        <v>3</v>
      </c>
      <c r="AE396">
        <v>2</v>
      </c>
      <c r="AF396">
        <v>80</v>
      </c>
      <c r="AG396">
        <v>1</v>
      </c>
      <c r="AH3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396">
        <v>13</v>
      </c>
      <c r="AJ396" t="s">
        <v>75</v>
      </c>
      <c r="AK396">
        <v>5</v>
      </c>
      <c r="AL396" t="s">
        <v>75</v>
      </c>
      <c r="AM396">
        <v>1</v>
      </c>
      <c r="AN396" t="s">
        <v>75</v>
      </c>
      <c r="AO396">
        <v>13</v>
      </c>
      <c r="AP396" t="s">
        <v>75</v>
      </c>
      <c r="AQ396">
        <v>10</v>
      </c>
      <c r="AR396">
        <v>3</v>
      </c>
      <c r="AS396">
        <v>12</v>
      </c>
    </row>
    <row r="397" spans="1:4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 t="str">
        <f>IF(Employee_data[[#This Row],[MonthlyIncome]]&lt;5000,"Low Income",
IF(Employee_data[[#This Row],[MonthlyIncome]]&lt;10000,"Medium Income","High Income"))</f>
        <v>Low Income</v>
      </c>
      <c r="U397" t="s">
        <v>91</v>
      </c>
      <c r="V397" t="s">
        <v>91</v>
      </c>
      <c r="W397" t="s">
        <v>91</v>
      </c>
      <c r="X397" t="s">
        <v>91</v>
      </c>
      <c r="Y397">
        <v>15238</v>
      </c>
      <c r="Z397">
        <v>7</v>
      </c>
      <c r="AA397" t="s">
        <v>42</v>
      </c>
      <c r="AB397" t="s">
        <v>43</v>
      </c>
      <c r="AC397">
        <v>20</v>
      </c>
      <c r="AD397">
        <v>4</v>
      </c>
      <c r="AE397">
        <v>1</v>
      </c>
      <c r="AF397">
        <v>80</v>
      </c>
      <c r="AG397">
        <v>1</v>
      </c>
      <c r="AH3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397">
        <v>8</v>
      </c>
      <c r="AJ397" t="s">
        <v>74</v>
      </c>
      <c r="AK397">
        <v>1</v>
      </c>
      <c r="AL397" t="s">
        <v>74</v>
      </c>
      <c r="AM397">
        <v>3</v>
      </c>
      <c r="AN397" t="s">
        <v>74</v>
      </c>
      <c r="AO397">
        <v>3</v>
      </c>
      <c r="AP397" t="s">
        <v>74</v>
      </c>
      <c r="AQ397">
        <v>2</v>
      </c>
      <c r="AR397">
        <v>1</v>
      </c>
      <c r="AS397">
        <v>2</v>
      </c>
    </row>
    <row r="398" spans="1:4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 t="str">
        <f>IF(Employee_data[[#This Row],[MonthlyIncome]]&lt;5000,"Low Income",
IF(Employee_data[[#This Row],[MonthlyIncome]]&lt;10000,"Medium Income","High Income"))</f>
        <v>Low Income</v>
      </c>
      <c r="U398" t="s">
        <v>91</v>
      </c>
      <c r="V398" t="s">
        <v>91</v>
      </c>
      <c r="W398" t="s">
        <v>91</v>
      </c>
      <c r="X398" t="s">
        <v>91</v>
      </c>
      <c r="Y398">
        <v>2227</v>
      </c>
      <c r="Z398">
        <v>4</v>
      </c>
      <c r="AA398" t="s">
        <v>42</v>
      </c>
      <c r="AB398" t="s">
        <v>35</v>
      </c>
      <c r="AC398">
        <v>14</v>
      </c>
      <c r="AD398">
        <v>3</v>
      </c>
      <c r="AE398">
        <v>4</v>
      </c>
      <c r="AF398">
        <v>80</v>
      </c>
      <c r="AG398">
        <v>0</v>
      </c>
      <c r="AH3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98">
        <v>8</v>
      </c>
      <c r="AJ398" t="s">
        <v>78</v>
      </c>
      <c r="AK398">
        <v>3</v>
      </c>
      <c r="AL398" t="s">
        <v>78</v>
      </c>
      <c r="AM398">
        <v>3</v>
      </c>
      <c r="AN398" t="s">
        <v>78</v>
      </c>
      <c r="AO398">
        <v>5</v>
      </c>
      <c r="AP398" t="s">
        <v>78</v>
      </c>
      <c r="AQ398">
        <v>2</v>
      </c>
      <c r="AR398">
        <v>0</v>
      </c>
      <c r="AS398">
        <v>2</v>
      </c>
    </row>
    <row r="399" spans="1:4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 t="str">
        <f>IF(Employee_data[[#This Row],[MonthlyIncome]]&lt;5000,"Low Income",
IF(Employee_data[[#This Row],[MonthlyIncome]]&lt;10000,"Medium Income","High Income"))</f>
        <v>Low Income</v>
      </c>
      <c r="U399" t="s">
        <v>91</v>
      </c>
      <c r="V399" t="s">
        <v>91</v>
      </c>
      <c r="W399" t="s">
        <v>91</v>
      </c>
      <c r="X399" t="s">
        <v>91</v>
      </c>
      <c r="Y399">
        <v>12090</v>
      </c>
      <c r="Z399">
        <v>1</v>
      </c>
      <c r="AA399" t="s">
        <v>42</v>
      </c>
      <c r="AB399" t="s">
        <v>35</v>
      </c>
      <c r="AC399">
        <v>11</v>
      </c>
      <c r="AD399">
        <v>3</v>
      </c>
      <c r="AE399">
        <v>2</v>
      </c>
      <c r="AF399">
        <v>80</v>
      </c>
      <c r="AG399">
        <v>0</v>
      </c>
      <c r="AH3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399">
        <v>5</v>
      </c>
      <c r="AJ399" t="s">
        <v>78</v>
      </c>
      <c r="AK399">
        <v>3</v>
      </c>
      <c r="AL399" t="s">
        <v>78</v>
      </c>
      <c r="AM399">
        <v>3</v>
      </c>
      <c r="AN399" t="s">
        <v>78</v>
      </c>
      <c r="AO399">
        <v>5</v>
      </c>
      <c r="AP399" t="s">
        <v>78</v>
      </c>
      <c r="AQ399">
        <v>4</v>
      </c>
      <c r="AR399">
        <v>1</v>
      </c>
      <c r="AS399">
        <v>3</v>
      </c>
    </row>
    <row r="400" spans="1:4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 t="str">
        <f>IF(Employee_data[[#This Row],[MonthlyIncome]]&lt;5000,"Low Income",
IF(Employee_data[[#This Row],[MonthlyIncome]]&lt;10000,"Medium Income","High Income"))</f>
        <v>Low Income</v>
      </c>
      <c r="U400" t="s">
        <v>91</v>
      </c>
      <c r="V400" t="s">
        <v>91</v>
      </c>
      <c r="W400" t="s">
        <v>91</v>
      </c>
      <c r="X400" t="s">
        <v>91</v>
      </c>
      <c r="Y400">
        <v>23866</v>
      </c>
      <c r="Z400">
        <v>3</v>
      </c>
      <c r="AA400" t="s">
        <v>42</v>
      </c>
      <c r="AB400" t="s">
        <v>35</v>
      </c>
      <c r="AC400">
        <v>15</v>
      </c>
      <c r="AD400">
        <v>3</v>
      </c>
      <c r="AE400">
        <v>1</v>
      </c>
      <c r="AF400">
        <v>80</v>
      </c>
      <c r="AG400">
        <v>2</v>
      </c>
      <c r="AH4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00">
        <v>15</v>
      </c>
      <c r="AJ400" t="s">
        <v>75</v>
      </c>
      <c r="AK400">
        <v>2</v>
      </c>
      <c r="AL400" t="s">
        <v>75</v>
      </c>
      <c r="AM400">
        <v>3</v>
      </c>
      <c r="AN400" t="s">
        <v>75</v>
      </c>
      <c r="AO400">
        <v>13</v>
      </c>
      <c r="AP400" t="s">
        <v>75</v>
      </c>
      <c r="AQ400">
        <v>11</v>
      </c>
      <c r="AR400">
        <v>10</v>
      </c>
      <c r="AS400">
        <v>7</v>
      </c>
    </row>
    <row r="401" spans="1:4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 t="str">
        <f>IF(Employee_data[[#This Row],[MonthlyIncome]]&lt;5000,"Low Income",
IF(Employee_data[[#This Row],[MonthlyIncome]]&lt;10000,"Medium Income","High Income"))</f>
        <v>Low Income</v>
      </c>
      <c r="U401" t="s">
        <v>91</v>
      </c>
      <c r="V401" t="s">
        <v>91</v>
      </c>
      <c r="W401" t="s">
        <v>91</v>
      </c>
      <c r="X401" t="s">
        <v>91</v>
      </c>
      <c r="Y401">
        <v>16193</v>
      </c>
      <c r="Z401">
        <v>1</v>
      </c>
      <c r="AA401" t="s">
        <v>42</v>
      </c>
      <c r="AB401" t="s">
        <v>43</v>
      </c>
      <c r="AC401">
        <v>12</v>
      </c>
      <c r="AD401">
        <v>3</v>
      </c>
      <c r="AE401">
        <v>3</v>
      </c>
      <c r="AF401">
        <v>80</v>
      </c>
      <c r="AG401">
        <v>1</v>
      </c>
      <c r="AH4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01">
        <v>4</v>
      </c>
      <c r="AJ401" t="s">
        <v>74</v>
      </c>
      <c r="AK401">
        <v>3</v>
      </c>
      <c r="AL401" t="s">
        <v>74</v>
      </c>
      <c r="AM401">
        <v>3</v>
      </c>
      <c r="AN401" t="s">
        <v>74</v>
      </c>
      <c r="AO401">
        <v>4</v>
      </c>
      <c r="AP401" t="s">
        <v>74</v>
      </c>
      <c r="AQ401">
        <v>2</v>
      </c>
      <c r="AR401">
        <v>3</v>
      </c>
      <c r="AS401">
        <v>2</v>
      </c>
    </row>
    <row r="402" spans="1:4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 t="str">
        <f>IF(Employee_data[[#This Row],[MonthlyIncome]]&lt;5000,"Low Income",
IF(Employee_data[[#This Row],[MonthlyIncome]]&lt;10000,"Medium Income","High Income"))</f>
        <v>High Income</v>
      </c>
      <c r="U402" t="s">
        <v>90</v>
      </c>
      <c r="V402" t="s">
        <v>90</v>
      </c>
      <c r="W402" t="s">
        <v>90</v>
      </c>
      <c r="X402" t="s">
        <v>90</v>
      </c>
      <c r="Y402">
        <v>8213</v>
      </c>
      <c r="Z402">
        <v>1</v>
      </c>
      <c r="AA402" t="s">
        <v>42</v>
      </c>
      <c r="AB402" t="s">
        <v>35</v>
      </c>
      <c r="AC402">
        <v>14</v>
      </c>
      <c r="AD402">
        <v>3</v>
      </c>
      <c r="AE402">
        <v>3</v>
      </c>
      <c r="AF402">
        <v>80</v>
      </c>
      <c r="AG402">
        <v>1</v>
      </c>
      <c r="AH4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402">
        <v>21</v>
      </c>
      <c r="AJ402" t="s">
        <v>76</v>
      </c>
      <c r="AK402">
        <v>3</v>
      </c>
      <c r="AL402" t="s">
        <v>76</v>
      </c>
      <c r="AM402">
        <v>3</v>
      </c>
      <c r="AN402" t="s">
        <v>76</v>
      </c>
      <c r="AO402">
        <v>21</v>
      </c>
      <c r="AP402" t="s">
        <v>76</v>
      </c>
      <c r="AQ402">
        <v>8</v>
      </c>
      <c r="AR402">
        <v>1</v>
      </c>
      <c r="AS402">
        <v>6</v>
      </c>
    </row>
    <row r="403" spans="1:4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 t="str">
        <f>IF(Employee_data[[#This Row],[MonthlyIncome]]&lt;5000,"Low Income",
IF(Employee_data[[#This Row],[MonthlyIncome]]&lt;10000,"Medium Income","High Income"))</f>
        <v>High Income</v>
      </c>
      <c r="U403" t="s">
        <v>90</v>
      </c>
      <c r="V403" t="s">
        <v>90</v>
      </c>
      <c r="W403" t="s">
        <v>90</v>
      </c>
      <c r="X403" t="s">
        <v>90</v>
      </c>
      <c r="Y403">
        <v>18256</v>
      </c>
      <c r="Z403">
        <v>9</v>
      </c>
      <c r="AA403" t="s">
        <v>42</v>
      </c>
      <c r="AB403" t="s">
        <v>43</v>
      </c>
      <c r="AC403">
        <v>11</v>
      </c>
      <c r="AD403">
        <v>3</v>
      </c>
      <c r="AE403">
        <v>4</v>
      </c>
      <c r="AF403">
        <v>80</v>
      </c>
      <c r="AG403">
        <v>3</v>
      </c>
      <c r="AH4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03">
        <v>36</v>
      </c>
      <c r="AJ403" t="s">
        <v>78</v>
      </c>
      <c r="AK403">
        <v>0</v>
      </c>
      <c r="AL403" t="s">
        <v>78</v>
      </c>
      <c r="AM403">
        <v>2</v>
      </c>
      <c r="AN403" t="s">
        <v>78</v>
      </c>
      <c r="AO403">
        <v>7</v>
      </c>
      <c r="AP403" t="s">
        <v>78</v>
      </c>
      <c r="AQ403">
        <v>7</v>
      </c>
      <c r="AR403">
        <v>7</v>
      </c>
      <c r="AS403">
        <v>7</v>
      </c>
    </row>
    <row r="404" spans="1:4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 t="str">
        <f>IF(Employee_data[[#This Row],[MonthlyIncome]]&lt;5000,"Low Income",
IF(Employee_data[[#This Row],[MonthlyIncome]]&lt;10000,"Medium Income","High Income"))</f>
        <v>Medium Income</v>
      </c>
      <c r="U404" t="s">
        <v>92</v>
      </c>
      <c r="V404" t="s">
        <v>92</v>
      </c>
      <c r="W404" t="s">
        <v>92</v>
      </c>
      <c r="X404" t="s">
        <v>92</v>
      </c>
      <c r="Y404">
        <v>19558</v>
      </c>
      <c r="Z404">
        <v>0</v>
      </c>
      <c r="AA404" t="s">
        <v>42</v>
      </c>
      <c r="AB404" t="s">
        <v>43</v>
      </c>
      <c r="AC404">
        <v>11</v>
      </c>
      <c r="AD404">
        <v>3</v>
      </c>
      <c r="AE404">
        <v>2</v>
      </c>
      <c r="AF404">
        <v>80</v>
      </c>
      <c r="AG404">
        <v>0</v>
      </c>
      <c r="AH4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04">
        <v>6</v>
      </c>
      <c r="AJ404" t="s">
        <v>78</v>
      </c>
      <c r="AK404">
        <v>6</v>
      </c>
      <c r="AL404" t="s">
        <v>78</v>
      </c>
      <c r="AM404">
        <v>3</v>
      </c>
      <c r="AN404" t="s">
        <v>78</v>
      </c>
      <c r="AO404">
        <v>5</v>
      </c>
      <c r="AP404" t="s">
        <v>78</v>
      </c>
      <c r="AQ404">
        <v>4</v>
      </c>
      <c r="AR404">
        <v>4</v>
      </c>
      <c r="AS404">
        <v>4</v>
      </c>
    </row>
    <row r="405" spans="1:4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 t="str">
        <f>IF(Employee_data[[#This Row],[MonthlyIncome]]&lt;5000,"Low Income",
IF(Employee_data[[#This Row],[MonthlyIncome]]&lt;10000,"Medium Income","High Income"))</f>
        <v>Medium Income</v>
      </c>
      <c r="U405" t="s">
        <v>92</v>
      </c>
      <c r="V405" t="s">
        <v>92</v>
      </c>
      <c r="W405" t="s">
        <v>92</v>
      </c>
      <c r="X405" t="s">
        <v>92</v>
      </c>
      <c r="Y405">
        <v>19566</v>
      </c>
      <c r="Z405">
        <v>1</v>
      </c>
      <c r="AA405" t="s">
        <v>42</v>
      </c>
      <c r="AB405" t="s">
        <v>43</v>
      </c>
      <c r="AC405">
        <v>16</v>
      </c>
      <c r="AD405">
        <v>3</v>
      </c>
      <c r="AE405">
        <v>3</v>
      </c>
      <c r="AF405">
        <v>80</v>
      </c>
      <c r="AG405">
        <v>1</v>
      </c>
      <c r="AH4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05">
        <v>10</v>
      </c>
      <c r="AJ405" t="s">
        <v>75</v>
      </c>
      <c r="AK405">
        <v>2</v>
      </c>
      <c r="AL405" t="s">
        <v>75</v>
      </c>
      <c r="AM405">
        <v>3</v>
      </c>
      <c r="AN405" t="s">
        <v>75</v>
      </c>
      <c r="AO405">
        <v>10</v>
      </c>
      <c r="AP405" t="s">
        <v>75</v>
      </c>
      <c r="AQ405">
        <v>7</v>
      </c>
      <c r="AR405">
        <v>0</v>
      </c>
      <c r="AS405">
        <v>7</v>
      </c>
    </row>
    <row r="406" spans="1:4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 t="str">
        <f>IF(Employee_data[[#This Row],[MonthlyIncome]]&lt;5000,"Low Income",
IF(Employee_data[[#This Row],[MonthlyIncome]]&lt;10000,"Medium Income","High Income"))</f>
        <v>Low Income</v>
      </c>
      <c r="U406" t="s">
        <v>91</v>
      </c>
      <c r="V406" t="s">
        <v>91</v>
      </c>
      <c r="W406" t="s">
        <v>91</v>
      </c>
      <c r="X406" t="s">
        <v>91</v>
      </c>
      <c r="Y406">
        <v>13535</v>
      </c>
      <c r="Z406">
        <v>1</v>
      </c>
      <c r="AA406" t="s">
        <v>42</v>
      </c>
      <c r="AB406" t="s">
        <v>43</v>
      </c>
      <c r="AC406">
        <v>12</v>
      </c>
      <c r="AD406">
        <v>3</v>
      </c>
      <c r="AE406">
        <v>4</v>
      </c>
      <c r="AF406">
        <v>80</v>
      </c>
      <c r="AG406">
        <v>1</v>
      </c>
      <c r="AH4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06">
        <v>10</v>
      </c>
      <c r="AJ406" t="s">
        <v>75</v>
      </c>
      <c r="AK406">
        <v>2</v>
      </c>
      <c r="AL406" t="s">
        <v>75</v>
      </c>
      <c r="AM406">
        <v>3</v>
      </c>
      <c r="AN406" t="s">
        <v>75</v>
      </c>
      <c r="AO406">
        <v>10</v>
      </c>
      <c r="AP406" t="s">
        <v>75</v>
      </c>
      <c r="AQ406">
        <v>0</v>
      </c>
      <c r="AR406">
        <v>1</v>
      </c>
      <c r="AS406">
        <v>8</v>
      </c>
    </row>
    <row r="407" spans="1:4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 t="str">
        <f>IF(Employee_data[[#This Row],[MonthlyIncome]]&lt;5000,"Low Income",
IF(Employee_data[[#This Row],[MonthlyIncome]]&lt;10000,"Medium Income","High Income"))</f>
        <v>Low Income</v>
      </c>
      <c r="U407" t="s">
        <v>91</v>
      </c>
      <c r="V407" t="s">
        <v>91</v>
      </c>
      <c r="W407" t="s">
        <v>91</v>
      </c>
      <c r="X407" t="s">
        <v>91</v>
      </c>
      <c r="Y407">
        <v>9396</v>
      </c>
      <c r="Z407">
        <v>5</v>
      </c>
      <c r="AA407" t="s">
        <v>42</v>
      </c>
      <c r="AB407" t="s">
        <v>43</v>
      </c>
      <c r="AC407">
        <v>13</v>
      </c>
      <c r="AD407">
        <v>3</v>
      </c>
      <c r="AE407">
        <v>3</v>
      </c>
      <c r="AF407">
        <v>80</v>
      </c>
      <c r="AG407">
        <v>1</v>
      </c>
      <c r="AH4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07">
        <v>6</v>
      </c>
      <c r="AJ407" t="s">
        <v>74</v>
      </c>
      <c r="AK407">
        <v>5</v>
      </c>
      <c r="AL407" t="s">
        <v>74</v>
      </c>
      <c r="AM407">
        <v>3</v>
      </c>
      <c r="AN407" t="s">
        <v>74</v>
      </c>
      <c r="AO407">
        <v>2</v>
      </c>
      <c r="AP407" t="s">
        <v>74</v>
      </c>
      <c r="AQ407">
        <v>2</v>
      </c>
      <c r="AR407">
        <v>0</v>
      </c>
      <c r="AS407">
        <v>2</v>
      </c>
    </row>
    <row r="408" spans="1:4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 t="str">
        <f>IF(Employee_data[[#This Row],[MonthlyIncome]]&lt;5000,"Low Income",
IF(Employee_data[[#This Row],[MonthlyIncome]]&lt;10000,"Medium Income","High Income"))</f>
        <v>Medium Income</v>
      </c>
      <c r="U408" t="s">
        <v>92</v>
      </c>
      <c r="V408" t="s">
        <v>92</v>
      </c>
      <c r="W408" t="s">
        <v>92</v>
      </c>
      <c r="X408" t="s">
        <v>92</v>
      </c>
      <c r="Y408">
        <v>19609</v>
      </c>
      <c r="Z408">
        <v>2</v>
      </c>
      <c r="AA408" t="s">
        <v>42</v>
      </c>
      <c r="AB408" t="s">
        <v>35</v>
      </c>
      <c r="AC408">
        <v>14</v>
      </c>
      <c r="AD408">
        <v>3</v>
      </c>
      <c r="AE408">
        <v>3</v>
      </c>
      <c r="AF408">
        <v>80</v>
      </c>
      <c r="AG408">
        <v>0</v>
      </c>
      <c r="AH4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08">
        <v>28</v>
      </c>
      <c r="AJ408" t="s">
        <v>78</v>
      </c>
      <c r="AK408">
        <v>4</v>
      </c>
      <c r="AL408" t="s">
        <v>78</v>
      </c>
      <c r="AM408">
        <v>3</v>
      </c>
      <c r="AN408" t="s">
        <v>78</v>
      </c>
      <c r="AO408">
        <v>5</v>
      </c>
      <c r="AP408" t="s">
        <v>78</v>
      </c>
      <c r="AQ408">
        <v>4</v>
      </c>
      <c r="AR408">
        <v>0</v>
      </c>
      <c r="AS408">
        <v>4</v>
      </c>
    </row>
    <row r="409" spans="1:4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 t="str">
        <f>IF(Employee_data[[#This Row],[MonthlyIncome]]&lt;5000,"Low Income",
IF(Employee_data[[#This Row],[MonthlyIncome]]&lt;10000,"Medium Income","High Income"))</f>
        <v>Low Income</v>
      </c>
      <c r="U409" t="s">
        <v>91</v>
      </c>
      <c r="V409" t="s">
        <v>91</v>
      </c>
      <c r="W409" t="s">
        <v>91</v>
      </c>
      <c r="X409" t="s">
        <v>91</v>
      </c>
      <c r="Y409">
        <v>9655</v>
      </c>
      <c r="Z409">
        <v>3</v>
      </c>
      <c r="AA409" t="s">
        <v>42</v>
      </c>
      <c r="AB409" t="s">
        <v>43</v>
      </c>
      <c r="AC409">
        <v>21</v>
      </c>
      <c r="AD409">
        <v>4</v>
      </c>
      <c r="AE409">
        <v>4</v>
      </c>
      <c r="AF409">
        <v>80</v>
      </c>
      <c r="AG409">
        <v>2</v>
      </c>
      <c r="AH4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09">
        <v>8</v>
      </c>
      <c r="AJ409" t="s">
        <v>74</v>
      </c>
      <c r="AK409">
        <v>3</v>
      </c>
      <c r="AL409" t="s">
        <v>74</v>
      </c>
      <c r="AM409">
        <v>2</v>
      </c>
      <c r="AN409" t="s">
        <v>74</v>
      </c>
      <c r="AO409">
        <v>2</v>
      </c>
      <c r="AP409" t="s">
        <v>74</v>
      </c>
      <c r="AQ409">
        <v>2</v>
      </c>
      <c r="AR409">
        <v>0</v>
      </c>
      <c r="AS409">
        <v>2</v>
      </c>
    </row>
    <row r="410" spans="1:4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 t="str">
        <f>IF(Employee_data[[#This Row],[MonthlyIncome]]&lt;5000,"Low Income",
IF(Employee_data[[#This Row],[MonthlyIncome]]&lt;10000,"Medium Income","High Income"))</f>
        <v>High Income</v>
      </c>
      <c r="U410" t="s">
        <v>90</v>
      </c>
      <c r="V410" t="s">
        <v>90</v>
      </c>
      <c r="W410" t="s">
        <v>90</v>
      </c>
      <c r="X410" t="s">
        <v>90</v>
      </c>
      <c r="Y410">
        <v>10310</v>
      </c>
      <c r="Z410">
        <v>2</v>
      </c>
      <c r="AA410" t="s">
        <v>42</v>
      </c>
      <c r="AB410" t="s">
        <v>43</v>
      </c>
      <c r="AC410">
        <v>13</v>
      </c>
      <c r="AD410">
        <v>3</v>
      </c>
      <c r="AE410">
        <v>4</v>
      </c>
      <c r="AF410">
        <v>80</v>
      </c>
      <c r="AG410">
        <v>0</v>
      </c>
      <c r="AH4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10">
        <v>31</v>
      </c>
      <c r="AJ410" t="s">
        <v>78</v>
      </c>
      <c r="AK410">
        <v>2</v>
      </c>
      <c r="AL410" t="s">
        <v>78</v>
      </c>
      <c r="AM410">
        <v>1</v>
      </c>
      <c r="AN410" t="s">
        <v>78</v>
      </c>
      <c r="AO410">
        <v>5</v>
      </c>
      <c r="AP410" t="s">
        <v>78</v>
      </c>
      <c r="AQ410">
        <v>2</v>
      </c>
      <c r="AR410">
        <v>1</v>
      </c>
      <c r="AS410">
        <v>4</v>
      </c>
    </row>
    <row r="411" spans="1:4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 t="str">
        <f>IF(Employee_data[[#This Row],[MonthlyIncome]]&lt;5000,"Low Income",
IF(Employee_data[[#This Row],[MonthlyIncome]]&lt;10000,"Medium Income","High Income"))</f>
        <v>Low Income</v>
      </c>
      <c r="U411" t="s">
        <v>91</v>
      </c>
      <c r="V411" t="s">
        <v>91</v>
      </c>
      <c r="W411" t="s">
        <v>91</v>
      </c>
      <c r="X411" t="s">
        <v>91</v>
      </c>
      <c r="Y411">
        <v>12932</v>
      </c>
      <c r="Z411">
        <v>2</v>
      </c>
      <c r="AA411" t="s">
        <v>42</v>
      </c>
      <c r="AB411" t="s">
        <v>43</v>
      </c>
      <c r="AC411">
        <v>11</v>
      </c>
      <c r="AD411">
        <v>3</v>
      </c>
      <c r="AE411">
        <v>2</v>
      </c>
      <c r="AF411">
        <v>80</v>
      </c>
      <c r="AG411">
        <v>1</v>
      </c>
      <c r="AH4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11">
        <v>19</v>
      </c>
      <c r="AJ411" t="s">
        <v>78</v>
      </c>
      <c r="AK411">
        <v>3</v>
      </c>
      <c r="AL411" t="s">
        <v>78</v>
      </c>
      <c r="AM411">
        <v>3</v>
      </c>
      <c r="AN411" t="s">
        <v>78</v>
      </c>
      <c r="AO411">
        <v>5</v>
      </c>
      <c r="AP411" t="s">
        <v>78</v>
      </c>
      <c r="AQ411">
        <v>4</v>
      </c>
      <c r="AR411">
        <v>0</v>
      </c>
      <c r="AS411">
        <v>2</v>
      </c>
    </row>
    <row r="412" spans="1:4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 t="str">
        <f>IF(Employee_data[[#This Row],[MonthlyIncome]]&lt;5000,"Low Income",
IF(Employee_data[[#This Row],[MonthlyIncome]]&lt;10000,"Medium Income","High Income"))</f>
        <v>Medium Income</v>
      </c>
      <c r="U412" t="s">
        <v>92</v>
      </c>
      <c r="V412" t="s">
        <v>92</v>
      </c>
      <c r="W412" t="s">
        <v>92</v>
      </c>
      <c r="X412" t="s">
        <v>92</v>
      </c>
      <c r="Y412">
        <v>24793</v>
      </c>
      <c r="Z412">
        <v>2</v>
      </c>
      <c r="AA412" t="s">
        <v>42</v>
      </c>
      <c r="AB412" t="s">
        <v>43</v>
      </c>
      <c r="AC412">
        <v>20</v>
      </c>
      <c r="AD412">
        <v>4</v>
      </c>
      <c r="AE412">
        <v>3</v>
      </c>
      <c r="AF412">
        <v>80</v>
      </c>
      <c r="AG412">
        <v>0</v>
      </c>
      <c r="AH4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12">
        <v>11</v>
      </c>
      <c r="AJ412" t="s">
        <v>78</v>
      </c>
      <c r="AK412">
        <v>2</v>
      </c>
      <c r="AL412" t="s">
        <v>78</v>
      </c>
      <c r="AM412">
        <v>3</v>
      </c>
      <c r="AN412" t="s">
        <v>78</v>
      </c>
      <c r="AO412">
        <v>5</v>
      </c>
      <c r="AP412" t="s">
        <v>78</v>
      </c>
      <c r="AQ412">
        <v>4</v>
      </c>
      <c r="AR412">
        <v>0</v>
      </c>
      <c r="AS412">
        <v>2</v>
      </c>
    </row>
    <row r="413" spans="1:4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 t="str">
        <f>IF(Employee_data[[#This Row],[MonthlyIncome]]&lt;5000,"Low Income",
IF(Employee_data[[#This Row],[MonthlyIncome]]&lt;10000,"Medium Income","High Income"))</f>
        <v>High Income</v>
      </c>
      <c r="U413" t="s">
        <v>90</v>
      </c>
      <c r="V413" t="s">
        <v>90</v>
      </c>
      <c r="W413" t="s">
        <v>90</v>
      </c>
      <c r="X413" t="s">
        <v>90</v>
      </c>
      <c r="Y413">
        <v>3854</v>
      </c>
      <c r="Z413">
        <v>5</v>
      </c>
      <c r="AA413" t="s">
        <v>42</v>
      </c>
      <c r="AB413" t="s">
        <v>43</v>
      </c>
      <c r="AC413">
        <v>11</v>
      </c>
      <c r="AD413">
        <v>3</v>
      </c>
      <c r="AE413">
        <v>4</v>
      </c>
      <c r="AF413">
        <v>80</v>
      </c>
      <c r="AG413">
        <v>0</v>
      </c>
      <c r="AH4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413">
        <v>33</v>
      </c>
      <c r="AJ413" t="s">
        <v>77</v>
      </c>
      <c r="AK413">
        <v>5</v>
      </c>
      <c r="AL413" t="s">
        <v>77</v>
      </c>
      <c r="AM413">
        <v>1</v>
      </c>
      <c r="AN413" t="s">
        <v>77</v>
      </c>
      <c r="AO413">
        <v>29</v>
      </c>
      <c r="AP413" t="s">
        <v>77</v>
      </c>
      <c r="AQ413">
        <v>8</v>
      </c>
      <c r="AR413">
        <v>11</v>
      </c>
      <c r="AS413">
        <v>10</v>
      </c>
    </row>
    <row r="414" spans="1:4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 t="str">
        <f>IF(Employee_data[[#This Row],[MonthlyIncome]]&lt;5000,"Low Income",
IF(Employee_data[[#This Row],[MonthlyIncome]]&lt;10000,"Medium Income","High Income"))</f>
        <v>Low Income</v>
      </c>
      <c r="U414" t="s">
        <v>91</v>
      </c>
      <c r="V414" t="s">
        <v>91</v>
      </c>
      <c r="W414" t="s">
        <v>91</v>
      </c>
      <c r="X414" t="s">
        <v>91</v>
      </c>
      <c r="Y414">
        <v>26314</v>
      </c>
      <c r="Z414">
        <v>2</v>
      </c>
      <c r="AA414" t="s">
        <v>42</v>
      </c>
      <c r="AB414" t="s">
        <v>43</v>
      </c>
      <c r="AC414">
        <v>14</v>
      </c>
      <c r="AD414">
        <v>3</v>
      </c>
      <c r="AE414">
        <v>3</v>
      </c>
      <c r="AF414">
        <v>80</v>
      </c>
      <c r="AG414">
        <v>1</v>
      </c>
      <c r="AH4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14">
        <v>19</v>
      </c>
      <c r="AJ414" t="s">
        <v>75</v>
      </c>
      <c r="AK414">
        <v>5</v>
      </c>
      <c r="AL414" t="s">
        <v>75</v>
      </c>
      <c r="AM414">
        <v>2</v>
      </c>
      <c r="AN414" t="s">
        <v>75</v>
      </c>
      <c r="AO414">
        <v>10</v>
      </c>
      <c r="AP414" t="s">
        <v>75</v>
      </c>
      <c r="AQ414">
        <v>7</v>
      </c>
      <c r="AR414">
        <v>0</v>
      </c>
      <c r="AS414">
        <v>8</v>
      </c>
    </row>
    <row r="415" spans="1:4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 t="str">
        <f>IF(Employee_data[[#This Row],[MonthlyIncome]]&lt;5000,"Low Income",
IF(Employee_data[[#This Row],[MonthlyIncome]]&lt;10000,"Medium Income","High Income"))</f>
        <v>Low Income</v>
      </c>
      <c r="U415" t="s">
        <v>91</v>
      </c>
      <c r="V415" t="s">
        <v>91</v>
      </c>
      <c r="W415" t="s">
        <v>91</v>
      </c>
      <c r="X415" t="s">
        <v>91</v>
      </c>
      <c r="Y415">
        <v>4386</v>
      </c>
      <c r="Z415">
        <v>0</v>
      </c>
      <c r="AA415" t="s">
        <v>42</v>
      </c>
      <c r="AB415" t="s">
        <v>43</v>
      </c>
      <c r="AC415">
        <v>11</v>
      </c>
      <c r="AD415">
        <v>3</v>
      </c>
      <c r="AE415">
        <v>4</v>
      </c>
      <c r="AF415">
        <v>80</v>
      </c>
      <c r="AG415">
        <v>3</v>
      </c>
      <c r="AH4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15">
        <v>7</v>
      </c>
      <c r="AJ415" t="s">
        <v>78</v>
      </c>
      <c r="AK415">
        <v>4</v>
      </c>
      <c r="AL415" t="s">
        <v>78</v>
      </c>
      <c r="AM415">
        <v>4</v>
      </c>
      <c r="AN415" t="s">
        <v>78</v>
      </c>
      <c r="AO415">
        <v>6</v>
      </c>
      <c r="AP415" t="s">
        <v>78</v>
      </c>
      <c r="AQ415">
        <v>5</v>
      </c>
      <c r="AR415">
        <v>0</v>
      </c>
      <c r="AS415">
        <v>4</v>
      </c>
    </row>
    <row r="416" spans="1:4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 t="str">
        <f>IF(Employee_data[[#This Row],[MonthlyIncome]]&lt;5000,"Low Income",
IF(Employee_data[[#This Row],[MonthlyIncome]]&lt;10000,"Medium Income","High Income"))</f>
        <v>Low Income</v>
      </c>
      <c r="U416" t="s">
        <v>91</v>
      </c>
      <c r="V416" t="s">
        <v>91</v>
      </c>
      <c r="W416" t="s">
        <v>91</v>
      </c>
      <c r="X416" t="s">
        <v>91</v>
      </c>
      <c r="Y416">
        <v>21972</v>
      </c>
      <c r="Z416">
        <v>1</v>
      </c>
      <c r="AA416" t="s">
        <v>42</v>
      </c>
      <c r="AB416" t="s">
        <v>35</v>
      </c>
      <c r="AC416">
        <v>16</v>
      </c>
      <c r="AD416">
        <v>3</v>
      </c>
      <c r="AE416">
        <v>2</v>
      </c>
      <c r="AF416">
        <v>80</v>
      </c>
      <c r="AG416">
        <v>0</v>
      </c>
      <c r="AH4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16">
        <v>6</v>
      </c>
      <c r="AJ416" t="s">
        <v>78</v>
      </c>
      <c r="AK416">
        <v>4</v>
      </c>
      <c r="AL416" t="s">
        <v>78</v>
      </c>
      <c r="AM416">
        <v>3</v>
      </c>
      <c r="AN416" t="s">
        <v>78</v>
      </c>
      <c r="AO416">
        <v>5</v>
      </c>
      <c r="AP416" t="s">
        <v>78</v>
      </c>
      <c r="AQ416">
        <v>3</v>
      </c>
      <c r="AR416">
        <v>1</v>
      </c>
      <c r="AS416">
        <v>4</v>
      </c>
    </row>
    <row r="417" spans="1:4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 t="str">
        <f>IF(Employee_data[[#This Row],[MonthlyIncome]]&lt;5000,"Low Income",
IF(Employee_data[[#This Row],[MonthlyIncome]]&lt;10000,"Medium Income","High Income"))</f>
        <v>Low Income</v>
      </c>
      <c r="U417" t="s">
        <v>91</v>
      </c>
      <c r="V417" t="s">
        <v>91</v>
      </c>
      <c r="W417" t="s">
        <v>91</v>
      </c>
      <c r="X417" t="s">
        <v>91</v>
      </c>
      <c r="Y417">
        <v>12253</v>
      </c>
      <c r="Z417">
        <v>0</v>
      </c>
      <c r="AA417" t="s">
        <v>42</v>
      </c>
      <c r="AB417" t="s">
        <v>43</v>
      </c>
      <c r="AC417">
        <v>16</v>
      </c>
      <c r="AD417">
        <v>3</v>
      </c>
      <c r="AE417">
        <v>4</v>
      </c>
      <c r="AF417">
        <v>80</v>
      </c>
      <c r="AG417">
        <v>1</v>
      </c>
      <c r="AH4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17">
        <v>3</v>
      </c>
      <c r="AJ417" t="s">
        <v>74</v>
      </c>
      <c r="AK417">
        <v>3</v>
      </c>
      <c r="AL417" t="s">
        <v>74</v>
      </c>
      <c r="AM417">
        <v>2</v>
      </c>
      <c r="AN417" t="s">
        <v>74</v>
      </c>
      <c r="AO417">
        <v>2</v>
      </c>
      <c r="AP417" t="s">
        <v>74</v>
      </c>
      <c r="AQ417">
        <v>2</v>
      </c>
      <c r="AR417">
        <v>1</v>
      </c>
      <c r="AS417">
        <v>0</v>
      </c>
    </row>
    <row r="418" spans="1:4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 t="str">
        <f>IF(Employee_data[[#This Row],[MonthlyIncome]]&lt;5000,"Low Income",
IF(Employee_data[[#This Row],[MonthlyIncome]]&lt;10000,"Medium Income","High Income"))</f>
        <v>Low Income</v>
      </c>
      <c r="U418" t="s">
        <v>91</v>
      </c>
      <c r="V418" t="s">
        <v>91</v>
      </c>
      <c r="W418" t="s">
        <v>91</v>
      </c>
      <c r="X418" t="s">
        <v>91</v>
      </c>
      <c r="Y418">
        <v>12106</v>
      </c>
      <c r="Z418">
        <v>1</v>
      </c>
      <c r="AA418" t="s">
        <v>42</v>
      </c>
      <c r="AB418" t="s">
        <v>35</v>
      </c>
      <c r="AC418">
        <v>23</v>
      </c>
      <c r="AD418">
        <v>4</v>
      </c>
      <c r="AE418">
        <v>3</v>
      </c>
      <c r="AF418">
        <v>80</v>
      </c>
      <c r="AG418">
        <v>1</v>
      </c>
      <c r="AH4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18">
        <v>1</v>
      </c>
      <c r="AJ418" t="s">
        <v>74</v>
      </c>
      <c r="AK418">
        <v>3</v>
      </c>
      <c r="AL418" t="s">
        <v>74</v>
      </c>
      <c r="AM418">
        <v>3</v>
      </c>
      <c r="AN418" t="s">
        <v>74</v>
      </c>
      <c r="AO418">
        <v>1</v>
      </c>
      <c r="AP418" t="s">
        <v>74</v>
      </c>
      <c r="AQ418">
        <v>0</v>
      </c>
      <c r="AR418">
        <v>0</v>
      </c>
      <c r="AS418">
        <v>0</v>
      </c>
    </row>
    <row r="419" spans="1:4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 t="str">
        <f>IF(Employee_data[[#This Row],[MonthlyIncome]]&lt;5000,"Low Income",
IF(Employee_data[[#This Row],[MonthlyIncome]]&lt;10000,"Medium Income","High Income"))</f>
        <v>High Income</v>
      </c>
      <c r="U419" t="s">
        <v>90</v>
      </c>
      <c r="V419" t="s">
        <v>90</v>
      </c>
      <c r="W419" t="s">
        <v>90</v>
      </c>
      <c r="X419" t="s">
        <v>90</v>
      </c>
      <c r="Y419">
        <v>13022</v>
      </c>
      <c r="Z419">
        <v>0</v>
      </c>
      <c r="AA419" t="s">
        <v>42</v>
      </c>
      <c r="AB419" t="s">
        <v>43</v>
      </c>
      <c r="AC419">
        <v>14</v>
      </c>
      <c r="AD419">
        <v>3</v>
      </c>
      <c r="AE419">
        <v>4</v>
      </c>
      <c r="AF419">
        <v>80</v>
      </c>
      <c r="AG419">
        <v>0</v>
      </c>
      <c r="AH4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419">
        <v>21</v>
      </c>
      <c r="AJ419" t="s">
        <v>76</v>
      </c>
      <c r="AK419">
        <v>2</v>
      </c>
      <c r="AL419" t="s">
        <v>76</v>
      </c>
      <c r="AM419">
        <v>3</v>
      </c>
      <c r="AN419" t="s">
        <v>76</v>
      </c>
      <c r="AO419">
        <v>20</v>
      </c>
      <c r="AP419" t="s">
        <v>76</v>
      </c>
      <c r="AQ419">
        <v>15</v>
      </c>
      <c r="AR419">
        <v>1</v>
      </c>
      <c r="AS419">
        <v>12</v>
      </c>
    </row>
    <row r="420" spans="1:4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 t="str">
        <f>IF(Employee_data[[#This Row],[MonthlyIncome]]&lt;5000,"Low Income",
IF(Employee_data[[#This Row],[MonthlyIncome]]&lt;10000,"Medium Income","High Income"))</f>
        <v>Low Income</v>
      </c>
      <c r="U420" t="s">
        <v>91</v>
      </c>
      <c r="V420" t="s">
        <v>91</v>
      </c>
      <c r="W420" t="s">
        <v>91</v>
      </c>
      <c r="X420" t="s">
        <v>91</v>
      </c>
      <c r="Y420">
        <v>3032</v>
      </c>
      <c r="Z420">
        <v>1</v>
      </c>
      <c r="AA420" t="s">
        <v>42</v>
      </c>
      <c r="AB420" t="s">
        <v>43</v>
      </c>
      <c r="AC420">
        <v>22</v>
      </c>
      <c r="AD420">
        <v>4</v>
      </c>
      <c r="AE420">
        <v>2</v>
      </c>
      <c r="AF420">
        <v>80</v>
      </c>
      <c r="AG420">
        <v>2</v>
      </c>
      <c r="AH4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20">
        <v>3</v>
      </c>
      <c r="AJ420" t="s">
        <v>74</v>
      </c>
      <c r="AK420">
        <v>3</v>
      </c>
      <c r="AL420" t="s">
        <v>74</v>
      </c>
      <c r="AM420">
        <v>1</v>
      </c>
      <c r="AN420" t="s">
        <v>74</v>
      </c>
      <c r="AO420">
        <v>3</v>
      </c>
      <c r="AP420" t="s">
        <v>74</v>
      </c>
      <c r="AQ420">
        <v>2</v>
      </c>
      <c r="AR420">
        <v>0</v>
      </c>
      <c r="AS420">
        <v>2</v>
      </c>
    </row>
    <row r="421" spans="1:4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 t="str">
        <f>IF(Employee_data[[#This Row],[MonthlyIncome]]&lt;5000,"Low Income",
IF(Employee_data[[#This Row],[MonthlyIncome]]&lt;10000,"Medium Income","High Income"))</f>
        <v>Low Income</v>
      </c>
      <c r="U421" t="s">
        <v>91</v>
      </c>
      <c r="V421" t="s">
        <v>91</v>
      </c>
      <c r="W421" t="s">
        <v>91</v>
      </c>
      <c r="X421" t="s">
        <v>91</v>
      </c>
      <c r="Y421">
        <v>16734</v>
      </c>
      <c r="Z421">
        <v>4</v>
      </c>
      <c r="AA421" t="s">
        <v>42</v>
      </c>
      <c r="AB421" t="s">
        <v>43</v>
      </c>
      <c r="AC421">
        <v>15</v>
      </c>
      <c r="AD421">
        <v>3</v>
      </c>
      <c r="AE421">
        <v>3</v>
      </c>
      <c r="AF421">
        <v>80</v>
      </c>
      <c r="AG421">
        <v>1</v>
      </c>
      <c r="AH4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21">
        <v>9</v>
      </c>
      <c r="AJ421" t="s">
        <v>78</v>
      </c>
      <c r="AK421">
        <v>3</v>
      </c>
      <c r="AL421" t="s">
        <v>78</v>
      </c>
      <c r="AM421">
        <v>1</v>
      </c>
      <c r="AN421" t="s">
        <v>78</v>
      </c>
      <c r="AO421">
        <v>5</v>
      </c>
      <c r="AP421" t="s">
        <v>78</v>
      </c>
      <c r="AQ421">
        <v>3</v>
      </c>
      <c r="AR421">
        <v>1</v>
      </c>
      <c r="AS421">
        <v>4</v>
      </c>
    </row>
    <row r="422" spans="1:4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 t="str">
        <f>IF(Employee_data[[#This Row],[MonthlyIncome]]&lt;5000,"Low Income",
IF(Employee_data[[#This Row],[MonthlyIncome]]&lt;10000,"Medium Income","High Income"))</f>
        <v>High Income</v>
      </c>
      <c r="U422" t="s">
        <v>90</v>
      </c>
      <c r="V422" t="s">
        <v>90</v>
      </c>
      <c r="W422" t="s">
        <v>90</v>
      </c>
      <c r="X422" t="s">
        <v>90</v>
      </c>
      <c r="Y422">
        <v>21526</v>
      </c>
      <c r="Z422">
        <v>1</v>
      </c>
      <c r="AA422" t="s">
        <v>42</v>
      </c>
      <c r="AB422" t="s">
        <v>43</v>
      </c>
      <c r="AC422">
        <v>18</v>
      </c>
      <c r="AD422">
        <v>3</v>
      </c>
      <c r="AE422">
        <v>3</v>
      </c>
      <c r="AF422">
        <v>80</v>
      </c>
      <c r="AG422">
        <v>0</v>
      </c>
      <c r="AH4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22">
        <v>10</v>
      </c>
      <c r="AJ422" t="s">
        <v>75</v>
      </c>
      <c r="AK422">
        <v>2</v>
      </c>
      <c r="AL422" t="s">
        <v>75</v>
      </c>
      <c r="AM422">
        <v>3</v>
      </c>
      <c r="AN422" t="s">
        <v>75</v>
      </c>
      <c r="AO422">
        <v>10</v>
      </c>
      <c r="AP422" t="s">
        <v>75</v>
      </c>
      <c r="AQ422">
        <v>2</v>
      </c>
      <c r="AR422">
        <v>0</v>
      </c>
      <c r="AS422">
        <v>7</v>
      </c>
    </row>
    <row r="423" spans="1:4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 t="str">
        <f>IF(Employee_data[[#This Row],[MonthlyIncome]]&lt;5000,"Low Income",
IF(Employee_data[[#This Row],[MonthlyIncome]]&lt;10000,"Medium Income","High Income"))</f>
        <v>Low Income</v>
      </c>
      <c r="U423" t="s">
        <v>91</v>
      </c>
      <c r="V423" t="s">
        <v>91</v>
      </c>
      <c r="W423" t="s">
        <v>91</v>
      </c>
      <c r="X423" t="s">
        <v>91</v>
      </c>
      <c r="Y423">
        <v>18300</v>
      </c>
      <c r="Z423">
        <v>5</v>
      </c>
      <c r="AA423" t="s">
        <v>42</v>
      </c>
      <c r="AB423" t="s">
        <v>43</v>
      </c>
      <c r="AC423">
        <v>16</v>
      </c>
      <c r="AD423">
        <v>3</v>
      </c>
      <c r="AE423">
        <v>2</v>
      </c>
      <c r="AF423">
        <v>80</v>
      </c>
      <c r="AG423">
        <v>0</v>
      </c>
      <c r="AH4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23">
        <v>6</v>
      </c>
      <c r="AJ423" t="s">
        <v>74</v>
      </c>
      <c r="AK423">
        <v>2</v>
      </c>
      <c r="AL423" t="s">
        <v>74</v>
      </c>
      <c r="AM423">
        <v>4</v>
      </c>
      <c r="AN423" t="s">
        <v>74</v>
      </c>
      <c r="AO423">
        <v>2</v>
      </c>
      <c r="AP423" t="s">
        <v>74</v>
      </c>
      <c r="AQ423">
        <v>2</v>
      </c>
      <c r="AR423">
        <v>1</v>
      </c>
      <c r="AS423">
        <v>1</v>
      </c>
    </row>
    <row r="424" spans="1:4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 t="str">
        <f>IF(Employee_data[[#This Row],[MonthlyIncome]]&lt;5000,"Low Income",
IF(Employee_data[[#This Row],[MonthlyIncome]]&lt;10000,"Medium Income","High Income"))</f>
        <v>Low Income</v>
      </c>
      <c r="U424" t="s">
        <v>91</v>
      </c>
      <c r="V424" t="s">
        <v>91</v>
      </c>
      <c r="W424" t="s">
        <v>91</v>
      </c>
      <c r="X424" t="s">
        <v>91</v>
      </c>
      <c r="Y424">
        <v>18437</v>
      </c>
      <c r="Z424">
        <v>1</v>
      </c>
      <c r="AA424" t="s">
        <v>42</v>
      </c>
      <c r="AB424" t="s">
        <v>43</v>
      </c>
      <c r="AC424">
        <v>12</v>
      </c>
      <c r="AD424">
        <v>3</v>
      </c>
      <c r="AE424">
        <v>3</v>
      </c>
      <c r="AF424">
        <v>80</v>
      </c>
      <c r="AG424">
        <v>0</v>
      </c>
      <c r="AH4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24">
        <v>1</v>
      </c>
      <c r="AJ424" t="s">
        <v>74</v>
      </c>
      <c r="AK424">
        <v>3</v>
      </c>
      <c r="AL424" t="s">
        <v>74</v>
      </c>
      <c r="AM424">
        <v>4</v>
      </c>
      <c r="AN424" t="s">
        <v>74</v>
      </c>
      <c r="AO424">
        <v>1</v>
      </c>
      <c r="AP424" t="s">
        <v>74</v>
      </c>
      <c r="AQ424">
        <v>0</v>
      </c>
      <c r="AR424">
        <v>0</v>
      </c>
      <c r="AS424">
        <v>0</v>
      </c>
    </row>
    <row r="425" spans="1:4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 t="str">
        <f>IF(Employee_data[[#This Row],[MonthlyIncome]]&lt;5000,"Low Income",
IF(Employee_data[[#This Row],[MonthlyIncome]]&lt;10000,"Medium Income","High Income"))</f>
        <v>Medium Income</v>
      </c>
      <c r="U425" t="s">
        <v>92</v>
      </c>
      <c r="V425" t="s">
        <v>92</v>
      </c>
      <c r="W425" t="s">
        <v>92</v>
      </c>
      <c r="X425" t="s">
        <v>92</v>
      </c>
      <c r="Y425">
        <v>2890</v>
      </c>
      <c r="Z425">
        <v>0</v>
      </c>
      <c r="AA425" t="s">
        <v>42</v>
      </c>
      <c r="AB425" t="s">
        <v>43</v>
      </c>
      <c r="AC425">
        <v>11</v>
      </c>
      <c r="AD425">
        <v>3</v>
      </c>
      <c r="AE425">
        <v>3</v>
      </c>
      <c r="AF425">
        <v>80</v>
      </c>
      <c r="AG425">
        <v>0</v>
      </c>
      <c r="AH4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25">
        <v>10</v>
      </c>
      <c r="AJ425" t="s">
        <v>78</v>
      </c>
      <c r="AK425">
        <v>3</v>
      </c>
      <c r="AL425" t="s">
        <v>78</v>
      </c>
      <c r="AM425">
        <v>3</v>
      </c>
      <c r="AN425" t="s">
        <v>78</v>
      </c>
      <c r="AO425">
        <v>9</v>
      </c>
      <c r="AP425" t="s">
        <v>78</v>
      </c>
      <c r="AQ425">
        <v>8</v>
      </c>
      <c r="AR425">
        <v>7</v>
      </c>
      <c r="AS425">
        <v>8</v>
      </c>
    </row>
    <row r="426" spans="1:4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 t="str">
        <f>IF(Employee_data[[#This Row],[MonthlyIncome]]&lt;5000,"Low Income",
IF(Employee_data[[#This Row],[MonthlyIncome]]&lt;10000,"Medium Income","High Income"))</f>
        <v>High Income</v>
      </c>
      <c r="U426" t="s">
        <v>90</v>
      </c>
      <c r="V426" t="s">
        <v>90</v>
      </c>
      <c r="W426" t="s">
        <v>90</v>
      </c>
      <c r="X426" t="s">
        <v>90</v>
      </c>
      <c r="Y426">
        <v>22102</v>
      </c>
      <c r="Z426">
        <v>3</v>
      </c>
      <c r="AA426" t="s">
        <v>42</v>
      </c>
      <c r="AB426" t="s">
        <v>43</v>
      </c>
      <c r="AC426">
        <v>12</v>
      </c>
      <c r="AD426">
        <v>3</v>
      </c>
      <c r="AE426">
        <v>3</v>
      </c>
      <c r="AF426">
        <v>80</v>
      </c>
      <c r="AG426">
        <v>1</v>
      </c>
      <c r="AH4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26">
        <v>32</v>
      </c>
      <c r="AJ426" t="s">
        <v>74</v>
      </c>
      <c r="AK426">
        <v>3</v>
      </c>
      <c r="AL426" t="s">
        <v>74</v>
      </c>
      <c r="AM426">
        <v>2</v>
      </c>
      <c r="AN426" t="s">
        <v>74</v>
      </c>
      <c r="AO426">
        <v>1</v>
      </c>
      <c r="AP426" t="s">
        <v>74</v>
      </c>
      <c r="AQ426">
        <v>0</v>
      </c>
      <c r="AR426">
        <v>0</v>
      </c>
      <c r="AS426">
        <v>0</v>
      </c>
    </row>
    <row r="427" spans="1:4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 t="str">
        <f>IF(Employee_data[[#This Row],[MonthlyIncome]]&lt;5000,"Low Income",
IF(Employee_data[[#This Row],[MonthlyIncome]]&lt;10000,"Medium Income","High Income"))</f>
        <v>High Income</v>
      </c>
      <c r="U427" t="s">
        <v>90</v>
      </c>
      <c r="V427" t="s">
        <v>90</v>
      </c>
      <c r="W427" t="s">
        <v>90</v>
      </c>
      <c r="X427" t="s">
        <v>90</v>
      </c>
      <c r="Y427">
        <v>9314</v>
      </c>
      <c r="Z427">
        <v>0</v>
      </c>
      <c r="AA427" t="s">
        <v>42</v>
      </c>
      <c r="AB427" t="s">
        <v>43</v>
      </c>
      <c r="AC427">
        <v>15</v>
      </c>
      <c r="AD427">
        <v>3</v>
      </c>
      <c r="AE427">
        <v>2</v>
      </c>
      <c r="AF427">
        <v>80</v>
      </c>
      <c r="AG427">
        <v>1</v>
      </c>
      <c r="AH4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427">
        <v>28</v>
      </c>
      <c r="AJ427" t="s">
        <v>77</v>
      </c>
      <c r="AK427">
        <v>2</v>
      </c>
      <c r="AL427" t="s">
        <v>77</v>
      </c>
      <c r="AM427">
        <v>3</v>
      </c>
      <c r="AN427" t="s">
        <v>77</v>
      </c>
      <c r="AO427">
        <v>27</v>
      </c>
      <c r="AP427" t="s">
        <v>77</v>
      </c>
      <c r="AQ427">
        <v>10</v>
      </c>
      <c r="AR427">
        <v>15</v>
      </c>
      <c r="AS427">
        <v>7</v>
      </c>
    </row>
    <row r="428" spans="1:4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 t="str">
        <f>IF(Employee_data[[#This Row],[MonthlyIncome]]&lt;5000,"Low Income",
IF(Employee_data[[#This Row],[MonthlyIncome]]&lt;10000,"Medium Income","High Income"))</f>
        <v>Low Income</v>
      </c>
      <c r="U428" t="s">
        <v>91</v>
      </c>
      <c r="V428" t="s">
        <v>91</v>
      </c>
      <c r="W428" t="s">
        <v>91</v>
      </c>
      <c r="X428" t="s">
        <v>91</v>
      </c>
      <c r="Y428">
        <v>7181</v>
      </c>
      <c r="Z428">
        <v>0</v>
      </c>
      <c r="AA428" t="s">
        <v>42</v>
      </c>
      <c r="AB428" t="s">
        <v>43</v>
      </c>
      <c r="AC428">
        <v>14</v>
      </c>
      <c r="AD428">
        <v>3</v>
      </c>
      <c r="AE428">
        <v>3</v>
      </c>
      <c r="AF428">
        <v>80</v>
      </c>
      <c r="AG428">
        <v>0</v>
      </c>
      <c r="AH4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28">
        <v>12</v>
      </c>
      <c r="AJ428" t="s">
        <v>75</v>
      </c>
      <c r="AK428">
        <v>2</v>
      </c>
      <c r="AL428" t="s">
        <v>75</v>
      </c>
      <c r="AM428">
        <v>2</v>
      </c>
      <c r="AN428" t="s">
        <v>75</v>
      </c>
      <c r="AO428">
        <v>11</v>
      </c>
      <c r="AP428" t="s">
        <v>75</v>
      </c>
      <c r="AQ428">
        <v>7</v>
      </c>
      <c r="AR428">
        <v>6</v>
      </c>
      <c r="AS428">
        <v>7</v>
      </c>
    </row>
    <row r="429" spans="1:4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 t="str">
        <f>IF(Employee_data[[#This Row],[MonthlyIncome]]&lt;5000,"Low Income",
IF(Employee_data[[#This Row],[MonthlyIncome]]&lt;10000,"Medium Income","High Income"))</f>
        <v>High Income</v>
      </c>
      <c r="U429" t="s">
        <v>90</v>
      </c>
      <c r="V429" t="s">
        <v>90</v>
      </c>
      <c r="W429" t="s">
        <v>90</v>
      </c>
      <c r="X429" t="s">
        <v>90</v>
      </c>
      <c r="Y429">
        <v>2845</v>
      </c>
      <c r="Z429">
        <v>4</v>
      </c>
      <c r="AA429" t="s">
        <v>42</v>
      </c>
      <c r="AB429" t="s">
        <v>43</v>
      </c>
      <c r="AC429">
        <v>19</v>
      </c>
      <c r="AD429">
        <v>3</v>
      </c>
      <c r="AE429">
        <v>4</v>
      </c>
      <c r="AF429">
        <v>80</v>
      </c>
      <c r="AG429">
        <v>0</v>
      </c>
      <c r="AH4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429">
        <v>22</v>
      </c>
      <c r="AJ429" t="s">
        <v>76</v>
      </c>
      <c r="AK429">
        <v>5</v>
      </c>
      <c r="AL429" t="s">
        <v>76</v>
      </c>
      <c r="AM429">
        <v>4</v>
      </c>
      <c r="AN429" t="s">
        <v>76</v>
      </c>
      <c r="AO429">
        <v>18</v>
      </c>
      <c r="AP429" t="s">
        <v>76</v>
      </c>
      <c r="AQ429">
        <v>13</v>
      </c>
      <c r="AR429">
        <v>13</v>
      </c>
      <c r="AS429">
        <v>11</v>
      </c>
    </row>
    <row r="430" spans="1:4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 t="str">
        <f>IF(Employee_data[[#This Row],[MonthlyIncome]]&lt;5000,"Low Income",
IF(Employee_data[[#This Row],[MonthlyIncome]]&lt;10000,"Medium Income","High Income"))</f>
        <v>Medium Income</v>
      </c>
      <c r="U430" t="s">
        <v>92</v>
      </c>
      <c r="V430" t="s">
        <v>92</v>
      </c>
      <c r="W430" t="s">
        <v>92</v>
      </c>
      <c r="X430" t="s">
        <v>92</v>
      </c>
      <c r="Y430">
        <v>7389</v>
      </c>
      <c r="Z430">
        <v>5</v>
      </c>
      <c r="AA430" t="s">
        <v>42</v>
      </c>
      <c r="AB430" t="s">
        <v>43</v>
      </c>
      <c r="AC430">
        <v>13</v>
      </c>
      <c r="AD430">
        <v>3</v>
      </c>
      <c r="AE430">
        <v>3</v>
      </c>
      <c r="AF430">
        <v>80</v>
      </c>
      <c r="AG430">
        <v>3</v>
      </c>
      <c r="AH4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30">
        <v>20</v>
      </c>
      <c r="AJ430" t="s">
        <v>78</v>
      </c>
      <c r="AK430">
        <v>2</v>
      </c>
      <c r="AL430" t="s">
        <v>78</v>
      </c>
      <c r="AM430">
        <v>3</v>
      </c>
      <c r="AN430" t="s">
        <v>78</v>
      </c>
      <c r="AO430">
        <v>5</v>
      </c>
      <c r="AP430" t="s">
        <v>78</v>
      </c>
      <c r="AQ430">
        <v>0</v>
      </c>
      <c r="AR430">
        <v>0</v>
      </c>
      <c r="AS430">
        <v>4</v>
      </c>
    </row>
    <row r="431" spans="1:4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 t="str">
        <f>IF(Employee_data[[#This Row],[MonthlyIncome]]&lt;5000,"Low Income",
IF(Employee_data[[#This Row],[MonthlyIncome]]&lt;10000,"Medium Income","High Income"))</f>
        <v>High Income</v>
      </c>
      <c r="U431" t="s">
        <v>90</v>
      </c>
      <c r="V431" t="s">
        <v>90</v>
      </c>
      <c r="W431" t="s">
        <v>90</v>
      </c>
      <c r="X431" t="s">
        <v>90</v>
      </c>
      <c r="Y431">
        <v>2288</v>
      </c>
      <c r="Z431">
        <v>6</v>
      </c>
      <c r="AA431" t="s">
        <v>42</v>
      </c>
      <c r="AB431" t="s">
        <v>43</v>
      </c>
      <c r="AC431">
        <v>13</v>
      </c>
      <c r="AD431">
        <v>3</v>
      </c>
      <c r="AE431">
        <v>3</v>
      </c>
      <c r="AF431">
        <v>80</v>
      </c>
      <c r="AG431">
        <v>0</v>
      </c>
      <c r="AH4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31">
        <v>26</v>
      </c>
      <c r="AJ431" t="s">
        <v>74</v>
      </c>
      <c r="AK431">
        <v>2</v>
      </c>
      <c r="AL431" t="s">
        <v>74</v>
      </c>
      <c r="AM431">
        <v>1</v>
      </c>
      <c r="AN431" t="s">
        <v>74</v>
      </c>
      <c r="AO431">
        <v>3</v>
      </c>
      <c r="AP431" t="s">
        <v>74</v>
      </c>
      <c r="AQ431">
        <v>2</v>
      </c>
      <c r="AR431">
        <v>0</v>
      </c>
      <c r="AS431">
        <v>1</v>
      </c>
    </row>
    <row r="432" spans="1:4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 t="str">
        <f>IF(Employee_data[[#This Row],[MonthlyIncome]]&lt;5000,"Low Income",
IF(Employee_data[[#This Row],[MonthlyIncome]]&lt;10000,"Medium Income","High Income"))</f>
        <v>Low Income</v>
      </c>
      <c r="U432" t="s">
        <v>91</v>
      </c>
      <c r="V432" t="s">
        <v>91</v>
      </c>
      <c r="W432" t="s">
        <v>91</v>
      </c>
      <c r="X432" t="s">
        <v>91</v>
      </c>
      <c r="Y432">
        <v>19225</v>
      </c>
      <c r="Z432">
        <v>0</v>
      </c>
      <c r="AA432" t="s">
        <v>42</v>
      </c>
      <c r="AB432" t="s">
        <v>43</v>
      </c>
      <c r="AC432">
        <v>15</v>
      </c>
      <c r="AD432">
        <v>3</v>
      </c>
      <c r="AE432">
        <v>3</v>
      </c>
      <c r="AF432">
        <v>80</v>
      </c>
      <c r="AG432">
        <v>0</v>
      </c>
      <c r="AH4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32">
        <v>6</v>
      </c>
      <c r="AJ432" t="s">
        <v>78</v>
      </c>
      <c r="AK432">
        <v>2</v>
      </c>
      <c r="AL432" t="s">
        <v>78</v>
      </c>
      <c r="AM432">
        <v>3</v>
      </c>
      <c r="AN432" t="s">
        <v>78</v>
      </c>
      <c r="AO432">
        <v>5</v>
      </c>
      <c r="AP432" t="s">
        <v>78</v>
      </c>
      <c r="AQ432">
        <v>4</v>
      </c>
      <c r="AR432">
        <v>4</v>
      </c>
      <c r="AS432">
        <v>3</v>
      </c>
    </row>
    <row r="433" spans="1:4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 t="str">
        <f>IF(Employee_data[[#This Row],[MonthlyIncome]]&lt;5000,"Low Income",
IF(Employee_data[[#This Row],[MonthlyIncome]]&lt;10000,"Medium Income","High Income"))</f>
        <v>Low Income</v>
      </c>
      <c r="U433" t="s">
        <v>91</v>
      </c>
      <c r="V433" t="s">
        <v>91</v>
      </c>
      <c r="W433" t="s">
        <v>91</v>
      </c>
      <c r="X433" t="s">
        <v>91</v>
      </c>
      <c r="Y433">
        <v>23428</v>
      </c>
      <c r="Z433">
        <v>7</v>
      </c>
      <c r="AA433" t="s">
        <v>42</v>
      </c>
      <c r="AB433" t="s">
        <v>43</v>
      </c>
      <c r="AC433">
        <v>11</v>
      </c>
      <c r="AD433">
        <v>3</v>
      </c>
      <c r="AE433">
        <v>3</v>
      </c>
      <c r="AF433">
        <v>80</v>
      </c>
      <c r="AG433">
        <v>0</v>
      </c>
      <c r="AH4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33">
        <v>19</v>
      </c>
      <c r="AJ433" t="s">
        <v>74</v>
      </c>
      <c r="AK433">
        <v>3</v>
      </c>
      <c r="AL433" t="s">
        <v>74</v>
      </c>
      <c r="AM433">
        <v>3</v>
      </c>
      <c r="AN433" t="s">
        <v>74</v>
      </c>
      <c r="AO433">
        <v>1</v>
      </c>
      <c r="AP433" t="s">
        <v>74</v>
      </c>
      <c r="AQ433">
        <v>0</v>
      </c>
      <c r="AR433">
        <v>0</v>
      </c>
      <c r="AS433">
        <v>0</v>
      </c>
    </row>
    <row r="434" spans="1:4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 t="str">
        <f>IF(Employee_data[[#This Row],[MonthlyIncome]]&lt;5000,"Low Income",
IF(Employee_data[[#This Row],[MonthlyIncome]]&lt;10000,"Medium Income","High Income"))</f>
        <v>Low Income</v>
      </c>
      <c r="U434" t="s">
        <v>91</v>
      </c>
      <c r="V434" t="s">
        <v>91</v>
      </c>
      <c r="W434" t="s">
        <v>91</v>
      </c>
      <c r="X434" t="s">
        <v>91</v>
      </c>
      <c r="Y434">
        <v>8416</v>
      </c>
      <c r="Z434">
        <v>3</v>
      </c>
      <c r="AA434" t="s">
        <v>42</v>
      </c>
      <c r="AB434" t="s">
        <v>43</v>
      </c>
      <c r="AC434">
        <v>12</v>
      </c>
      <c r="AD434">
        <v>3</v>
      </c>
      <c r="AE434">
        <v>3</v>
      </c>
      <c r="AF434">
        <v>80</v>
      </c>
      <c r="AG434">
        <v>1</v>
      </c>
      <c r="AH4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34">
        <v>14</v>
      </c>
      <c r="AJ434" t="s">
        <v>78</v>
      </c>
      <c r="AK434">
        <v>3</v>
      </c>
      <c r="AL434" t="s">
        <v>78</v>
      </c>
      <c r="AM434">
        <v>3</v>
      </c>
      <c r="AN434" t="s">
        <v>78</v>
      </c>
      <c r="AO434">
        <v>7</v>
      </c>
      <c r="AP434" t="s">
        <v>78</v>
      </c>
      <c r="AQ434">
        <v>3</v>
      </c>
      <c r="AR434">
        <v>5</v>
      </c>
      <c r="AS434">
        <v>7</v>
      </c>
    </row>
    <row r="435" spans="1:4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 t="str">
        <f>IF(Employee_data[[#This Row],[MonthlyIncome]]&lt;5000,"Low Income",
IF(Employee_data[[#This Row],[MonthlyIncome]]&lt;10000,"Medium Income","High Income"))</f>
        <v>Medium Income</v>
      </c>
      <c r="U435" t="s">
        <v>92</v>
      </c>
      <c r="V435" t="s">
        <v>92</v>
      </c>
      <c r="W435" t="s">
        <v>92</v>
      </c>
      <c r="X435" t="s">
        <v>92</v>
      </c>
      <c r="Y435">
        <v>11563</v>
      </c>
      <c r="Z435">
        <v>2</v>
      </c>
      <c r="AA435" t="s">
        <v>42</v>
      </c>
      <c r="AB435" t="s">
        <v>35</v>
      </c>
      <c r="AC435">
        <v>19</v>
      </c>
      <c r="AD435">
        <v>3</v>
      </c>
      <c r="AE435">
        <v>3</v>
      </c>
      <c r="AF435">
        <v>80</v>
      </c>
      <c r="AG435">
        <v>1</v>
      </c>
      <c r="AH4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35">
        <v>15</v>
      </c>
      <c r="AJ435" t="s">
        <v>74</v>
      </c>
      <c r="AK435">
        <v>3</v>
      </c>
      <c r="AL435" t="s">
        <v>74</v>
      </c>
      <c r="AM435">
        <v>3</v>
      </c>
      <c r="AN435" t="s">
        <v>74</v>
      </c>
      <c r="AO435">
        <v>3</v>
      </c>
      <c r="AP435" t="s">
        <v>74</v>
      </c>
      <c r="AQ435">
        <v>2</v>
      </c>
      <c r="AR435">
        <v>1</v>
      </c>
      <c r="AS435">
        <v>2</v>
      </c>
    </row>
    <row r="436" spans="1:4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 t="str">
        <f>IF(Employee_data[[#This Row],[MonthlyIncome]]&lt;5000,"Low Income",
IF(Employee_data[[#This Row],[MonthlyIncome]]&lt;10000,"Medium Income","High Income"))</f>
        <v>High Income</v>
      </c>
      <c r="U436" t="s">
        <v>90</v>
      </c>
      <c r="V436" t="s">
        <v>90</v>
      </c>
      <c r="W436" t="s">
        <v>90</v>
      </c>
      <c r="X436" t="s">
        <v>90</v>
      </c>
      <c r="Y436">
        <v>14394</v>
      </c>
      <c r="Z436">
        <v>1</v>
      </c>
      <c r="AA436" t="s">
        <v>42</v>
      </c>
      <c r="AB436" t="s">
        <v>43</v>
      </c>
      <c r="AC436">
        <v>25</v>
      </c>
      <c r="AD436">
        <v>4</v>
      </c>
      <c r="AE436">
        <v>4</v>
      </c>
      <c r="AF436">
        <v>80</v>
      </c>
      <c r="AG436">
        <v>1</v>
      </c>
      <c r="AH4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36">
        <v>13</v>
      </c>
      <c r="AJ436" t="s">
        <v>75</v>
      </c>
      <c r="AK436">
        <v>6</v>
      </c>
      <c r="AL436" t="s">
        <v>75</v>
      </c>
      <c r="AM436">
        <v>4</v>
      </c>
      <c r="AN436" t="s">
        <v>75</v>
      </c>
      <c r="AO436">
        <v>13</v>
      </c>
      <c r="AP436" t="s">
        <v>75</v>
      </c>
      <c r="AQ436">
        <v>8</v>
      </c>
      <c r="AR436">
        <v>0</v>
      </c>
      <c r="AS436">
        <v>8</v>
      </c>
    </row>
    <row r="437" spans="1:4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 t="str">
        <f>IF(Employee_data[[#This Row],[MonthlyIncome]]&lt;5000,"Low Income",
IF(Employee_data[[#This Row],[MonthlyIncome]]&lt;10000,"Medium Income","High Income"))</f>
        <v>High Income</v>
      </c>
      <c r="U437" t="s">
        <v>90</v>
      </c>
      <c r="V437" t="s">
        <v>90</v>
      </c>
      <c r="W437" t="s">
        <v>90</v>
      </c>
      <c r="X437" t="s">
        <v>90</v>
      </c>
      <c r="Y437">
        <v>24619</v>
      </c>
      <c r="Z437">
        <v>7</v>
      </c>
      <c r="AA437" t="s">
        <v>42</v>
      </c>
      <c r="AB437" t="s">
        <v>35</v>
      </c>
      <c r="AC437">
        <v>12</v>
      </c>
      <c r="AD437">
        <v>3</v>
      </c>
      <c r="AE437">
        <v>4</v>
      </c>
      <c r="AF437">
        <v>80</v>
      </c>
      <c r="AG437">
        <v>0</v>
      </c>
      <c r="AH4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37">
        <v>15</v>
      </c>
      <c r="AJ437" t="s">
        <v>78</v>
      </c>
      <c r="AK437">
        <v>2</v>
      </c>
      <c r="AL437" t="s">
        <v>78</v>
      </c>
      <c r="AM437">
        <v>4</v>
      </c>
      <c r="AN437" t="s">
        <v>78</v>
      </c>
      <c r="AO437">
        <v>7</v>
      </c>
      <c r="AP437" t="s">
        <v>78</v>
      </c>
      <c r="AQ437">
        <v>6</v>
      </c>
      <c r="AR437">
        <v>7</v>
      </c>
      <c r="AS437">
        <v>7</v>
      </c>
    </row>
    <row r="438" spans="1:4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 t="str">
        <f>IF(Employee_data[[#This Row],[MonthlyIncome]]&lt;5000,"Low Income",
IF(Employee_data[[#This Row],[MonthlyIncome]]&lt;10000,"Medium Income","High Income"))</f>
        <v>Low Income</v>
      </c>
      <c r="U438" t="s">
        <v>91</v>
      </c>
      <c r="V438" t="s">
        <v>91</v>
      </c>
      <c r="W438" t="s">
        <v>91</v>
      </c>
      <c r="X438" t="s">
        <v>91</v>
      </c>
      <c r="Y438">
        <v>6705</v>
      </c>
      <c r="Z438">
        <v>7</v>
      </c>
      <c r="AA438" t="s">
        <v>42</v>
      </c>
      <c r="AB438" t="s">
        <v>43</v>
      </c>
      <c r="AC438">
        <v>13</v>
      </c>
      <c r="AD438">
        <v>3</v>
      </c>
      <c r="AE438">
        <v>1</v>
      </c>
      <c r="AF438">
        <v>80</v>
      </c>
      <c r="AG438">
        <v>3</v>
      </c>
      <c r="AH4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38">
        <v>8</v>
      </c>
      <c r="AJ438" t="s">
        <v>74</v>
      </c>
      <c r="AK438">
        <v>2</v>
      </c>
      <c r="AL438" t="s">
        <v>74</v>
      </c>
      <c r="AM438">
        <v>3</v>
      </c>
      <c r="AN438" t="s">
        <v>74</v>
      </c>
      <c r="AO438">
        <v>4</v>
      </c>
      <c r="AP438" t="s">
        <v>74</v>
      </c>
      <c r="AQ438">
        <v>3</v>
      </c>
      <c r="AR438">
        <v>1</v>
      </c>
      <c r="AS438">
        <v>3</v>
      </c>
    </row>
    <row r="439" spans="1:4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 t="str">
        <f>IF(Employee_data[[#This Row],[MonthlyIncome]]&lt;5000,"Low Income",
IF(Employee_data[[#This Row],[MonthlyIncome]]&lt;10000,"Medium Income","High Income"))</f>
        <v>Low Income</v>
      </c>
      <c r="U439" t="s">
        <v>91</v>
      </c>
      <c r="V439" t="s">
        <v>91</v>
      </c>
      <c r="W439" t="s">
        <v>91</v>
      </c>
      <c r="X439" t="s">
        <v>91</v>
      </c>
      <c r="Y439">
        <v>18398</v>
      </c>
      <c r="Z439">
        <v>0</v>
      </c>
      <c r="AA439" t="s">
        <v>42</v>
      </c>
      <c r="AB439" t="s">
        <v>43</v>
      </c>
      <c r="AC439">
        <v>14</v>
      </c>
      <c r="AD439">
        <v>3</v>
      </c>
      <c r="AE439">
        <v>1</v>
      </c>
      <c r="AF439">
        <v>80</v>
      </c>
      <c r="AG439">
        <v>0</v>
      </c>
      <c r="AH4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39">
        <v>4</v>
      </c>
      <c r="AJ439" t="s">
        <v>74</v>
      </c>
      <c r="AK439">
        <v>3</v>
      </c>
      <c r="AL439" t="s">
        <v>74</v>
      </c>
      <c r="AM439">
        <v>3</v>
      </c>
      <c r="AN439" t="s">
        <v>74</v>
      </c>
      <c r="AO439">
        <v>3</v>
      </c>
      <c r="AP439" t="s">
        <v>74</v>
      </c>
      <c r="AQ439">
        <v>2</v>
      </c>
      <c r="AR439">
        <v>1</v>
      </c>
      <c r="AS439">
        <v>2</v>
      </c>
    </row>
    <row r="440" spans="1:4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 t="str">
        <f>IF(Employee_data[[#This Row],[MonthlyIncome]]&lt;5000,"Low Income",
IF(Employee_data[[#This Row],[MonthlyIncome]]&lt;10000,"Medium Income","High Income"))</f>
        <v>Medium Income</v>
      </c>
      <c r="U440" t="s">
        <v>92</v>
      </c>
      <c r="V440" t="s">
        <v>92</v>
      </c>
      <c r="W440" t="s">
        <v>92</v>
      </c>
      <c r="X440" t="s">
        <v>92</v>
      </c>
      <c r="Y440">
        <v>14295</v>
      </c>
      <c r="Z440">
        <v>4</v>
      </c>
      <c r="AA440" t="s">
        <v>42</v>
      </c>
      <c r="AB440" t="s">
        <v>35</v>
      </c>
      <c r="AC440">
        <v>12</v>
      </c>
      <c r="AD440">
        <v>3</v>
      </c>
      <c r="AE440">
        <v>3</v>
      </c>
      <c r="AF440">
        <v>80</v>
      </c>
      <c r="AG440">
        <v>0</v>
      </c>
      <c r="AH4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40">
        <v>10</v>
      </c>
      <c r="AJ440" t="s">
        <v>78</v>
      </c>
      <c r="AK440">
        <v>2</v>
      </c>
      <c r="AL440" t="s">
        <v>78</v>
      </c>
      <c r="AM440">
        <v>3</v>
      </c>
      <c r="AN440" t="s">
        <v>78</v>
      </c>
      <c r="AO440">
        <v>8</v>
      </c>
      <c r="AP440" t="s">
        <v>78</v>
      </c>
      <c r="AQ440">
        <v>7</v>
      </c>
      <c r="AR440">
        <v>0</v>
      </c>
      <c r="AS440">
        <v>0</v>
      </c>
    </row>
    <row r="441" spans="1:4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 t="str">
        <f>IF(Employee_data[[#This Row],[MonthlyIncome]]&lt;5000,"Low Income",
IF(Employee_data[[#This Row],[MonthlyIncome]]&lt;10000,"Medium Income","High Income"))</f>
        <v>Medium Income</v>
      </c>
      <c r="U441" t="s">
        <v>92</v>
      </c>
      <c r="V441" t="s">
        <v>92</v>
      </c>
      <c r="W441" t="s">
        <v>92</v>
      </c>
      <c r="X441" t="s">
        <v>92</v>
      </c>
      <c r="Y441">
        <v>22908</v>
      </c>
      <c r="Z441">
        <v>3</v>
      </c>
      <c r="AA441" t="s">
        <v>42</v>
      </c>
      <c r="AB441" t="s">
        <v>43</v>
      </c>
      <c r="AC441">
        <v>12</v>
      </c>
      <c r="AD441">
        <v>3</v>
      </c>
      <c r="AE441">
        <v>1</v>
      </c>
      <c r="AF441">
        <v>80</v>
      </c>
      <c r="AG441">
        <v>0</v>
      </c>
      <c r="AH4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41">
        <v>12</v>
      </c>
      <c r="AJ441" t="s">
        <v>74</v>
      </c>
      <c r="AK441">
        <v>2</v>
      </c>
      <c r="AL441" t="s">
        <v>74</v>
      </c>
      <c r="AM441">
        <v>3</v>
      </c>
      <c r="AN441" t="s">
        <v>74</v>
      </c>
      <c r="AO441">
        <v>1</v>
      </c>
      <c r="AP441" t="s">
        <v>74</v>
      </c>
      <c r="AQ441">
        <v>0</v>
      </c>
      <c r="AR441">
        <v>0</v>
      </c>
      <c r="AS441">
        <v>0</v>
      </c>
    </row>
    <row r="442" spans="1:4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 t="str">
        <f>IF(Employee_data[[#This Row],[MonthlyIncome]]&lt;5000,"Low Income",
IF(Employee_data[[#This Row],[MonthlyIncome]]&lt;10000,"Medium Income","High Income"))</f>
        <v>Medium Income</v>
      </c>
      <c r="U442" t="s">
        <v>92</v>
      </c>
      <c r="V442" t="s">
        <v>92</v>
      </c>
      <c r="W442" t="s">
        <v>92</v>
      </c>
      <c r="X442" t="s">
        <v>92</v>
      </c>
      <c r="Y442">
        <v>11533</v>
      </c>
      <c r="Z442">
        <v>9</v>
      </c>
      <c r="AA442" t="s">
        <v>42</v>
      </c>
      <c r="AB442" t="s">
        <v>35</v>
      </c>
      <c r="AC442">
        <v>15</v>
      </c>
      <c r="AD442">
        <v>3</v>
      </c>
      <c r="AE442">
        <v>3</v>
      </c>
      <c r="AF442">
        <v>80</v>
      </c>
      <c r="AG442">
        <v>3</v>
      </c>
      <c r="AH4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42">
        <v>11</v>
      </c>
      <c r="AJ442" t="s">
        <v>74</v>
      </c>
      <c r="AK442">
        <v>2</v>
      </c>
      <c r="AL442" t="s">
        <v>74</v>
      </c>
      <c r="AM442">
        <v>3</v>
      </c>
      <c r="AN442" t="s">
        <v>74</v>
      </c>
      <c r="AO442">
        <v>3</v>
      </c>
      <c r="AP442" t="s">
        <v>74</v>
      </c>
      <c r="AQ442">
        <v>2</v>
      </c>
      <c r="AR442">
        <v>0</v>
      </c>
      <c r="AS442">
        <v>2</v>
      </c>
    </row>
    <row r="443" spans="1:4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 t="str">
        <f>IF(Employee_data[[#This Row],[MonthlyIncome]]&lt;5000,"Low Income",
IF(Employee_data[[#This Row],[MonthlyIncome]]&lt;10000,"Medium Income","High Income"))</f>
        <v>Low Income</v>
      </c>
      <c r="U443" t="s">
        <v>91</v>
      </c>
      <c r="V443" t="s">
        <v>91</v>
      </c>
      <c r="W443" t="s">
        <v>91</v>
      </c>
      <c r="X443" t="s">
        <v>91</v>
      </c>
      <c r="Y443">
        <v>9260</v>
      </c>
      <c r="Z443">
        <v>4</v>
      </c>
      <c r="AA443" t="s">
        <v>42</v>
      </c>
      <c r="AB443" t="s">
        <v>43</v>
      </c>
      <c r="AC443">
        <v>17</v>
      </c>
      <c r="AD443">
        <v>3</v>
      </c>
      <c r="AE443">
        <v>4</v>
      </c>
      <c r="AF443">
        <v>80</v>
      </c>
      <c r="AG443">
        <v>1</v>
      </c>
      <c r="AH4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43">
        <v>8</v>
      </c>
      <c r="AJ443" t="s">
        <v>74</v>
      </c>
      <c r="AK443">
        <v>4</v>
      </c>
      <c r="AL443" t="s">
        <v>74</v>
      </c>
      <c r="AM443">
        <v>3</v>
      </c>
      <c r="AN443" t="s">
        <v>74</v>
      </c>
      <c r="AO443">
        <v>2</v>
      </c>
      <c r="AP443" t="s">
        <v>74</v>
      </c>
      <c r="AQ443">
        <v>2</v>
      </c>
      <c r="AR443">
        <v>2</v>
      </c>
      <c r="AS443">
        <v>0</v>
      </c>
    </row>
    <row r="444" spans="1:4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 t="str">
        <f>IF(Employee_data[[#This Row],[MonthlyIncome]]&lt;5000,"Low Income",
IF(Employee_data[[#This Row],[MonthlyIncome]]&lt;10000,"Medium Income","High Income"))</f>
        <v>Medium Income</v>
      </c>
      <c r="U444" t="s">
        <v>92</v>
      </c>
      <c r="V444" t="s">
        <v>92</v>
      </c>
      <c r="W444" t="s">
        <v>92</v>
      </c>
      <c r="X444" t="s">
        <v>92</v>
      </c>
      <c r="Y444">
        <v>15318</v>
      </c>
      <c r="Z444">
        <v>1</v>
      </c>
      <c r="AA444" t="s">
        <v>42</v>
      </c>
      <c r="AB444" t="s">
        <v>43</v>
      </c>
      <c r="AC444">
        <v>14</v>
      </c>
      <c r="AD444">
        <v>3</v>
      </c>
      <c r="AE444">
        <v>4</v>
      </c>
      <c r="AF444">
        <v>80</v>
      </c>
      <c r="AG444">
        <v>0</v>
      </c>
      <c r="AH4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44">
        <v>10</v>
      </c>
      <c r="AJ444" t="s">
        <v>75</v>
      </c>
      <c r="AK444">
        <v>3</v>
      </c>
      <c r="AL444" t="s">
        <v>75</v>
      </c>
      <c r="AM444">
        <v>2</v>
      </c>
      <c r="AN444" t="s">
        <v>75</v>
      </c>
      <c r="AO444">
        <v>10</v>
      </c>
      <c r="AP444" t="s">
        <v>75</v>
      </c>
      <c r="AQ444">
        <v>3</v>
      </c>
      <c r="AR444">
        <v>9</v>
      </c>
      <c r="AS444">
        <v>7</v>
      </c>
    </row>
    <row r="445" spans="1:4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 t="str">
        <f>IF(Employee_data[[#This Row],[MonthlyIncome]]&lt;5000,"Low Income",
IF(Employee_data[[#This Row],[MonthlyIncome]]&lt;10000,"Medium Income","High Income"))</f>
        <v>Low Income</v>
      </c>
      <c r="U445" t="s">
        <v>91</v>
      </c>
      <c r="V445" t="s">
        <v>91</v>
      </c>
      <c r="W445" t="s">
        <v>91</v>
      </c>
      <c r="X445" t="s">
        <v>91</v>
      </c>
      <c r="Y445">
        <v>9129</v>
      </c>
      <c r="Z445">
        <v>5</v>
      </c>
      <c r="AA445" t="s">
        <v>42</v>
      </c>
      <c r="AB445" t="s">
        <v>43</v>
      </c>
      <c r="AC445">
        <v>16</v>
      </c>
      <c r="AD445">
        <v>3</v>
      </c>
      <c r="AE445">
        <v>3</v>
      </c>
      <c r="AF445">
        <v>80</v>
      </c>
      <c r="AG445">
        <v>0</v>
      </c>
      <c r="AH4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45">
        <v>4</v>
      </c>
      <c r="AJ445" t="s">
        <v>74</v>
      </c>
      <c r="AK445">
        <v>3</v>
      </c>
      <c r="AL445" t="s">
        <v>74</v>
      </c>
      <c r="AM445">
        <v>3</v>
      </c>
      <c r="AN445" t="s">
        <v>74</v>
      </c>
      <c r="AO445">
        <v>2</v>
      </c>
      <c r="AP445" t="s">
        <v>74</v>
      </c>
      <c r="AQ445">
        <v>2</v>
      </c>
      <c r="AR445">
        <v>1</v>
      </c>
      <c r="AS445">
        <v>2</v>
      </c>
    </row>
    <row r="446" spans="1:4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 t="str">
        <f>IF(Employee_data[[#This Row],[MonthlyIncome]]&lt;5000,"Low Income",
IF(Employee_data[[#This Row],[MonthlyIncome]]&lt;10000,"Medium Income","High Income"))</f>
        <v>Low Income</v>
      </c>
      <c r="U446" t="s">
        <v>91</v>
      </c>
      <c r="V446" t="s">
        <v>91</v>
      </c>
      <c r="W446" t="s">
        <v>91</v>
      </c>
      <c r="X446" t="s">
        <v>91</v>
      </c>
      <c r="Y446">
        <v>19658</v>
      </c>
      <c r="Z446">
        <v>2</v>
      </c>
      <c r="AA446" t="s">
        <v>42</v>
      </c>
      <c r="AB446" t="s">
        <v>43</v>
      </c>
      <c r="AC446">
        <v>14</v>
      </c>
      <c r="AD446">
        <v>3</v>
      </c>
      <c r="AE446">
        <v>1</v>
      </c>
      <c r="AF446">
        <v>80</v>
      </c>
      <c r="AG446">
        <v>1</v>
      </c>
      <c r="AH4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46">
        <v>14</v>
      </c>
      <c r="AJ446" t="s">
        <v>78</v>
      </c>
      <c r="AK446">
        <v>2</v>
      </c>
      <c r="AL446" t="s">
        <v>78</v>
      </c>
      <c r="AM446">
        <v>3</v>
      </c>
      <c r="AN446" t="s">
        <v>78</v>
      </c>
      <c r="AO446">
        <v>9</v>
      </c>
      <c r="AP446" t="s">
        <v>78</v>
      </c>
      <c r="AQ446">
        <v>7</v>
      </c>
      <c r="AR446">
        <v>6</v>
      </c>
      <c r="AS446">
        <v>7</v>
      </c>
    </row>
    <row r="447" spans="1:4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 t="str">
        <f>IF(Employee_data[[#This Row],[MonthlyIncome]]&lt;5000,"Low Income",
IF(Employee_data[[#This Row],[MonthlyIncome]]&lt;10000,"Medium Income","High Income"))</f>
        <v>High Income</v>
      </c>
      <c r="U447" t="s">
        <v>90</v>
      </c>
      <c r="V447" t="s">
        <v>90</v>
      </c>
      <c r="W447" t="s">
        <v>90</v>
      </c>
      <c r="X447" t="s">
        <v>90</v>
      </c>
      <c r="Y447">
        <v>9873</v>
      </c>
      <c r="Z447">
        <v>3</v>
      </c>
      <c r="AA447" t="s">
        <v>42</v>
      </c>
      <c r="AB447" t="s">
        <v>43</v>
      </c>
      <c r="AC447">
        <v>23</v>
      </c>
      <c r="AD447">
        <v>4</v>
      </c>
      <c r="AE447">
        <v>4</v>
      </c>
      <c r="AF447">
        <v>80</v>
      </c>
      <c r="AG447">
        <v>0</v>
      </c>
      <c r="AH4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47">
        <v>37</v>
      </c>
      <c r="AJ447" t="s">
        <v>75</v>
      </c>
      <c r="AK447">
        <v>2</v>
      </c>
      <c r="AL447" t="s">
        <v>75</v>
      </c>
      <c r="AM447">
        <v>3</v>
      </c>
      <c r="AN447" t="s">
        <v>75</v>
      </c>
      <c r="AO447">
        <v>10</v>
      </c>
      <c r="AP447" t="s">
        <v>75</v>
      </c>
      <c r="AQ447">
        <v>9</v>
      </c>
      <c r="AR447">
        <v>7</v>
      </c>
      <c r="AS447">
        <v>7</v>
      </c>
    </row>
    <row r="448" spans="1:4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 t="str">
        <f>IF(Employee_data[[#This Row],[MonthlyIncome]]&lt;5000,"Low Income",
IF(Employee_data[[#This Row],[MonthlyIncome]]&lt;10000,"Medium Income","High Income"))</f>
        <v>Medium Income</v>
      </c>
      <c r="U448" t="s">
        <v>92</v>
      </c>
      <c r="V448" t="s">
        <v>92</v>
      </c>
      <c r="W448" t="s">
        <v>92</v>
      </c>
      <c r="X448" t="s">
        <v>92</v>
      </c>
      <c r="Y448">
        <v>13430</v>
      </c>
      <c r="Z448">
        <v>7</v>
      </c>
      <c r="AA448" t="s">
        <v>42</v>
      </c>
      <c r="AB448" t="s">
        <v>43</v>
      </c>
      <c r="AC448">
        <v>14</v>
      </c>
      <c r="AD448">
        <v>3</v>
      </c>
      <c r="AE448">
        <v>4</v>
      </c>
      <c r="AF448">
        <v>80</v>
      </c>
      <c r="AG448">
        <v>0</v>
      </c>
      <c r="AH4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48">
        <v>16</v>
      </c>
      <c r="AJ448" t="s">
        <v>75</v>
      </c>
      <c r="AK448">
        <v>3</v>
      </c>
      <c r="AL448" t="s">
        <v>75</v>
      </c>
      <c r="AM448">
        <v>3</v>
      </c>
      <c r="AN448" t="s">
        <v>75</v>
      </c>
      <c r="AO448">
        <v>14</v>
      </c>
      <c r="AP448" t="s">
        <v>75</v>
      </c>
      <c r="AQ448">
        <v>3</v>
      </c>
      <c r="AR448">
        <v>1</v>
      </c>
      <c r="AS448">
        <v>10</v>
      </c>
    </row>
    <row r="449" spans="1:4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 t="str">
        <f>IF(Employee_data[[#This Row],[MonthlyIncome]]&lt;5000,"Low Income",
IF(Employee_data[[#This Row],[MonthlyIncome]]&lt;10000,"Medium Income","High Income"))</f>
        <v>Low Income</v>
      </c>
      <c r="U449" t="s">
        <v>91</v>
      </c>
      <c r="V449" t="s">
        <v>91</v>
      </c>
      <c r="W449" t="s">
        <v>91</v>
      </c>
      <c r="X449" t="s">
        <v>91</v>
      </c>
      <c r="Y449">
        <v>18659</v>
      </c>
      <c r="Z449">
        <v>9</v>
      </c>
      <c r="AA449" t="s">
        <v>42</v>
      </c>
      <c r="AB449" t="s">
        <v>43</v>
      </c>
      <c r="AC449">
        <v>11</v>
      </c>
      <c r="AD449">
        <v>3</v>
      </c>
      <c r="AE449">
        <v>3</v>
      </c>
      <c r="AF449">
        <v>80</v>
      </c>
      <c r="AG449">
        <v>0</v>
      </c>
      <c r="AH4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49">
        <v>15</v>
      </c>
      <c r="AJ449" t="s">
        <v>75</v>
      </c>
      <c r="AK449">
        <v>2</v>
      </c>
      <c r="AL449" t="s">
        <v>75</v>
      </c>
      <c r="AM449">
        <v>3</v>
      </c>
      <c r="AN449" t="s">
        <v>75</v>
      </c>
      <c r="AO449">
        <v>11</v>
      </c>
      <c r="AP449" t="s">
        <v>75</v>
      </c>
      <c r="AQ449">
        <v>9</v>
      </c>
      <c r="AR449">
        <v>6</v>
      </c>
      <c r="AS449">
        <v>9</v>
      </c>
    </row>
    <row r="450" spans="1:4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 t="str">
        <f>IF(Employee_data[[#This Row],[MonthlyIncome]]&lt;5000,"Low Income",
IF(Employee_data[[#This Row],[MonthlyIncome]]&lt;10000,"Medium Income","High Income"))</f>
        <v>High Income</v>
      </c>
      <c r="U450" t="s">
        <v>90</v>
      </c>
      <c r="V450" t="s">
        <v>90</v>
      </c>
      <c r="W450" t="s">
        <v>90</v>
      </c>
      <c r="X450" t="s">
        <v>90</v>
      </c>
      <c r="Y450">
        <v>20364</v>
      </c>
      <c r="Z450">
        <v>7</v>
      </c>
      <c r="AA450" t="s">
        <v>42</v>
      </c>
      <c r="AB450" t="s">
        <v>43</v>
      </c>
      <c r="AC450">
        <v>15</v>
      </c>
      <c r="AD450">
        <v>3</v>
      </c>
      <c r="AE450">
        <v>3</v>
      </c>
      <c r="AF450">
        <v>80</v>
      </c>
      <c r="AG450">
        <v>0</v>
      </c>
      <c r="AH4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450">
        <v>22</v>
      </c>
      <c r="AJ450" t="s">
        <v>76</v>
      </c>
      <c r="AK450">
        <v>3</v>
      </c>
      <c r="AL450" t="s">
        <v>76</v>
      </c>
      <c r="AM450">
        <v>3</v>
      </c>
      <c r="AN450" t="s">
        <v>76</v>
      </c>
      <c r="AO450">
        <v>20</v>
      </c>
      <c r="AP450" t="s">
        <v>76</v>
      </c>
      <c r="AQ450">
        <v>6</v>
      </c>
      <c r="AR450">
        <v>5</v>
      </c>
      <c r="AS450">
        <v>13</v>
      </c>
    </row>
    <row r="451" spans="1:4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 t="str">
        <f>IF(Employee_data[[#This Row],[MonthlyIncome]]&lt;5000,"Low Income",
IF(Employee_data[[#This Row],[MonthlyIncome]]&lt;10000,"Medium Income","High Income"))</f>
        <v>Low Income</v>
      </c>
      <c r="U451" t="s">
        <v>91</v>
      </c>
      <c r="V451" t="s">
        <v>91</v>
      </c>
      <c r="W451" t="s">
        <v>91</v>
      </c>
      <c r="X451" t="s">
        <v>91</v>
      </c>
      <c r="Y451">
        <v>17872</v>
      </c>
      <c r="Z451">
        <v>1</v>
      </c>
      <c r="AA451" t="s">
        <v>42</v>
      </c>
      <c r="AB451" t="s">
        <v>43</v>
      </c>
      <c r="AC451">
        <v>11</v>
      </c>
      <c r="AD451">
        <v>3</v>
      </c>
      <c r="AE451">
        <v>1</v>
      </c>
      <c r="AF451">
        <v>80</v>
      </c>
      <c r="AG451">
        <v>1</v>
      </c>
      <c r="AH4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51">
        <v>8</v>
      </c>
      <c r="AJ451" t="s">
        <v>78</v>
      </c>
      <c r="AK451">
        <v>3</v>
      </c>
      <c r="AL451" t="s">
        <v>78</v>
      </c>
      <c r="AM451">
        <v>3</v>
      </c>
      <c r="AN451" t="s">
        <v>78</v>
      </c>
      <c r="AO451">
        <v>8</v>
      </c>
      <c r="AP451" t="s">
        <v>78</v>
      </c>
      <c r="AQ451">
        <v>3</v>
      </c>
      <c r="AR451">
        <v>0</v>
      </c>
      <c r="AS451">
        <v>7</v>
      </c>
    </row>
    <row r="452" spans="1:4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 t="str">
        <f>IF(Employee_data[[#This Row],[MonthlyIncome]]&lt;5000,"Low Income",
IF(Employee_data[[#This Row],[MonthlyIncome]]&lt;10000,"Medium Income","High Income"))</f>
        <v>Medium Income</v>
      </c>
      <c r="U452" t="s">
        <v>92</v>
      </c>
      <c r="V452" t="s">
        <v>92</v>
      </c>
      <c r="W452" t="s">
        <v>92</v>
      </c>
      <c r="X452" t="s">
        <v>92</v>
      </c>
      <c r="Y452">
        <v>8346</v>
      </c>
      <c r="Z452">
        <v>4</v>
      </c>
      <c r="AA452" t="s">
        <v>42</v>
      </c>
      <c r="AB452" t="s">
        <v>35</v>
      </c>
      <c r="AC452">
        <v>13</v>
      </c>
      <c r="AD452">
        <v>3</v>
      </c>
      <c r="AE452">
        <v>3</v>
      </c>
      <c r="AF452">
        <v>80</v>
      </c>
      <c r="AG452">
        <v>0</v>
      </c>
      <c r="AH4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52">
        <v>10</v>
      </c>
      <c r="AJ452" t="s">
        <v>78</v>
      </c>
      <c r="AK452">
        <v>2</v>
      </c>
      <c r="AL452" t="s">
        <v>78</v>
      </c>
      <c r="AM452">
        <v>4</v>
      </c>
      <c r="AN452" t="s">
        <v>78</v>
      </c>
      <c r="AO452">
        <v>6</v>
      </c>
      <c r="AP452" t="s">
        <v>78</v>
      </c>
      <c r="AQ452">
        <v>5</v>
      </c>
      <c r="AR452">
        <v>0</v>
      </c>
      <c r="AS452">
        <v>5</v>
      </c>
    </row>
    <row r="453" spans="1:4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 t="str">
        <f>IF(Employee_data[[#This Row],[MonthlyIncome]]&lt;5000,"Low Income",
IF(Employee_data[[#This Row],[MonthlyIncome]]&lt;10000,"Medium Income","High Income"))</f>
        <v>Medium Income</v>
      </c>
      <c r="U453" t="s">
        <v>92</v>
      </c>
      <c r="V453" t="s">
        <v>92</v>
      </c>
      <c r="W453" t="s">
        <v>92</v>
      </c>
      <c r="X453" t="s">
        <v>92</v>
      </c>
      <c r="Y453">
        <v>6950</v>
      </c>
      <c r="Z453">
        <v>1</v>
      </c>
      <c r="AA453" t="s">
        <v>42</v>
      </c>
      <c r="AB453" t="s">
        <v>35</v>
      </c>
      <c r="AC453">
        <v>21</v>
      </c>
      <c r="AD453">
        <v>4</v>
      </c>
      <c r="AE453">
        <v>4</v>
      </c>
      <c r="AF453">
        <v>80</v>
      </c>
      <c r="AG453">
        <v>1</v>
      </c>
      <c r="AH4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53">
        <v>10</v>
      </c>
      <c r="AJ453" t="s">
        <v>75</v>
      </c>
      <c r="AK453">
        <v>5</v>
      </c>
      <c r="AL453" t="s">
        <v>75</v>
      </c>
      <c r="AM453">
        <v>2</v>
      </c>
      <c r="AN453" t="s">
        <v>75</v>
      </c>
      <c r="AO453">
        <v>10</v>
      </c>
      <c r="AP453" t="s">
        <v>75</v>
      </c>
      <c r="AQ453">
        <v>9</v>
      </c>
      <c r="AR453">
        <v>5</v>
      </c>
      <c r="AS453">
        <v>8</v>
      </c>
    </row>
    <row r="454" spans="1:4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 t="str">
        <f>IF(Employee_data[[#This Row],[MonthlyIncome]]&lt;5000,"Low Income",
IF(Employee_data[[#This Row],[MonthlyIncome]]&lt;10000,"Medium Income","High Income"))</f>
        <v>Low Income</v>
      </c>
      <c r="U454" t="s">
        <v>91</v>
      </c>
      <c r="V454" t="s">
        <v>91</v>
      </c>
      <c r="W454" t="s">
        <v>91</v>
      </c>
      <c r="X454" t="s">
        <v>91</v>
      </c>
      <c r="Y454">
        <v>16177</v>
      </c>
      <c r="Z454">
        <v>0</v>
      </c>
      <c r="AA454" t="s">
        <v>42</v>
      </c>
      <c r="AB454" t="s">
        <v>43</v>
      </c>
      <c r="AC454">
        <v>19</v>
      </c>
      <c r="AD454">
        <v>3</v>
      </c>
      <c r="AE454">
        <v>2</v>
      </c>
      <c r="AF454">
        <v>80</v>
      </c>
      <c r="AG454">
        <v>1</v>
      </c>
      <c r="AH4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54">
        <v>9</v>
      </c>
      <c r="AJ454" t="s">
        <v>78</v>
      </c>
      <c r="AK454">
        <v>3</v>
      </c>
      <c r="AL454" t="s">
        <v>78</v>
      </c>
      <c r="AM454">
        <v>4</v>
      </c>
      <c r="AN454" t="s">
        <v>78</v>
      </c>
      <c r="AO454">
        <v>8</v>
      </c>
      <c r="AP454" t="s">
        <v>78</v>
      </c>
      <c r="AQ454">
        <v>7</v>
      </c>
      <c r="AR454">
        <v>3</v>
      </c>
      <c r="AS454">
        <v>7</v>
      </c>
    </row>
    <row r="455" spans="1:4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 t="str">
        <f>IF(Employee_data[[#This Row],[MonthlyIncome]]&lt;5000,"Low Income",
IF(Employee_data[[#This Row],[MonthlyIncome]]&lt;10000,"Medium Income","High Income"))</f>
        <v>Low Income</v>
      </c>
      <c r="U455" t="s">
        <v>91</v>
      </c>
      <c r="V455" t="s">
        <v>91</v>
      </c>
      <c r="W455" t="s">
        <v>91</v>
      </c>
      <c r="X455" t="s">
        <v>91</v>
      </c>
      <c r="Y455">
        <v>22808</v>
      </c>
      <c r="Z455">
        <v>0</v>
      </c>
      <c r="AA455" t="s">
        <v>42</v>
      </c>
      <c r="AB455" t="s">
        <v>35</v>
      </c>
      <c r="AC455">
        <v>11</v>
      </c>
      <c r="AD455">
        <v>3</v>
      </c>
      <c r="AE455">
        <v>2</v>
      </c>
      <c r="AF455">
        <v>80</v>
      </c>
      <c r="AG455">
        <v>1</v>
      </c>
      <c r="AH4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55">
        <v>8</v>
      </c>
      <c r="AJ455" t="s">
        <v>78</v>
      </c>
      <c r="AK455">
        <v>2</v>
      </c>
      <c r="AL455" t="s">
        <v>78</v>
      </c>
      <c r="AM455">
        <v>2</v>
      </c>
      <c r="AN455" t="s">
        <v>78</v>
      </c>
      <c r="AO455">
        <v>7</v>
      </c>
      <c r="AP455" t="s">
        <v>78</v>
      </c>
      <c r="AQ455">
        <v>7</v>
      </c>
      <c r="AR455">
        <v>1</v>
      </c>
      <c r="AS455">
        <v>0</v>
      </c>
    </row>
    <row r="456" spans="1:4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 t="str">
        <f>IF(Employee_data[[#This Row],[MonthlyIncome]]&lt;5000,"Low Income",
IF(Employee_data[[#This Row],[MonthlyIncome]]&lt;10000,"Medium Income","High Income"))</f>
        <v>Low Income</v>
      </c>
      <c r="U456" t="s">
        <v>91</v>
      </c>
      <c r="V456" t="s">
        <v>91</v>
      </c>
      <c r="W456" t="s">
        <v>91</v>
      </c>
      <c r="X456" t="s">
        <v>91</v>
      </c>
      <c r="Y456">
        <v>22645</v>
      </c>
      <c r="Z456">
        <v>4</v>
      </c>
      <c r="AA456" t="s">
        <v>42</v>
      </c>
      <c r="AB456" t="s">
        <v>43</v>
      </c>
      <c r="AC456">
        <v>12</v>
      </c>
      <c r="AD456">
        <v>3</v>
      </c>
      <c r="AE456">
        <v>2</v>
      </c>
      <c r="AF456">
        <v>80</v>
      </c>
      <c r="AG456">
        <v>2</v>
      </c>
      <c r="AH4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56">
        <v>8</v>
      </c>
      <c r="AJ456" t="s">
        <v>74</v>
      </c>
      <c r="AK456">
        <v>2</v>
      </c>
      <c r="AL456" t="s">
        <v>74</v>
      </c>
      <c r="AM456">
        <v>4</v>
      </c>
      <c r="AN456" t="s">
        <v>74</v>
      </c>
      <c r="AO456">
        <v>3</v>
      </c>
      <c r="AP456" t="s">
        <v>74</v>
      </c>
      <c r="AQ456">
        <v>2</v>
      </c>
      <c r="AR456">
        <v>1</v>
      </c>
      <c r="AS456">
        <v>2</v>
      </c>
    </row>
    <row r="457" spans="1:4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 t="str">
        <f>IF(Employee_data[[#This Row],[MonthlyIncome]]&lt;5000,"Low Income",
IF(Employee_data[[#This Row],[MonthlyIncome]]&lt;10000,"Medium Income","High Income"))</f>
        <v>High Income</v>
      </c>
      <c r="U457" t="s">
        <v>90</v>
      </c>
      <c r="V457" t="s">
        <v>90</v>
      </c>
      <c r="W457" t="s">
        <v>90</v>
      </c>
      <c r="X457" t="s">
        <v>90</v>
      </c>
      <c r="Y457">
        <v>22578</v>
      </c>
      <c r="Z457">
        <v>4</v>
      </c>
      <c r="AA457" t="s">
        <v>42</v>
      </c>
      <c r="AB457" t="s">
        <v>43</v>
      </c>
      <c r="AC457">
        <v>19</v>
      </c>
      <c r="AD457">
        <v>3</v>
      </c>
      <c r="AE457">
        <v>3</v>
      </c>
      <c r="AF457">
        <v>80</v>
      </c>
      <c r="AG457">
        <v>1</v>
      </c>
      <c r="AH4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57">
        <v>10</v>
      </c>
      <c r="AJ457" t="s">
        <v>78</v>
      </c>
      <c r="AK457">
        <v>2</v>
      </c>
      <c r="AL457" t="s">
        <v>78</v>
      </c>
      <c r="AM457">
        <v>3</v>
      </c>
      <c r="AN457" t="s">
        <v>78</v>
      </c>
      <c r="AO457">
        <v>6</v>
      </c>
      <c r="AP457" t="s">
        <v>78</v>
      </c>
      <c r="AQ457">
        <v>1</v>
      </c>
      <c r="AR457">
        <v>0</v>
      </c>
      <c r="AS457">
        <v>5</v>
      </c>
    </row>
    <row r="458" spans="1:4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 t="str">
        <f>IF(Employee_data[[#This Row],[MonthlyIncome]]&lt;5000,"Low Income",
IF(Employee_data[[#This Row],[MonthlyIncome]]&lt;10000,"Medium Income","High Income"))</f>
        <v>High Income</v>
      </c>
      <c r="U458" t="s">
        <v>90</v>
      </c>
      <c r="V458" t="s">
        <v>90</v>
      </c>
      <c r="W458" t="s">
        <v>90</v>
      </c>
      <c r="X458" t="s">
        <v>90</v>
      </c>
      <c r="Y458">
        <v>25291</v>
      </c>
      <c r="Z458">
        <v>9</v>
      </c>
      <c r="AA458" t="s">
        <v>42</v>
      </c>
      <c r="AB458" t="s">
        <v>43</v>
      </c>
      <c r="AC458">
        <v>21</v>
      </c>
      <c r="AD458">
        <v>4</v>
      </c>
      <c r="AE458">
        <v>3</v>
      </c>
      <c r="AF458">
        <v>80</v>
      </c>
      <c r="AG458">
        <v>1</v>
      </c>
      <c r="AH4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58">
        <v>10</v>
      </c>
      <c r="AJ458" t="s">
        <v>78</v>
      </c>
      <c r="AK458">
        <v>3</v>
      </c>
      <c r="AL458" t="s">
        <v>78</v>
      </c>
      <c r="AM458">
        <v>2</v>
      </c>
      <c r="AN458" t="s">
        <v>78</v>
      </c>
      <c r="AO458">
        <v>5</v>
      </c>
      <c r="AP458" t="s">
        <v>78</v>
      </c>
      <c r="AQ458">
        <v>4</v>
      </c>
      <c r="AR458">
        <v>0</v>
      </c>
      <c r="AS458">
        <v>1</v>
      </c>
    </row>
    <row r="459" spans="1:4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 t="str">
        <f>IF(Employee_data[[#This Row],[MonthlyIncome]]&lt;5000,"Low Income",
IF(Employee_data[[#This Row],[MonthlyIncome]]&lt;10000,"Medium Income","High Income"))</f>
        <v>Low Income</v>
      </c>
      <c r="U459" t="s">
        <v>91</v>
      </c>
      <c r="V459" t="s">
        <v>91</v>
      </c>
      <c r="W459" t="s">
        <v>91</v>
      </c>
      <c r="X459" t="s">
        <v>91</v>
      </c>
      <c r="Y459">
        <v>8059</v>
      </c>
      <c r="Z459">
        <v>1</v>
      </c>
      <c r="AA459" t="s">
        <v>42</v>
      </c>
      <c r="AB459" t="s">
        <v>35</v>
      </c>
      <c r="AC459">
        <v>14</v>
      </c>
      <c r="AD459">
        <v>3</v>
      </c>
      <c r="AE459">
        <v>4</v>
      </c>
      <c r="AF459">
        <v>80</v>
      </c>
      <c r="AG459">
        <v>0</v>
      </c>
      <c r="AH4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59">
        <v>0</v>
      </c>
      <c r="AJ459" t="s">
        <v>74</v>
      </c>
      <c r="AK459">
        <v>3</v>
      </c>
      <c r="AL459" t="s">
        <v>74</v>
      </c>
      <c r="AM459">
        <v>3</v>
      </c>
      <c r="AN459" t="s">
        <v>74</v>
      </c>
      <c r="AO459">
        <v>0</v>
      </c>
      <c r="AP459" t="s">
        <v>74</v>
      </c>
      <c r="AQ459">
        <v>0</v>
      </c>
      <c r="AR459">
        <v>0</v>
      </c>
      <c r="AS459">
        <v>0</v>
      </c>
    </row>
    <row r="460" spans="1:4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 t="str">
        <f>IF(Employee_data[[#This Row],[MonthlyIncome]]&lt;5000,"Low Income",
IF(Employee_data[[#This Row],[MonthlyIncome]]&lt;10000,"Medium Income","High Income"))</f>
        <v>High Income</v>
      </c>
      <c r="U460" t="s">
        <v>90</v>
      </c>
      <c r="V460" t="s">
        <v>90</v>
      </c>
      <c r="W460" t="s">
        <v>90</v>
      </c>
      <c r="X460" t="s">
        <v>90</v>
      </c>
      <c r="Y460">
        <v>11373</v>
      </c>
      <c r="Z460">
        <v>3</v>
      </c>
      <c r="AA460" t="s">
        <v>42</v>
      </c>
      <c r="AB460" t="s">
        <v>43</v>
      </c>
      <c r="AC460">
        <v>15</v>
      </c>
      <c r="AD460">
        <v>3</v>
      </c>
      <c r="AE460">
        <v>3</v>
      </c>
      <c r="AF460">
        <v>80</v>
      </c>
      <c r="AG460">
        <v>1</v>
      </c>
      <c r="AH4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60">
        <v>20</v>
      </c>
      <c r="AJ460" t="s">
        <v>74</v>
      </c>
      <c r="AK460">
        <v>2</v>
      </c>
      <c r="AL460" t="s">
        <v>74</v>
      </c>
      <c r="AM460">
        <v>3</v>
      </c>
      <c r="AN460" t="s">
        <v>74</v>
      </c>
      <c r="AO460">
        <v>1</v>
      </c>
      <c r="AP460" t="s">
        <v>74</v>
      </c>
      <c r="AQ460">
        <v>0</v>
      </c>
      <c r="AR460">
        <v>0</v>
      </c>
      <c r="AS460">
        <v>1</v>
      </c>
    </row>
    <row r="461" spans="1:4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 t="str">
        <f>IF(Employee_data[[#This Row],[MonthlyIncome]]&lt;5000,"Low Income",
IF(Employee_data[[#This Row],[MonthlyIncome]]&lt;10000,"Medium Income","High Income"))</f>
        <v>Medium Income</v>
      </c>
      <c r="U461" t="s">
        <v>92</v>
      </c>
      <c r="V461" t="s">
        <v>92</v>
      </c>
      <c r="W461" t="s">
        <v>92</v>
      </c>
      <c r="X461" t="s">
        <v>92</v>
      </c>
      <c r="Y461">
        <v>2112</v>
      </c>
      <c r="Z461">
        <v>2</v>
      </c>
      <c r="AA461" t="s">
        <v>42</v>
      </c>
      <c r="AB461" t="s">
        <v>35</v>
      </c>
      <c r="AC461">
        <v>17</v>
      </c>
      <c r="AD461">
        <v>3</v>
      </c>
      <c r="AE461">
        <v>1</v>
      </c>
      <c r="AF461">
        <v>80</v>
      </c>
      <c r="AG461">
        <v>0</v>
      </c>
      <c r="AH4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61">
        <v>10</v>
      </c>
      <c r="AJ461" t="s">
        <v>78</v>
      </c>
      <c r="AK461">
        <v>3</v>
      </c>
      <c r="AL461" t="s">
        <v>78</v>
      </c>
      <c r="AM461">
        <v>3</v>
      </c>
      <c r="AN461" t="s">
        <v>78</v>
      </c>
      <c r="AO461">
        <v>8</v>
      </c>
      <c r="AP461" t="s">
        <v>78</v>
      </c>
      <c r="AQ461">
        <v>7</v>
      </c>
      <c r="AR461">
        <v>0</v>
      </c>
      <c r="AS461">
        <v>7</v>
      </c>
    </row>
    <row r="462" spans="1:4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 t="str">
        <f>IF(Employee_data[[#This Row],[MonthlyIncome]]&lt;5000,"Low Income",
IF(Employee_data[[#This Row],[MonthlyIncome]]&lt;10000,"Medium Income","High Income"))</f>
        <v>Low Income</v>
      </c>
      <c r="U462" t="s">
        <v>91</v>
      </c>
      <c r="V462" t="s">
        <v>91</v>
      </c>
      <c r="W462" t="s">
        <v>91</v>
      </c>
      <c r="X462" t="s">
        <v>91</v>
      </c>
      <c r="Y462">
        <v>4267</v>
      </c>
      <c r="Z462">
        <v>5</v>
      </c>
      <c r="AA462" t="s">
        <v>42</v>
      </c>
      <c r="AB462" t="s">
        <v>43</v>
      </c>
      <c r="AC462">
        <v>12</v>
      </c>
      <c r="AD462">
        <v>3</v>
      </c>
      <c r="AE462">
        <v>1</v>
      </c>
      <c r="AF462">
        <v>80</v>
      </c>
      <c r="AG462">
        <v>2</v>
      </c>
      <c r="AH4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62">
        <v>8</v>
      </c>
      <c r="AJ462" t="s">
        <v>74</v>
      </c>
      <c r="AK462">
        <v>5</v>
      </c>
      <c r="AL462" t="s">
        <v>74</v>
      </c>
      <c r="AM462">
        <v>3</v>
      </c>
      <c r="AN462" t="s">
        <v>74</v>
      </c>
      <c r="AO462">
        <v>0</v>
      </c>
      <c r="AP462" t="s">
        <v>74</v>
      </c>
      <c r="AQ462">
        <v>0</v>
      </c>
      <c r="AR462">
        <v>0</v>
      </c>
      <c r="AS462">
        <v>0</v>
      </c>
    </row>
    <row r="463" spans="1:4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 t="str">
        <f>IF(Employee_data[[#This Row],[MonthlyIncome]]&lt;5000,"Low Income",
IF(Employee_data[[#This Row],[MonthlyIncome]]&lt;10000,"Medium Income","High Income"))</f>
        <v>Low Income</v>
      </c>
      <c r="U463" t="s">
        <v>91</v>
      </c>
      <c r="V463" t="s">
        <v>91</v>
      </c>
      <c r="W463" t="s">
        <v>91</v>
      </c>
      <c r="X463" t="s">
        <v>91</v>
      </c>
      <c r="Y463">
        <v>6698</v>
      </c>
      <c r="Z463">
        <v>1</v>
      </c>
      <c r="AA463" t="s">
        <v>42</v>
      </c>
      <c r="AB463" t="s">
        <v>43</v>
      </c>
      <c r="AC463">
        <v>16</v>
      </c>
      <c r="AD463">
        <v>3</v>
      </c>
      <c r="AE463">
        <v>4</v>
      </c>
      <c r="AF463">
        <v>80</v>
      </c>
      <c r="AG463">
        <v>0</v>
      </c>
      <c r="AH4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63">
        <v>5</v>
      </c>
      <c r="AJ463" t="s">
        <v>78</v>
      </c>
      <c r="AK463">
        <v>3</v>
      </c>
      <c r="AL463" t="s">
        <v>78</v>
      </c>
      <c r="AM463">
        <v>3</v>
      </c>
      <c r="AN463" t="s">
        <v>78</v>
      </c>
      <c r="AO463">
        <v>5</v>
      </c>
      <c r="AP463" t="s">
        <v>78</v>
      </c>
      <c r="AQ463">
        <v>4</v>
      </c>
      <c r="AR463">
        <v>0</v>
      </c>
      <c r="AS463">
        <v>3</v>
      </c>
    </row>
    <row r="464" spans="1:4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 t="str">
        <f>IF(Employee_data[[#This Row],[MonthlyIncome]]&lt;5000,"Low Income",
IF(Employee_data[[#This Row],[MonthlyIncome]]&lt;10000,"Medium Income","High Income"))</f>
        <v>Medium Income</v>
      </c>
      <c r="U464" t="s">
        <v>92</v>
      </c>
      <c r="V464" t="s">
        <v>92</v>
      </c>
      <c r="W464" t="s">
        <v>92</v>
      </c>
      <c r="X464" t="s">
        <v>92</v>
      </c>
      <c r="Y464">
        <v>19921</v>
      </c>
      <c r="Z464">
        <v>1</v>
      </c>
      <c r="AA464" t="s">
        <v>42</v>
      </c>
      <c r="AB464" t="s">
        <v>43</v>
      </c>
      <c r="AC464">
        <v>12</v>
      </c>
      <c r="AD464">
        <v>3</v>
      </c>
      <c r="AE464">
        <v>4</v>
      </c>
      <c r="AF464">
        <v>80</v>
      </c>
      <c r="AG464">
        <v>0</v>
      </c>
      <c r="AH4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64">
        <v>10</v>
      </c>
      <c r="AJ464" t="s">
        <v>75</v>
      </c>
      <c r="AK464">
        <v>3</v>
      </c>
      <c r="AL464" t="s">
        <v>75</v>
      </c>
      <c r="AM464">
        <v>3</v>
      </c>
      <c r="AN464" t="s">
        <v>75</v>
      </c>
      <c r="AO464">
        <v>10</v>
      </c>
      <c r="AP464" t="s">
        <v>75</v>
      </c>
      <c r="AQ464">
        <v>7</v>
      </c>
      <c r="AR464">
        <v>5</v>
      </c>
      <c r="AS464">
        <v>7</v>
      </c>
    </row>
    <row r="465" spans="1:4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 t="str">
        <f>IF(Employee_data[[#This Row],[MonthlyIncome]]&lt;5000,"Low Income",
IF(Employee_data[[#This Row],[MonthlyIncome]]&lt;10000,"Medium Income","High Income"))</f>
        <v>Low Income</v>
      </c>
      <c r="U465" t="s">
        <v>91</v>
      </c>
      <c r="V465" t="s">
        <v>91</v>
      </c>
      <c r="W465" t="s">
        <v>91</v>
      </c>
      <c r="X465" t="s">
        <v>91</v>
      </c>
      <c r="Y465">
        <v>23213</v>
      </c>
      <c r="Z465">
        <v>1</v>
      </c>
      <c r="AA465" t="s">
        <v>42</v>
      </c>
      <c r="AB465" t="s">
        <v>35</v>
      </c>
      <c r="AC465">
        <v>18</v>
      </c>
      <c r="AD465">
        <v>3</v>
      </c>
      <c r="AE465">
        <v>2</v>
      </c>
      <c r="AF465">
        <v>80</v>
      </c>
      <c r="AG465">
        <v>0</v>
      </c>
      <c r="AH4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65">
        <v>1</v>
      </c>
      <c r="AJ465" t="s">
        <v>74</v>
      </c>
      <c r="AK465">
        <v>3</v>
      </c>
      <c r="AL465" t="s">
        <v>74</v>
      </c>
      <c r="AM465">
        <v>1</v>
      </c>
      <c r="AN465" t="s">
        <v>74</v>
      </c>
      <c r="AO465">
        <v>1</v>
      </c>
      <c r="AP465" t="s">
        <v>74</v>
      </c>
      <c r="AQ465">
        <v>0</v>
      </c>
      <c r="AR465">
        <v>0</v>
      </c>
      <c r="AS465">
        <v>0</v>
      </c>
    </row>
    <row r="466" spans="1:4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 t="str">
        <f>IF(Employee_data[[#This Row],[MonthlyIncome]]&lt;5000,"Low Income",
IF(Employee_data[[#This Row],[MonthlyIncome]]&lt;10000,"Medium Income","High Income"))</f>
        <v>Medium Income</v>
      </c>
      <c r="U466" t="s">
        <v>92</v>
      </c>
      <c r="V466" t="s">
        <v>92</v>
      </c>
      <c r="W466" t="s">
        <v>92</v>
      </c>
      <c r="X466" t="s">
        <v>92</v>
      </c>
      <c r="Y466">
        <v>23848</v>
      </c>
      <c r="Z466">
        <v>4</v>
      </c>
      <c r="AA466" t="s">
        <v>42</v>
      </c>
      <c r="AB466" t="s">
        <v>43</v>
      </c>
      <c r="AC466">
        <v>17</v>
      </c>
      <c r="AD466">
        <v>3</v>
      </c>
      <c r="AE466">
        <v>4</v>
      </c>
      <c r="AF466">
        <v>80</v>
      </c>
      <c r="AG466">
        <v>0</v>
      </c>
      <c r="AH4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66">
        <v>12</v>
      </c>
      <c r="AJ466" t="s">
        <v>78</v>
      </c>
      <c r="AK466">
        <v>3</v>
      </c>
      <c r="AL466" t="s">
        <v>78</v>
      </c>
      <c r="AM466">
        <v>4</v>
      </c>
      <c r="AN466" t="s">
        <v>78</v>
      </c>
      <c r="AO466">
        <v>6</v>
      </c>
      <c r="AP466" t="s">
        <v>78</v>
      </c>
      <c r="AQ466">
        <v>5</v>
      </c>
      <c r="AR466">
        <v>1</v>
      </c>
      <c r="AS466">
        <v>2</v>
      </c>
    </row>
    <row r="467" spans="1:4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 t="str">
        <f>IF(Employee_data[[#This Row],[MonthlyIncome]]&lt;5000,"Low Income",
IF(Employee_data[[#This Row],[MonthlyIncome]]&lt;10000,"Medium Income","High Income"))</f>
        <v>High Income</v>
      </c>
      <c r="U467" t="s">
        <v>90</v>
      </c>
      <c r="V467" t="s">
        <v>90</v>
      </c>
      <c r="W467" t="s">
        <v>90</v>
      </c>
      <c r="X467" t="s">
        <v>90</v>
      </c>
      <c r="Y467">
        <v>8984</v>
      </c>
      <c r="Z467">
        <v>5</v>
      </c>
      <c r="AA467" t="s">
        <v>42</v>
      </c>
      <c r="AB467" t="s">
        <v>43</v>
      </c>
      <c r="AC467">
        <v>11</v>
      </c>
      <c r="AD467">
        <v>3</v>
      </c>
      <c r="AE467">
        <v>4</v>
      </c>
      <c r="AF467">
        <v>80</v>
      </c>
      <c r="AG467">
        <v>0</v>
      </c>
      <c r="AH4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67">
        <v>28</v>
      </c>
      <c r="AJ467" t="s">
        <v>74</v>
      </c>
      <c r="AK467">
        <v>3</v>
      </c>
      <c r="AL467" t="s">
        <v>74</v>
      </c>
      <c r="AM467">
        <v>2</v>
      </c>
      <c r="AN467" t="s">
        <v>74</v>
      </c>
      <c r="AO467">
        <v>2</v>
      </c>
      <c r="AP467" t="s">
        <v>74</v>
      </c>
      <c r="AQ467">
        <v>2</v>
      </c>
      <c r="AR467">
        <v>1</v>
      </c>
      <c r="AS467">
        <v>2</v>
      </c>
    </row>
    <row r="468" spans="1:4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 t="str">
        <f>IF(Employee_data[[#This Row],[MonthlyIncome]]&lt;5000,"Low Income",
IF(Employee_data[[#This Row],[MonthlyIncome]]&lt;10000,"Medium Income","High Income"))</f>
        <v>High Income</v>
      </c>
      <c r="U468" t="s">
        <v>90</v>
      </c>
      <c r="V468" t="s">
        <v>90</v>
      </c>
      <c r="W468" t="s">
        <v>90</v>
      </c>
      <c r="X468" t="s">
        <v>90</v>
      </c>
      <c r="Y468">
        <v>5626</v>
      </c>
      <c r="Z468">
        <v>7</v>
      </c>
      <c r="AA468" t="s">
        <v>42</v>
      </c>
      <c r="AB468" t="s">
        <v>43</v>
      </c>
      <c r="AC468">
        <v>16</v>
      </c>
      <c r="AD468">
        <v>3</v>
      </c>
      <c r="AE468">
        <v>2</v>
      </c>
      <c r="AF468">
        <v>80</v>
      </c>
      <c r="AG468">
        <v>1</v>
      </c>
      <c r="AH4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468">
        <v>22</v>
      </c>
      <c r="AJ468" t="s">
        <v>76</v>
      </c>
      <c r="AK468">
        <v>2</v>
      </c>
      <c r="AL468" t="s">
        <v>76</v>
      </c>
      <c r="AM468">
        <v>3</v>
      </c>
      <c r="AN468" t="s">
        <v>76</v>
      </c>
      <c r="AO468">
        <v>18</v>
      </c>
      <c r="AP468" t="s">
        <v>76</v>
      </c>
      <c r="AQ468">
        <v>16</v>
      </c>
      <c r="AR468">
        <v>11</v>
      </c>
      <c r="AS468">
        <v>8</v>
      </c>
    </row>
    <row r="469" spans="1:4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 t="str">
        <f>IF(Employee_data[[#This Row],[MonthlyIncome]]&lt;5000,"Low Income",
IF(Employee_data[[#This Row],[MonthlyIncome]]&lt;10000,"Medium Income","High Income"))</f>
        <v>Medium Income</v>
      </c>
      <c r="U469" t="s">
        <v>92</v>
      </c>
      <c r="V469" t="s">
        <v>92</v>
      </c>
      <c r="W469" t="s">
        <v>92</v>
      </c>
      <c r="X469" t="s">
        <v>92</v>
      </c>
      <c r="Y469">
        <v>24666</v>
      </c>
      <c r="Z469">
        <v>1</v>
      </c>
      <c r="AA469" t="s">
        <v>42</v>
      </c>
      <c r="AB469" t="s">
        <v>43</v>
      </c>
      <c r="AC469">
        <v>13</v>
      </c>
      <c r="AD469">
        <v>3</v>
      </c>
      <c r="AE469">
        <v>4</v>
      </c>
      <c r="AF469">
        <v>80</v>
      </c>
      <c r="AG469">
        <v>1</v>
      </c>
      <c r="AH4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69">
        <v>9</v>
      </c>
      <c r="AJ469" t="s">
        <v>78</v>
      </c>
      <c r="AK469">
        <v>6</v>
      </c>
      <c r="AL469" t="s">
        <v>78</v>
      </c>
      <c r="AM469">
        <v>3</v>
      </c>
      <c r="AN469" t="s">
        <v>78</v>
      </c>
      <c r="AO469">
        <v>9</v>
      </c>
      <c r="AP469" t="s">
        <v>78</v>
      </c>
      <c r="AQ469">
        <v>5</v>
      </c>
      <c r="AR469">
        <v>7</v>
      </c>
      <c r="AS469">
        <v>7</v>
      </c>
    </row>
    <row r="470" spans="1:4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 t="str">
        <f>IF(Employee_data[[#This Row],[MonthlyIncome]]&lt;5000,"Low Income",
IF(Employee_data[[#This Row],[MonthlyIncome]]&lt;10000,"Medium Income","High Income"))</f>
        <v>Medium Income</v>
      </c>
      <c r="U470" t="s">
        <v>92</v>
      </c>
      <c r="V470" t="s">
        <v>92</v>
      </c>
      <c r="W470" t="s">
        <v>92</v>
      </c>
      <c r="X470" t="s">
        <v>92</v>
      </c>
      <c r="Y470">
        <v>22087</v>
      </c>
      <c r="Z470">
        <v>3</v>
      </c>
      <c r="AA470" t="s">
        <v>42</v>
      </c>
      <c r="AB470" t="s">
        <v>35</v>
      </c>
      <c r="AC470">
        <v>12</v>
      </c>
      <c r="AD470">
        <v>3</v>
      </c>
      <c r="AE470">
        <v>2</v>
      </c>
      <c r="AF470">
        <v>80</v>
      </c>
      <c r="AG470">
        <v>2</v>
      </c>
      <c r="AH4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70">
        <v>18</v>
      </c>
      <c r="AJ470" t="s">
        <v>75</v>
      </c>
      <c r="AK470">
        <v>3</v>
      </c>
      <c r="AL470" t="s">
        <v>75</v>
      </c>
      <c r="AM470">
        <v>3</v>
      </c>
      <c r="AN470" t="s">
        <v>75</v>
      </c>
      <c r="AO470">
        <v>10</v>
      </c>
      <c r="AP470" t="s">
        <v>75</v>
      </c>
      <c r="AQ470">
        <v>9</v>
      </c>
      <c r="AR470">
        <v>6</v>
      </c>
      <c r="AS470">
        <v>9</v>
      </c>
    </row>
    <row r="471" spans="1:4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 t="str">
        <f>IF(Employee_data[[#This Row],[MonthlyIncome]]&lt;5000,"Low Income",
IF(Employee_data[[#This Row],[MonthlyIncome]]&lt;10000,"Medium Income","High Income"))</f>
        <v>Low Income</v>
      </c>
      <c r="U471" t="s">
        <v>91</v>
      </c>
      <c r="V471" t="s">
        <v>91</v>
      </c>
      <c r="W471" t="s">
        <v>91</v>
      </c>
      <c r="X471" t="s">
        <v>91</v>
      </c>
      <c r="Y471">
        <v>23914</v>
      </c>
      <c r="Z471">
        <v>8</v>
      </c>
      <c r="AA471" t="s">
        <v>42</v>
      </c>
      <c r="AB471" t="s">
        <v>43</v>
      </c>
      <c r="AC471">
        <v>12</v>
      </c>
      <c r="AD471">
        <v>3</v>
      </c>
      <c r="AE471">
        <v>4</v>
      </c>
      <c r="AF471">
        <v>80</v>
      </c>
      <c r="AG471">
        <v>0</v>
      </c>
      <c r="AH4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71">
        <v>6</v>
      </c>
      <c r="AJ471" t="s">
        <v>74</v>
      </c>
      <c r="AK471">
        <v>2</v>
      </c>
      <c r="AL471" t="s">
        <v>74</v>
      </c>
      <c r="AM471">
        <v>3</v>
      </c>
      <c r="AN471" t="s">
        <v>74</v>
      </c>
      <c r="AO471">
        <v>4</v>
      </c>
      <c r="AP471" t="s">
        <v>74</v>
      </c>
      <c r="AQ471">
        <v>2</v>
      </c>
      <c r="AR471">
        <v>1</v>
      </c>
      <c r="AS471">
        <v>2</v>
      </c>
    </row>
    <row r="472" spans="1:4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 t="str">
        <f>IF(Employee_data[[#This Row],[MonthlyIncome]]&lt;5000,"Low Income",
IF(Employee_data[[#This Row],[MonthlyIncome]]&lt;10000,"Medium Income","High Income"))</f>
        <v>Low Income</v>
      </c>
      <c r="U472" t="s">
        <v>91</v>
      </c>
      <c r="V472" t="s">
        <v>91</v>
      </c>
      <c r="W472" t="s">
        <v>91</v>
      </c>
      <c r="X472" t="s">
        <v>91</v>
      </c>
      <c r="Y472">
        <v>5530</v>
      </c>
      <c r="Z472">
        <v>0</v>
      </c>
      <c r="AA472" t="s">
        <v>42</v>
      </c>
      <c r="AB472" t="s">
        <v>43</v>
      </c>
      <c r="AC472">
        <v>13</v>
      </c>
      <c r="AD472">
        <v>3</v>
      </c>
      <c r="AE472">
        <v>3</v>
      </c>
      <c r="AF472">
        <v>80</v>
      </c>
      <c r="AG472">
        <v>2</v>
      </c>
      <c r="AH4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72">
        <v>3</v>
      </c>
      <c r="AJ472" t="s">
        <v>74</v>
      </c>
      <c r="AK472">
        <v>3</v>
      </c>
      <c r="AL472" t="s">
        <v>74</v>
      </c>
      <c r="AM472">
        <v>3</v>
      </c>
      <c r="AN472" t="s">
        <v>74</v>
      </c>
      <c r="AO472">
        <v>2</v>
      </c>
      <c r="AP472" t="s">
        <v>74</v>
      </c>
      <c r="AQ472">
        <v>2</v>
      </c>
      <c r="AR472">
        <v>2</v>
      </c>
      <c r="AS472">
        <v>1</v>
      </c>
    </row>
    <row r="473" spans="1:4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 t="str">
        <f>IF(Employee_data[[#This Row],[MonthlyIncome]]&lt;5000,"Low Income",
IF(Employee_data[[#This Row],[MonthlyIncome]]&lt;10000,"Medium Income","High Income"))</f>
        <v>Medium Income</v>
      </c>
      <c r="U473" t="s">
        <v>92</v>
      </c>
      <c r="V473" t="s">
        <v>92</v>
      </c>
      <c r="W473" t="s">
        <v>92</v>
      </c>
      <c r="X473" t="s">
        <v>92</v>
      </c>
      <c r="Y473">
        <v>22174</v>
      </c>
      <c r="Z473">
        <v>3</v>
      </c>
      <c r="AA473" t="s">
        <v>42</v>
      </c>
      <c r="AB473" t="s">
        <v>43</v>
      </c>
      <c r="AC473">
        <v>19</v>
      </c>
      <c r="AD473">
        <v>3</v>
      </c>
      <c r="AE473">
        <v>3</v>
      </c>
      <c r="AF473">
        <v>80</v>
      </c>
      <c r="AG473">
        <v>1</v>
      </c>
      <c r="AH4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73">
        <v>18</v>
      </c>
      <c r="AJ473" t="s">
        <v>74</v>
      </c>
      <c r="AK473">
        <v>4</v>
      </c>
      <c r="AL473" t="s">
        <v>74</v>
      </c>
      <c r="AM473">
        <v>3</v>
      </c>
      <c r="AN473" t="s">
        <v>74</v>
      </c>
      <c r="AO473">
        <v>1</v>
      </c>
      <c r="AP473" t="s">
        <v>74</v>
      </c>
      <c r="AQ473">
        <v>0</v>
      </c>
      <c r="AR473">
        <v>0</v>
      </c>
      <c r="AS473">
        <v>0</v>
      </c>
    </row>
    <row r="474" spans="1:4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 t="str">
        <f>IF(Employee_data[[#This Row],[MonthlyIncome]]&lt;5000,"Low Income",
IF(Employee_data[[#This Row],[MonthlyIncome]]&lt;10000,"Medium Income","High Income"))</f>
        <v>Medium Income</v>
      </c>
      <c r="U474" t="s">
        <v>92</v>
      </c>
      <c r="V474" t="s">
        <v>92</v>
      </c>
      <c r="W474" t="s">
        <v>92</v>
      </c>
      <c r="X474" t="s">
        <v>92</v>
      </c>
      <c r="Y474">
        <v>15701</v>
      </c>
      <c r="Z474">
        <v>6</v>
      </c>
      <c r="AA474" t="s">
        <v>42</v>
      </c>
      <c r="AB474" t="s">
        <v>43</v>
      </c>
      <c r="AC474">
        <v>12</v>
      </c>
      <c r="AD474">
        <v>3</v>
      </c>
      <c r="AE474">
        <v>2</v>
      </c>
      <c r="AF474">
        <v>80</v>
      </c>
      <c r="AG474">
        <v>1</v>
      </c>
      <c r="AH4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74">
        <v>8</v>
      </c>
      <c r="AJ474" t="s">
        <v>78</v>
      </c>
      <c r="AK474">
        <v>2</v>
      </c>
      <c r="AL474" t="s">
        <v>78</v>
      </c>
      <c r="AM474">
        <v>2</v>
      </c>
      <c r="AN474" t="s">
        <v>78</v>
      </c>
      <c r="AO474">
        <v>6</v>
      </c>
      <c r="AP474" t="s">
        <v>78</v>
      </c>
      <c r="AQ474">
        <v>5</v>
      </c>
      <c r="AR474">
        <v>4</v>
      </c>
      <c r="AS474">
        <v>3</v>
      </c>
    </row>
    <row r="475" spans="1:4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 t="str">
        <f>IF(Employee_data[[#This Row],[MonthlyIncome]]&lt;5000,"Low Income",
IF(Employee_data[[#This Row],[MonthlyIncome]]&lt;10000,"Medium Income","High Income"))</f>
        <v>High Income</v>
      </c>
      <c r="U475" t="s">
        <v>90</v>
      </c>
      <c r="V475" t="s">
        <v>90</v>
      </c>
      <c r="W475" t="s">
        <v>90</v>
      </c>
      <c r="X475" t="s">
        <v>90</v>
      </c>
      <c r="Y475">
        <v>2125</v>
      </c>
      <c r="Z475">
        <v>1</v>
      </c>
      <c r="AA475" t="s">
        <v>42</v>
      </c>
      <c r="AB475" t="s">
        <v>35</v>
      </c>
      <c r="AC475">
        <v>17</v>
      </c>
      <c r="AD475">
        <v>3</v>
      </c>
      <c r="AE475">
        <v>3</v>
      </c>
      <c r="AF475">
        <v>80</v>
      </c>
      <c r="AG475">
        <v>1</v>
      </c>
      <c r="AH4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475">
        <v>31</v>
      </c>
      <c r="AJ475" t="s">
        <v>77</v>
      </c>
      <c r="AK475">
        <v>5</v>
      </c>
      <c r="AL475" t="s">
        <v>77</v>
      </c>
      <c r="AM475">
        <v>3</v>
      </c>
      <c r="AN475" t="s">
        <v>77</v>
      </c>
      <c r="AO475">
        <v>31</v>
      </c>
      <c r="AP475" t="s">
        <v>77</v>
      </c>
      <c r="AQ475">
        <v>9</v>
      </c>
      <c r="AR475">
        <v>0</v>
      </c>
      <c r="AS475">
        <v>9</v>
      </c>
    </row>
    <row r="476" spans="1:4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 t="str">
        <f>IF(Employee_data[[#This Row],[MonthlyIncome]]&lt;5000,"Low Income",
IF(Employee_data[[#This Row],[MonthlyIncome]]&lt;10000,"Medium Income","High Income"))</f>
        <v>Low Income</v>
      </c>
      <c r="U476" t="s">
        <v>91</v>
      </c>
      <c r="V476" t="s">
        <v>91</v>
      </c>
      <c r="W476" t="s">
        <v>91</v>
      </c>
      <c r="X476" t="s">
        <v>91</v>
      </c>
      <c r="Y476">
        <v>21630</v>
      </c>
      <c r="Z476">
        <v>1</v>
      </c>
      <c r="AA476" t="s">
        <v>42</v>
      </c>
      <c r="AB476" t="s">
        <v>35</v>
      </c>
      <c r="AC476">
        <v>11</v>
      </c>
      <c r="AD476">
        <v>3</v>
      </c>
      <c r="AE476">
        <v>2</v>
      </c>
      <c r="AF476">
        <v>80</v>
      </c>
      <c r="AG476">
        <v>2</v>
      </c>
      <c r="AH4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76">
        <v>6</v>
      </c>
      <c r="AJ476" t="s">
        <v>78</v>
      </c>
      <c r="AK476">
        <v>3</v>
      </c>
      <c r="AL476" t="s">
        <v>78</v>
      </c>
      <c r="AM476">
        <v>3</v>
      </c>
      <c r="AN476" t="s">
        <v>78</v>
      </c>
      <c r="AO476">
        <v>6</v>
      </c>
      <c r="AP476" t="s">
        <v>78</v>
      </c>
      <c r="AQ476">
        <v>5</v>
      </c>
      <c r="AR476">
        <v>1</v>
      </c>
      <c r="AS476">
        <v>4</v>
      </c>
    </row>
    <row r="477" spans="1:4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 t="str">
        <f>IF(Employee_data[[#This Row],[MonthlyIncome]]&lt;5000,"Low Income",
IF(Employee_data[[#This Row],[MonthlyIncome]]&lt;10000,"Medium Income","High Income"))</f>
        <v>Medium Income</v>
      </c>
      <c r="U477" t="s">
        <v>92</v>
      </c>
      <c r="V477" t="s">
        <v>92</v>
      </c>
      <c r="W477" t="s">
        <v>92</v>
      </c>
      <c r="X477" t="s">
        <v>92</v>
      </c>
      <c r="Y477">
        <v>7428</v>
      </c>
      <c r="Z477">
        <v>1</v>
      </c>
      <c r="AA477" t="s">
        <v>42</v>
      </c>
      <c r="AB477" t="s">
        <v>43</v>
      </c>
      <c r="AC477">
        <v>20</v>
      </c>
      <c r="AD477">
        <v>4</v>
      </c>
      <c r="AE477">
        <v>4</v>
      </c>
      <c r="AF477">
        <v>80</v>
      </c>
      <c r="AG477">
        <v>2</v>
      </c>
      <c r="AH4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77">
        <v>6</v>
      </c>
      <c r="AJ477" t="s">
        <v>78</v>
      </c>
      <c r="AK477">
        <v>5</v>
      </c>
      <c r="AL477" t="s">
        <v>78</v>
      </c>
      <c r="AM477">
        <v>4</v>
      </c>
      <c r="AN477" t="s">
        <v>78</v>
      </c>
      <c r="AO477">
        <v>5</v>
      </c>
      <c r="AP477" t="s">
        <v>78</v>
      </c>
      <c r="AQ477">
        <v>3</v>
      </c>
      <c r="AR477">
        <v>1</v>
      </c>
      <c r="AS477">
        <v>4</v>
      </c>
    </row>
    <row r="478" spans="1:4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 t="str">
        <f>IF(Employee_data[[#This Row],[MonthlyIncome]]&lt;5000,"Low Income",
IF(Employee_data[[#This Row],[MonthlyIncome]]&lt;10000,"Medium Income","High Income"))</f>
        <v>Low Income</v>
      </c>
      <c r="U478" t="s">
        <v>91</v>
      </c>
      <c r="V478" t="s">
        <v>91</v>
      </c>
      <c r="W478" t="s">
        <v>91</v>
      </c>
      <c r="X478" t="s">
        <v>91</v>
      </c>
      <c r="Y478">
        <v>9100</v>
      </c>
      <c r="Z478">
        <v>1</v>
      </c>
      <c r="AA478" t="s">
        <v>42</v>
      </c>
      <c r="AB478" t="s">
        <v>43</v>
      </c>
      <c r="AC478">
        <v>21</v>
      </c>
      <c r="AD478">
        <v>4</v>
      </c>
      <c r="AE478">
        <v>4</v>
      </c>
      <c r="AF478">
        <v>80</v>
      </c>
      <c r="AG478">
        <v>1</v>
      </c>
      <c r="AH4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78">
        <v>1</v>
      </c>
      <c r="AJ478" t="s">
        <v>74</v>
      </c>
      <c r="AK478">
        <v>2</v>
      </c>
      <c r="AL478" t="s">
        <v>74</v>
      </c>
      <c r="AM478">
        <v>3</v>
      </c>
      <c r="AN478" t="s">
        <v>74</v>
      </c>
      <c r="AO478">
        <v>1</v>
      </c>
      <c r="AP478" t="s">
        <v>74</v>
      </c>
      <c r="AQ478">
        <v>0</v>
      </c>
      <c r="AR478">
        <v>0</v>
      </c>
      <c r="AS478">
        <v>0</v>
      </c>
    </row>
    <row r="479" spans="1:4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 t="str">
        <f>IF(Employee_data[[#This Row],[MonthlyIncome]]&lt;5000,"Low Income",
IF(Employee_data[[#This Row],[MonthlyIncome]]&lt;10000,"Medium Income","High Income"))</f>
        <v>High Income</v>
      </c>
      <c r="U479" t="s">
        <v>90</v>
      </c>
      <c r="V479" t="s">
        <v>90</v>
      </c>
      <c r="W479" t="s">
        <v>90</v>
      </c>
      <c r="X479" t="s">
        <v>90</v>
      </c>
      <c r="Y479">
        <v>7999</v>
      </c>
      <c r="Z479">
        <v>1</v>
      </c>
      <c r="AA479" t="s">
        <v>42</v>
      </c>
      <c r="AB479" t="s">
        <v>43</v>
      </c>
      <c r="AC479">
        <v>11</v>
      </c>
      <c r="AD479">
        <v>3</v>
      </c>
      <c r="AE479">
        <v>3</v>
      </c>
      <c r="AF479">
        <v>80</v>
      </c>
      <c r="AG479">
        <v>1</v>
      </c>
      <c r="AH4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479">
        <v>32</v>
      </c>
      <c r="AJ479" t="s">
        <v>77</v>
      </c>
      <c r="AK479">
        <v>2</v>
      </c>
      <c r="AL479" t="s">
        <v>77</v>
      </c>
      <c r="AM479">
        <v>3</v>
      </c>
      <c r="AN479" t="s">
        <v>77</v>
      </c>
      <c r="AO479">
        <v>32</v>
      </c>
      <c r="AP479" t="s">
        <v>77</v>
      </c>
      <c r="AQ479">
        <v>5</v>
      </c>
      <c r="AR479">
        <v>10</v>
      </c>
      <c r="AS479">
        <v>7</v>
      </c>
    </row>
    <row r="480" spans="1:4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 t="str">
        <f>IF(Employee_data[[#This Row],[MonthlyIncome]]&lt;5000,"Low Income",
IF(Employee_data[[#This Row],[MonthlyIncome]]&lt;10000,"Medium Income","High Income"))</f>
        <v>Low Income</v>
      </c>
      <c r="U480" t="s">
        <v>91</v>
      </c>
      <c r="V480" t="s">
        <v>91</v>
      </c>
      <c r="W480" t="s">
        <v>91</v>
      </c>
      <c r="X480" t="s">
        <v>91</v>
      </c>
      <c r="Y480">
        <v>26376</v>
      </c>
      <c r="Z480">
        <v>1</v>
      </c>
      <c r="AA480" t="s">
        <v>42</v>
      </c>
      <c r="AB480" t="s">
        <v>43</v>
      </c>
      <c r="AC480">
        <v>11</v>
      </c>
      <c r="AD480">
        <v>3</v>
      </c>
      <c r="AE480">
        <v>3</v>
      </c>
      <c r="AF480">
        <v>80</v>
      </c>
      <c r="AG480">
        <v>0</v>
      </c>
      <c r="AH4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80">
        <v>7</v>
      </c>
      <c r="AJ480" t="s">
        <v>78</v>
      </c>
      <c r="AK480">
        <v>1</v>
      </c>
      <c r="AL480" t="s">
        <v>78</v>
      </c>
      <c r="AM480">
        <v>3</v>
      </c>
      <c r="AN480" t="s">
        <v>78</v>
      </c>
      <c r="AO480">
        <v>7</v>
      </c>
      <c r="AP480" t="s">
        <v>78</v>
      </c>
      <c r="AQ480">
        <v>4</v>
      </c>
      <c r="AR480">
        <v>0</v>
      </c>
      <c r="AS480">
        <v>6</v>
      </c>
    </row>
    <row r="481" spans="1:4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 t="str">
        <f>IF(Employee_data[[#This Row],[MonthlyIncome]]&lt;5000,"Low Income",
IF(Employee_data[[#This Row],[MonthlyIncome]]&lt;10000,"Medium Income","High Income"))</f>
        <v>Low Income</v>
      </c>
      <c r="U481" t="s">
        <v>91</v>
      </c>
      <c r="V481" t="s">
        <v>91</v>
      </c>
      <c r="W481" t="s">
        <v>91</v>
      </c>
      <c r="X481" t="s">
        <v>91</v>
      </c>
      <c r="Y481">
        <v>14168</v>
      </c>
      <c r="Z481">
        <v>1</v>
      </c>
      <c r="AA481" t="s">
        <v>42</v>
      </c>
      <c r="AB481" t="s">
        <v>35</v>
      </c>
      <c r="AC481">
        <v>16</v>
      </c>
      <c r="AD481">
        <v>3</v>
      </c>
      <c r="AE481">
        <v>4</v>
      </c>
      <c r="AF481">
        <v>80</v>
      </c>
      <c r="AG481">
        <v>1</v>
      </c>
      <c r="AH4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81">
        <v>6</v>
      </c>
      <c r="AJ481" t="s">
        <v>78</v>
      </c>
      <c r="AK481">
        <v>4</v>
      </c>
      <c r="AL481" t="s">
        <v>78</v>
      </c>
      <c r="AM481">
        <v>3</v>
      </c>
      <c r="AN481" t="s">
        <v>78</v>
      </c>
      <c r="AO481">
        <v>6</v>
      </c>
      <c r="AP481" t="s">
        <v>78</v>
      </c>
      <c r="AQ481">
        <v>3</v>
      </c>
      <c r="AR481">
        <v>1</v>
      </c>
      <c r="AS481">
        <v>2</v>
      </c>
    </row>
    <row r="482" spans="1:4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 t="str">
        <f>IF(Employee_data[[#This Row],[MonthlyIncome]]&lt;5000,"Low Income",
IF(Employee_data[[#This Row],[MonthlyIncome]]&lt;10000,"Medium Income","High Income"))</f>
        <v>Low Income</v>
      </c>
      <c r="U482" t="s">
        <v>91</v>
      </c>
      <c r="V482" t="s">
        <v>91</v>
      </c>
      <c r="W482" t="s">
        <v>91</v>
      </c>
      <c r="X482" t="s">
        <v>91</v>
      </c>
      <c r="Y482">
        <v>14470</v>
      </c>
      <c r="Z482">
        <v>1</v>
      </c>
      <c r="AA482" t="s">
        <v>42</v>
      </c>
      <c r="AB482" t="s">
        <v>43</v>
      </c>
      <c r="AC482">
        <v>18</v>
      </c>
      <c r="AD482">
        <v>3</v>
      </c>
      <c r="AE482">
        <v>3</v>
      </c>
      <c r="AF482">
        <v>80</v>
      </c>
      <c r="AG482">
        <v>1</v>
      </c>
      <c r="AH4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82">
        <v>1</v>
      </c>
      <c r="AJ482" t="s">
        <v>74</v>
      </c>
      <c r="AK482">
        <v>2</v>
      </c>
      <c r="AL482" t="s">
        <v>74</v>
      </c>
      <c r="AM482">
        <v>4</v>
      </c>
      <c r="AN482" t="s">
        <v>74</v>
      </c>
      <c r="AO482">
        <v>1</v>
      </c>
      <c r="AP482" t="s">
        <v>74</v>
      </c>
      <c r="AQ482">
        <v>0</v>
      </c>
      <c r="AR482">
        <v>0</v>
      </c>
      <c r="AS482">
        <v>0</v>
      </c>
    </row>
    <row r="483" spans="1:4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 t="str">
        <f>IF(Employee_data[[#This Row],[MonthlyIncome]]&lt;5000,"Low Income",
IF(Employee_data[[#This Row],[MonthlyIncome]]&lt;10000,"Medium Income","High Income"))</f>
        <v>Low Income</v>
      </c>
      <c r="U483" t="s">
        <v>91</v>
      </c>
      <c r="V483" t="s">
        <v>91</v>
      </c>
      <c r="W483" t="s">
        <v>91</v>
      </c>
      <c r="X483" t="s">
        <v>91</v>
      </c>
      <c r="Y483">
        <v>22794</v>
      </c>
      <c r="Z483">
        <v>1</v>
      </c>
      <c r="AA483" t="s">
        <v>42</v>
      </c>
      <c r="AB483" t="s">
        <v>35</v>
      </c>
      <c r="AC483">
        <v>13</v>
      </c>
      <c r="AD483">
        <v>3</v>
      </c>
      <c r="AE483">
        <v>4</v>
      </c>
      <c r="AF483">
        <v>80</v>
      </c>
      <c r="AG483">
        <v>1</v>
      </c>
      <c r="AH4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83">
        <v>6</v>
      </c>
      <c r="AJ483" t="s">
        <v>78</v>
      </c>
      <c r="AK483">
        <v>3</v>
      </c>
      <c r="AL483" t="s">
        <v>78</v>
      </c>
      <c r="AM483">
        <v>3</v>
      </c>
      <c r="AN483" t="s">
        <v>78</v>
      </c>
      <c r="AO483">
        <v>6</v>
      </c>
      <c r="AP483" t="s">
        <v>78</v>
      </c>
      <c r="AQ483">
        <v>5</v>
      </c>
      <c r="AR483">
        <v>1</v>
      </c>
      <c r="AS483">
        <v>3</v>
      </c>
    </row>
    <row r="484" spans="1:4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 t="str">
        <f>IF(Employee_data[[#This Row],[MonthlyIncome]]&lt;5000,"Low Income",
IF(Employee_data[[#This Row],[MonthlyIncome]]&lt;10000,"Medium Income","High Income"))</f>
        <v>Low Income</v>
      </c>
      <c r="U484" t="s">
        <v>91</v>
      </c>
      <c r="V484" t="s">
        <v>91</v>
      </c>
      <c r="W484" t="s">
        <v>91</v>
      </c>
      <c r="X484" t="s">
        <v>91</v>
      </c>
      <c r="Y484">
        <v>11512</v>
      </c>
      <c r="Z484">
        <v>2</v>
      </c>
      <c r="AA484" t="s">
        <v>42</v>
      </c>
      <c r="AB484" t="s">
        <v>43</v>
      </c>
      <c r="AC484">
        <v>17</v>
      </c>
      <c r="AD484">
        <v>3</v>
      </c>
      <c r="AE484">
        <v>3</v>
      </c>
      <c r="AF484">
        <v>80</v>
      </c>
      <c r="AG484">
        <v>0</v>
      </c>
      <c r="AH4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84">
        <v>9</v>
      </c>
      <c r="AJ484" t="s">
        <v>74</v>
      </c>
      <c r="AK484">
        <v>2</v>
      </c>
      <c r="AL484" t="s">
        <v>74</v>
      </c>
      <c r="AM484">
        <v>1</v>
      </c>
      <c r="AN484" t="s">
        <v>74</v>
      </c>
      <c r="AO484">
        <v>3</v>
      </c>
      <c r="AP484" t="s">
        <v>74</v>
      </c>
      <c r="AQ484">
        <v>1</v>
      </c>
      <c r="AR484">
        <v>1</v>
      </c>
      <c r="AS484">
        <v>2</v>
      </c>
    </row>
    <row r="485" spans="1:4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 t="str">
        <f>IF(Employee_data[[#This Row],[MonthlyIncome]]&lt;5000,"Low Income",
IF(Employee_data[[#This Row],[MonthlyIncome]]&lt;10000,"Medium Income","High Income"))</f>
        <v>Low Income</v>
      </c>
      <c r="U485" t="s">
        <v>91</v>
      </c>
      <c r="V485" t="s">
        <v>91</v>
      </c>
      <c r="W485" t="s">
        <v>91</v>
      </c>
      <c r="X485" t="s">
        <v>91</v>
      </c>
      <c r="Y485">
        <v>14004</v>
      </c>
      <c r="Z485">
        <v>4</v>
      </c>
      <c r="AA485" t="s">
        <v>42</v>
      </c>
      <c r="AB485" t="s">
        <v>43</v>
      </c>
      <c r="AC485">
        <v>14</v>
      </c>
      <c r="AD485">
        <v>3</v>
      </c>
      <c r="AE485">
        <v>4</v>
      </c>
      <c r="AF485">
        <v>80</v>
      </c>
      <c r="AG485">
        <v>0</v>
      </c>
      <c r="AH4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85">
        <v>9</v>
      </c>
      <c r="AJ485" t="s">
        <v>74</v>
      </c>
      <c r="AK485">
        <v>3</v>
      </c>
      <c r="AL485" t="s">
        <v>74</v>
      </c>
      <c r="AM485">
        <v>3</v>
      </c>
      <c r="AN485" t="s">
        <v>74</v>
      </c>
      <c r="AO485">
        <v>3</v>
      </c>
      <c r="AP485" t="s">
        <v>74</v>
      </c>
      <c r="AQ485">
        <v>2</v>
      </c>
      <c r="AR485">
        <v>0</v>
      </c>
      <c r="AS485">
        <v>2</v>
      </c>
    </row>
    <row r="486" spans="1:4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 t="str">
        <f>IF(Employee_data[[#This Row],[MonthlyIncome]]&lt;5000,"Low Income",
IF(Employee_data[[#This Row],[MonthlyIncome]]&lt;10000,"Medium Income","High Income"))</f>
        <v>Medium Income</v>
      </c>
      <c r="U486" t="s">
        <v>92</v>
      </c>
      <c r="V486" t="s">
        <v>92</v>
      </c>
      <c r="W486" t="s">
        <v>92</v>
      </c>
      <c r="X486" t="s">
        <v>92</v>
      </c>
      <c r="Y486">
        <v>6219</v>
      </c>
      <c r="Z486">
        <v>4</v>
      </c>
      <c r="AA486" t="s">
        <v>42</v>
      </c>
      <c r="AB486" t="s">
        <v>43</v>
      </c>
      <c r="AC486">
        <v>22</v>
      </c>
      <c r="AD486">
        <v>4</v>
      </c>
      <c r="AE486">
        <v>4</v>
      </c>
      <c r="AF486">
        <v>80</v>
      </c>
      <c r="AG486">
        <v>2</v>
      </c>
      <c r="AH4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86">
        <v>13</v>
      </c>
      <c r="AJ486" t="s">
        <v>78</v>
      </c>
      <c r="AK486">
        <v>4</v>
      </c>
      <c r="AL486" t="s">
        <v>78</v>
      </c>
      <c r="AM486">
        <v>4</v>
      </c>
      <c r="AN486" t="s">
        <v>78</v>
      </c>
      <c r="AO486">
        <v>7</v>
      </c>
      <c r="AP486" t="s">
        <v>78</v>
      </c>
      <c r="AQ486">
        <v>7</v>
      </c>
      <c r="AR486">
        <v>5</v>
      </c>
      <c r="AS486">
        <v>7</v>
      </c>
    </row>
    <row r="487" spans="1:4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 t="str">
        <f>IF(Employee_data[[#This Row],[MonthlyIncome]]&lt;5000,"Low Income",
IF(Employee_data[[#This Row],[MonthlyIncome]]&lt;10000,"Medium Income","High Income"))</f>
        <v>Low Income</v>
      </c>
      <c r="U487" t="s">
        <v>91</v>
      </c>
      <c r="V487" t="s">
        <v>91</v>
      </c>
      <c r="W487" t="s">
        <v>91</v>
      </c>
      <c r="X487" t="s">
        <v>91</v>
      </c>
      <c r="Y487">
        <v>5013</v>
      </c>
      <c r="Z487">
        <v>0</v>
      </c>
      <c r="AA487" t="s">
        <v>42</v>
      </c>
      <c r="AB487" t="s">
        <v>43</v>
      </c>
      <c r="AC487">
        <v>12</v>
      </c>
      <c r="AD487">
        <v>3</v>
      </c>
      <c r="AE487">
        <v>3</v>
      </c>
      <c r="AF487">
        <v>80</v>
      </c>
      <c r="AG487">
        <v>2</v>
      </c>
      <c r="AH4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87">
        <v>6</v>
      </c>
      <c r="AJ487" t="s">
        <v>78</v>
      </c>
      <c r="AK487">
        <v>5</v>
      </c>
      <c r="AL487" t="s">
        <v>78</v>
      </c>
      <c r="AM487">
        <v>2</v>
      </c>
      <c r="AN487" t="s">
        <v>78</v>
      </c>
      <c r="AO487">
        <v>5</v>
      </c>
      <c r="AP487" t="s">
        <v>78</v>
      </c>
      <c r="AQ487">
        <v>3</v>
      </c>
      <c r="AR487">
        <v>0</v>
      </c>
      <c r="AS487">
        <v>3</v>
      </c>
    </row>
    <row r="488" spans="1:4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 t="str">
        <f>IF(Employee_data[[#This Row],[MonthlyIncome]]&lt;5000,"Low Income",
IF(Employee_data[[#This Row],[MonthlyIncome]]&lt;10000,"Medium Income","High Income"))</f>
        <v>Medium Income</v>
      </c>
      <c r="U488" t="s">
        <v>92</v>
      </c>
      <c r="V488" t="s">
        <v>92</v>
      </c>
      <c r="W488" t="s">
        <v>92</v>
      </c>
      <c r="X488" t="s">
        <v>92</v>
      </c>
      <c r="Y488">
        <v>3010</v>
      </c>
      <c r="Z488">
        <v>4</v>
      </c>
      <c r="AA488" t="s">
        <v>42</v>
      </c>
      <c r="AB488" t="s">
        <v>35</v>
      </c>
      <c r="AC488">
        <v>11</v>
      </c>
      <c r="AD488">
        <v>3</v>
      </c>
      <c r="AE488">
        <v>3</v>
      </c>
      <c r="AF488">
        <v>80</v>
      </c>
      <c r="AG488">
        <v>1</v>
      </c>
      <c r="AH4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88">
        <v>17</v>
      </c>
      <c r="AJ488" t="s">
        <v>74</v>
      </c>
      <c r="AK488">
        <v>3</v>
      </c>
      <c r="AL488" t="s">
        <v>74</v>
      </c>
      <c r="AM488">
        <v>2</v>
      </c>
      <c r="AN488" t="s">
        <v>74</v>
      </c>
      <c r="AO488">
        <v>3</v>
      </c>
      <c r="AP488" t="s">
        <v>74</v>
      </c>
      <c r="AQ488">
        <v>0</v>
      </c>
      <c r="AR488">
        <v>1</v>
      </c>
      <c r="AS488">
        <v>0</v>
      </c>
    </row>
    <row r="489" spans="1:4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 t="str">
        <f>IF(Employee_data[[#This Row],[MonthlyIncome]]&lt;5000,"Low Income",
IF(Employee_data[[#This Row],[MonthlyIncome]]&lt;10000,"Medium Income","High Income"))</f>
        <v>Low Income</v>
      </c>
      <c r="U489" t="s">
        <v>91</v>
      </c>
      <c r="V489" t="s">
        <v>91</v>
      </c>
      <c r="W489" t="s">
        <v>91</v>
      </c>
      <c r="X489" t="s">
        <v>91</v>
      </c>
      <c r="Y489">
        <v>11757</v>
      </c>
      <c r="Z489">
        <v>1</v>
      </c>
      <c r="AA489" t="s">
        <v>42</v>
      </c>
      <c r="AB489" t="s">
        <v>43</v>
      </c>
      <c r="AC489">
        <v>13</v>
      </c>
      <c r="AD489">
        <v>3</v>
      </c>
      <c r="AE489">
        <v>4</v>
      </c>
      <c r="AF489">
        <v>80</v>
      </c>
      <c r="AG489">
        <v>0</v>
      </c>
      <c r="AH4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89">
        <v>1</v>
      </c>
      <c r="AJ489" t="s">
        <v>74</v>
      </c>
      <c r="AK489">
        <v>0</v>
      </c>
      <c r="AL489" t="s">
        <v>74</v>
      </c>
      <c r="AM489">
        <v>4</v>
      </c>
      <c r="AN489" t="s">
        <v>74</v>
      </c>
      <c r="AO489">
        <v>1</v>
      </c>
      <c r="AP489" t="s">
        <v>74</v>
      </c>
      <c r="AQ489">
        <v>0</v>
      </c>
      <c r="AR489">
        <v>0</v>
      </c>
      <c r="AS489">
        <v>0</v>
      </c>
    </row>
    <row r="490" spans="1:4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 t="str">
        <f>IF(Employee_data[[#This Row],[MonthlyIncome]]&lt;5000,"Low Income",
IF(Employee_data[[#This Row],[MonthlyIncome]]&lt;10000,"Medium Income","High Income"))</f>
        <v>Low Income</v>
      </c>
      <c r="U490" t="s">
        <v>91</v>
      </c>
      <c r="V490" t="s">
        <v>91</v>
      </c>
      <c r="W490" t="s">
        <v>91</v>
      </c>
      <c r="X490" t="s">
        <v>91</v>
      </c>
      <c r="Y490">
        <v>5718</v>
      </c>
      <c r="Z490">
        <v>1</v>
      </c>
      <c r="AA490" t="s">
        <v>42</v>
      </c>
      <c r="AB490" t="s">
        <v>43</v>
      </c>
      <c r="AC490">
        <v>13</v>
      </c>
      <c r="AD490">
        <v>3</v>
      </c>
      <c r="AE490">
        <v>2</v>
      </c>
      <c r="AF490">
        <v>80</v>
      </c>
      <c r="AG490">
        <v>2</v>
      </c>
      <c r="AH4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490">
        <v>10</v>
      </c>
      <c r="AJ490" t="s">
        <v>75</v>
      </c>
      <c r="AK490">
        <v>4</v>
      </c>
      <c r="AL490" t="s">
        <v>75</v>
      </c>
      <c r="AM490">
        <v>3</v>
      </c>
      <c r="AN490" t="s">
        <v>75</v>
      </c>
      <c r="AO490">
        <v>10</v>
      </c>
      <c r="AP490" t="s">
        <v>75</v>
      </c>
      <c r="AQ490">
        <v>2</v>
      </c>
      <c r="AR490">
        <v>2</v>
      </c>
      <c r="AS490">
        <v>2</v>
      </c>
    </row>
    <row r="491" spans="1:4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 t="str">
        <f>IF(Employee_data[[#This Row],[MonthlyIncome]]&lt;5000,"Low Income",
IF(Employee_data[[#This Row],[MonthlyIncome]]&lt;10000,"Medium Income","High Income"))</f>
        <v>High Income</v>
      </c>
      <c r="U491" t="s">
        <v>90</v>
      </c>
      <c r="V491" t="s">
        <v>90</v>
      </c>
      <c r="W491" t="s">
        <v>90</v>
      </c>
      <c r="X491" t="s">
        <v>90</v>
      </c>
      <c r="Y491">
        <v>2671</v>
      </c>
      <c r="Z491">
        <v>4</v>
      </c>
      <c r="AA491" t="s">
        <v>42</v>
      </c>
      <c r="AB491" t="s">
        <v>35</v>
      </c>
      <c r="AC491">
        <v>14</v>
      </c>
      <c r="AD491">
        <v>3</v>
      </c>
      <c r="AE491">
        <v>3</v>
      </c>
      <c r="AF491">
        <v>80</v>
      </c>
      <c r="AG491">
        <v>1</v>
      </c>
      <c r="AH4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91">
        <v>21</v>
      </c>
      <c r="AJ491" t="s">
        <v>74</v>
      </c>
      <c r="AK491">
        <v>3</v>
      </c>
      <c r="AL491" t="s">
        <v>74</v>
      </c>
      <c r="AM491">
        <v>2</v>
      </c>
      <c r="AN491" t="s">
        <v>74</v>
      </c>
      <c r="AO491">
        <v>1</v>
      </c>
      <c r="AP491" t="s">
        <v>74</v>
      </c>
      <c r="AQ491">
        <v>0</v>
      </c>
      <c r="AR491">
        <v>0</v>
      </c>
      <c r="AS491">
        <v>0</v>
      </c>
    </row>
    <row r="492" spans="1:4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 t="str">
        <f>IF(Employee_data[[#This Row],[MonthlyIncome]]&lt;5000,"Low Income",
IF(Employee_data[[#This Row],[MonthlyIncome]]&lt;10000,"Medium Income","High Income"))</f>
        <v>Low Income</v>
      </c>
      <c r="U492" t="s">
        <v>91</v>
      </c>
      <c r="V492" t="s">
        <v>91</v>
      </c>
      <c r="W492" t="s">
        <v>91</v>
      </c>
      <c r="X492" t="s">
        <v>91</v>
      </c>
      <c r="Y492">
        <v>14561</v>
      </c>
      <c r="Z492">
        <v>3</v>
      </c>
      <c r="AA492" t="s">
        <v>42</v>
      </c>
      <c r="AB492" t="s">
        <v>43</v>
      </c>
      <c r="AC492">
        <v>17</v>
      </c>
      <c r="AD492">
        <v>3</v>
      </c>
      <c r="AE492">
        <v>4</v>
      </c>
      <c r="AF492">
        <v>80</v>
      </c>
      <c r="AG492">
        <v>0</v>
      </c>
      <c r="AH4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92">
        <v>8</v>
      </c>
      <c r="AJ492" t="s">
        <v>74</v>
      </c>
      <c r="AK492">
        <v>3</v>
      </c>
      <c r="AL492" t="s">
        <v>74</v>
      </c>
      <c r="AM492">
        <v>2</v>
      </c>
      <c r="AN492" t="s">
        <v>74</v>
      </c>
      <c r="AO492">
        <v>0</v>
      </c>
      <c r="AP492" t="s">
        <v>74</v>
      </c>
      <c r="AQ492">
        <v>0</v>
      </c>
      <c r="AR492">
        <v>0</v>
      </c>
      <c r="AS492">
        <v>0</v>
      </c>
    </row>
    <row r="493" spans="1:4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 t="str">
        <f>IF(Employee_data[[#This Row],[MonthlyIncome]]&lt;5000,"Low Income",
IF(Employee_data[[#This Row],[MonthlyIncome]]&lt;10000,"Medium Income","High Income"))</f>
        <v>Medium Income</v>
      </c>
      <c r="U493" t="s">
        <v>92</v>
      </c>
      <c r="V493" t="s">
        <v>92</v>
      </c>
      <c r="W493" t="s">
        <v>92</v>
      </c>
      <c r="X493" t="s">
        <v>92</v>
      </c>
      <c r="Y493">
        <v>19627</v>
      </c>
      <c r="Z493">
        <v>3</v>
      </c>
      <c r="AA493" t="s">
        <v>42</v>
      </c>
      <c r="AB493" t="s">
        <v>35</v>
      </c>
      <c r="AC493">
        <v>13</v>
      </c>
      <c r="AD493">
        <v>3</v>
      </c>
      <c r="AE493">
        <v>2</v>
      </c>
      <c r="AF493">
        <v>80</v>
      </c>
      <c r="AG493">
        <v>1</v>
      </c>
      <c r="AH4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93">
        <v>10</v>
      </c>
      <c r="AJ493" t="s">
        <v>78</v>
      </c>
      <c r="AK493">
        <v>3</v>
      </c>
      <c r="AL493" t="s">
        <v>78</v>
      </c>
      <c r="AM493">
        <v>3</v>
      </c>
      <c r="AN493" t="s">
        <v>78</v>
      </c>
      <c r="AO493">
        <v>8</v>
      </c>
      <c r="AP493" t="s">
        <v>78</v>
      </c>
      <c r="AQ493">
        <v>7</v>
      </c>
      <c r="AR493">
        <v>4</v>
      </c>
      <c r="AS493">
        <v>7</v>
      </c>
    </row>
    <row r="494" spans="1:4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 t="str">
        <f>IF(Employee_data[[#This Row],[MonthlyIncome]]&lt;5000,"Low Income",
IF(Employee_data[[#This Row],[MonthlyIncome]]&lt;10000,"Medium Income","High Income"))</f>
        <v>High Income</v>
      </c>
      <c r="U494" t="s">
        <v>90</v>
      </c>
      <c r="V494" t="s">
        <v>90</v>
      </c>
      <c r="W494" t="s">
        <v>90</v>
      </c>
      <c r="X494" t="s">
        <v>90</v>
      </c>
      <c r="Y494">
        <v>17997</v>
      </c>
      <c r="Z494">
        <v>7</v>
      </c>
      <c r="AA494" t="s">
        <v>42</v>
      </c>
      <c r="AB494" t="s">
        <v>43</v>
      </c>
      <c r="AC494">
        <v>11</v>
      </c>
      <c r="AD494">
        <v>3</v>
      </c>
      <c r="AE494">
        <v>1</v>
      </c>
      <c r="AF494">
        <v>80</v>
      </c>
      <c r="AG494">
        <v>1</v>
      </c>
      <c r="AH4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94">
        <v>21</v>
      </c>
      <c r="AJ494" t="s">
        <v>74</v>
      </c>
      <c r="AK494">
        <v>3</v>
      </c>
      <c r="AL494" t="s">
        <v>74</v>
      </c>
      <c r="AM494">
        <v>1</v>
      </c>
      <c r="AN494" t="s">
        <v>74</v>
      </c>
      <c r="AO494">
        <v>3</v>
      </c>
      <c r="AP494" t="s">
        <v>74</v>
      </c>
      <c r="AQ494">
        <v>2</v>
      </c>
      <c r="AR494">
        <v>0</v>
      </c>
      <c r="AS494">
        <v>2</v>
      </c>
    </row>
    <row r="495" spans="1:4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 t="str">
        <f>IF(Employee_data[[#This Row],[MonthlyIncome]]&lt;5000,"Low Income",
IF(Employee_data[[#This Row],[MonthlyIncome]]&lt;10000,"Medium Income","High Income"))</f>
        <v>Medium Income</v>
      </c>
      <c r="U495" t="s">
        <v>92</v>
      </c>
      <c r="V495" t="s">
        <v>92</v>
      </c>
      <c r="W495" t="s">
        <v>92</v>
      </c>
      <c r="X495" t="s">
        <v>92</v>
      </c>
      <c r="Y495">
        <v>26894</v>
      </c>
      <c r="Z495">
        <v>4</v>
      </c>
      <c r="AA495" t="s">
        <v>42</v>
      </c>
      <c r="AB495" t="s">
        <v>43</v>
      </c>
      <c r="AC495">
        <v>11</v>
      </c>
      <c r="AD495">
        <v>3</v>
      </c>
      <c r="AE495">
        <v>2</v>
      </c>
      <c r="AF495">
        <v>80</v>
      </c>
      <c r="AG495">
        <v>0</v>
      </c>
      <c r="AH4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95">
        <v>10</v>
      </c>
      <c r="AJ495" t="s">
        <v>74</v>
      </c>
      <c r="AK495">
        <v>1</v>
      </c>
      <c r="AL495" t="s">
        <v>74</v>
      </c>
      <c r="AM495">
        <v>4</v>
      </c>
      <c r="AN495" t="s">
        <v>74</v>
      </c>
      <c r="AO495">
        <v>2</v>
      </c>
      <c r="AP495" t="s">
        <v>74</v>
      </c>
      <c r="AQ495">
        <v>2</v>
      </c>
      <c r="AR495">
        <v>0</v>
      </c>
      <c r="AS495">
        <v>2</v>
      </c>
    </row>
    <row r="496" spans="1:4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 t="str">
        <f>IF(Employee_data[[#This Row],[MonthlyIncome]]&lt;5000,"Low Income",
IF(Employee_data[[#This Row],[MonthlyIncome]]&lt;10000,"Medium Income","High Income"))</f>
        <v>Low Income</v>
      </c>
      <c r="U496" t="s">
        <v>91</v>
      </c>
      <c r="V496" t="s">
        <v>91</v>
      </c>
      <c r="W496" t="s">
        <v>91</v>
      </c>
      <c r="X496" t="s">
        <v>91</v>
      </c>
      <c r="Y496">
        <v>2912</v>
      </c>
      <c r="Z496">
        <v>1</v>
      </c>
      <c r="AA496" t="s">
        <v>42</v>
      </c>
      <c r="AB496" t="s">
        <v>35</v>
      </c>
      <c r="AC496">
        <v>18</v>
      </c>
      <c r="AD496">
        <v>3</v>
      </c>
      <c r="AE496">
        <v>4</v>
      </c>
      <c r="AF496">
        <v>80</v>
      </c>
      <c r="AG496">
        <v>2</v>
      </c>
      <c r="AH4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496">
        <v>8</v>
      </c>
      <c r="AJ496" t="s">
        <v>78</v>
      </c>
      <c r="AK496">
        <v>3</v>
      </c>
      <c r="AL496" t="s">
        <v>78</v>
      </c>
      <c r="AM496">
        <v>3</v>
      </c>
      <c r="AN496" t="s">
        <v>78</v>
      </c>
      <c r="AO496">
        <v>8</v>
      </c>
      <c r="AP496" t="s">
        <v>78</v>
      </c>
      <c r="AQ496">
        <v>2</v>
      </c>
      <c r="AR496">
        <v>0</v>
      </c>
      <c r="AS496">
        <v>6</v>
      </c>
    </row>
    <row r="497" spans="1:4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 t="str">
        <f>IF(Employee_data[[#This Row],[MonthlyIncome]]&lt;5000,"Low Income",
IF(Employee_data[[#This Row],[MonthlyIncome]]&lt;10000,"Medium Income","High Income"))</f>
        <v>Low Income</v>
      </c>
      <c r="U497" t="s">
        <v>91</v>
      </c>
      <c r="V497" t="s">
        <v>91</v>
      </c>
      <c r="W497" t="s">
        <v>91</v>
      </c>
      <c r="X497" t="s">
        <v>91</v>
      </c>
      <c r="Y497">
        <v>16346</v>
      </c>
      <c r="Z497">
        <v>0</v>
      </c>
      <c r="AA497" t="s">
        <v>42</v>
      </c>
      <c r="AB497" t="s">
        <v>43</v>
      </c>
      <c r="AC497">
        <v>11</v>
      </c>
      <c r="AD497">
        <v>3</v>
      </c>
      <c r="AE497">
        <v>2</v>
      </c>
      <c r="AF497">
        <v>80</v>
      </c>
      <c r="AG497">
        <v>1</v>
      </c>
      <c r="AH4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97">
        <v>5</v>
      </c>
      <c r="AJ497" t="s">
        <v>74</v>
      </c>
      <c r="AK497">
        <v>3</v>
      </c>
      <c r="AL497" t="s">
        <v>74</v>
      </c>
      <c r="AM497">
        <v>3</v>
      </c>
      <c r="AN497" t="s">
        <v>74</v>
      </c>
      <c r="AO497">
        <v>4</v>
      </c>
      <c r="AP497" t="s">
        <v>74</v>
      </c>
      <c r="AQ497">
        <v>3</v>
      </c>
      <c r="AR497">
        <v>0</v>
      </c>
      <c r="AS497">
        <v>2</v>
      </c>
    </row>
    <row r="498" spans="1:4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 t="str">
        <f>IF(Employee_data[[#This Row],[MonthlyIncome]]&lt;5000,"Low Income",
IF(Employee_data[[#This Row],[MonthlyIncome]]&lt;10000,"Medium Income","High Income"))</f>
        <v>Low Income</v>
      </c>
      <c r="U498" t="s">
        <v>91</v>
      </c>
      <c r="V498" t="s">
        <v>91</v>
      </c>
      <c r="W498" t="s">
        <v>91</v>
      </c>
      <c r="X498" t="s">
        <v>91</v>
      </c>
      <c r="Y498">
        <v>24444</v>
      </c>
      <c r="Z498">
        <v>1</v>
      </c>
      <c r="AA498" t="s">
        <v>42</v>
      </c>
      <c r="AB498" t="s">
        <v>43</v>
      </c>
      <c r="AC498">
        <v>11</v>
      </c>
      <c r="AD498">
        <v>3</v>
      </c>
      <c r="AE498">
        <v>3</v>
      </c>
      <c r="AF498">
        <v>80</v>
      </c>
      <c r="AG498">
        <v>0</v>
      </c>
      <c r="AH4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98">
        <v>3</v>
      </c>
      <c r="AJ498" t="s">
        <v>74</v>
      </c>
      <c r="AK498">
        <v>2</v>
      </c>
      <c r="AL498" t="s">
        <v>74</v>
      </c>
      <c r="AM498">
        <v>3</v>
      </c>
      <c r="AN498" t="s">
        <v>74</v>
      </c>
      <c r="AO498">
        <v>3</v>
      </c>
      <c r="AP498" t="s">
        <v>74</v>
      </c>
      <c r="AQ498">
        <v>2</v>
      </c>
      <c r="AR498">
        <v>1</v>
      </c>
      <c r="AS498">
        <v>2</v>
      </c>
    </row>
    <row r="499" spans="1:4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 t="str">
        <f>IF(Employee_data[[#This Row],[MonthlyIncome]]&lt;5000,"Low Income",
IF(Employee_data[[#This Row],[MonthlyIncome]]&lt;10000,"Medium Income","High Income"))</f>
        <v>High Income</v>
      </c>
      <c r="U499" t="s">
        <v>90</v>
      </c>
      <c r="V499" t="s">
        <v>90</v>
      </c>
      <c r="W499" t="s">
        <v>90</v>
      </c>
      <c r="X499" t="s">
        <v>90</v>
      </c>
      <c r="Y499">
        <v>9358</v>
      </c>
      <c r="Z499">
        <v>4</v>
      </c>
      <c r="AA499" t="s">
        <v>42</v>
      </c>
      <c r="AB499" t="s">
        <v>35</v>
      </c>
      <c r="AC499">
        <v>12</v>
      </c>
      <c r="AD499">
        <v>3</v>
      </c>
      <c r="AE499">
        <v>1</v>
      </c>
      <c r="AF499">
        <v>80</v>
      </c>
      <c r="AG499">
        <v>1</v>
      </c>
      <c r="AH4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499">
        <v>26</v>
      </c>
      <c r="AJ499" t="s">
        <v>74</v>
      </c>
      <c r="AK499">
        <v>2</v>
      </c>
      <c r="AL499" t="s">
        <v>74</v>
      </c>
      <c r="AM499">
        <v>4</v>
      </c>
      <c r="AN499" t="s">
        <v>74</v>
      </c>
      <c r="AO499">
        <v>2</v>
      </c>
      <c r="AP499" t="s">
        <v>74</v>
      </c>
      <c r="AQ499">
        <v>2</v>
      </c>
      <c r="AR499">
        <v>0</v>
      </c>
      <c r="AS499">
        <v>1</v>
      </c>
    </row>
    <row r="500" spans="1:4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 t="str">
        <f>IF(Employee_data[[#This Row],[MonthlyIncome]]&lt;5000,"Low Income",
IF(Employee_data[[#This Row],[MonthlyIncome]]&lt;10000,"Medium Income","High Income"))</f>
        <v>Low Income</v>
      </c>
      <c r="U500" t="s">
        <v>91</v>
      </c>
      <c r="V500" t="s">
        <v>91</v>
      </c>
      <c r="W500" t="s">
        <v>91</v>
      </c>
      <c r="X500" t="s">
        <v>91</v>
      </c>
      <c r="Y500">
        <v>12145</v>
      </c>
      <c r="Z500">
        <v>0</v>
      </c>
      <c r="AA500" t="s">
        <v>42</v>
      </c>
      <c r="AB500" t="s">
        <v>43</v>
      </c>
      <c r="AC500">
        <v>20</v>
      </c>
      <c r="AD500">
        <v>4</v>
      </c>
      <c r="AE500">
        <v>4</v>
      </c>
      <c r="AF500">
        <v>80</v>
      </c>
      <c r="AG500">
        <v>0</v>
      </c>
      <c r="AH5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00">
        <v>3</v>
      </c>
      <c r="AJ500" t="s">
        <v>74</v>
      </c>
      <c r="AK500">
        <v>3</v>
      </c>
      <c r="AL500" t="s">
        <v>74</v>
      </c>
      <c r="AM500">
        <v>3</v>
      </c>
      <c r="AN500" t="s">
        <v>74</v>
      </c>
      <c r="AO500">
        <v>2</v>
      </c>
      <c r="AP500" t="s">
        <v>74</v>
      </c>
      <c r="AQ500">
        <v>2</v>
      </c>
      <c r="AR500">
        <v>2</v>
      </c>
      <c r="AS500">
        <v>2</v>
      </c>
    </row>
    <row r="501" spans="1:4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 t="str">
        <f>IF(Employee_data[[#This Row],[MonthlyIncome]]&lt;5000,"Low Income",
IF(Employee_data[[#This Row],[MonthlyIncome]]&lt;10000,"Medium Income","High Income"))</f>
        <v>Medium Income</v>
      </c>
      <c r="U501" t="s">
        <v>92</v>
      </c>
      <c r="V501" t="s">
        <v>92</v>
      </c>
      <c r="W501" t="s">
        <v>92</v>
      </c>
      <c r="X501" t="s">
        <v>92</v>
      </c>
      <c r="Y501">
        <v>20431</v>
      </c>
      <c r="Z501">
        <v>0</v>
      </c>
      <c r="AA501" t="s">
        <v>42</v>
      </c>
      <c r="AB501" t="s">
        <v>43</v>
      </c>
      <c r="AC501">
        <v>12</v>
      </c>
      <c r="AD501">
        <v>3</v>
      </c>
      <c r="AE501">
        <v>4</v>
      </c>
      <c r="AF501">
        <v>80</v>
      </c>
      <c r="AG501">
        <v>0</v>
      </c>
      <c r="AH5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01">
        <v>6</v>
      </c>
      <c r="AJ501" t="s">
        <v>78</v>
      </c>
      <c r="AK501">
        <v>3</v>
      </c>
      <c r="AL501" t="s">
        <v>78</v>
      </c>
      <c r="AM501">
        <v>3</v>
      </c>
      <c r="AN501" t="s">
        <v>78</v>
      </c>
      <c r="AO501">
        <v>5</v>
      </c>
      <c r="AP501" t="s">
        <v>78</v>
      </c>
      <c r="AQ501">
        <v>0</v>
      </c>
      <c r="AR501">
        <v>1</v>
      </c>
      <c r="AS501">
        <v>2</v>
      </c>
    </row>
    <row r="502" spans="1:4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 t="str">
        <f>IF(Employee_data[[#This Row],[MonthlyIncome]]&lt;5000,"Low Income",
IF(Employee_data[[#This Row],[MonthlyIncome]]&lt;10000,"Medium Income","High Income"))</f>
        <v>Medium Income</v>
      </c>
      <c r="U502" t="s">
        <v>92</v>
      </c>
      <c r="V502" t="s">
        <v>92</v>
      </c>
      <c r="W502" t="s">
        <v>92</v>
      </c>
      <c r="X502" t="s">
        <v>92</v>
      </c>
      <c r="Y502">
        <v>18089</v>
      </c>
      <c r="Z502">
        <v>1</v>
      </c>
      <c r="AA502" t="s">
        <v>42</v>
      </c>
      <c r="AB502" t="s">
        <v>35</v>
      </c>
      <c r="AC502">
        <v>12</v>
      </c>
      <c r="AD502">
        <v>3</v>
      </c>
      <c r="AE502">
        <v>4</v>
      </c>
      <c r="AF502">
        <v>80</v>
      </c>
      <c r="AG502">
        <v>1</v>
      </c>
      <c r="AH5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02">
        <v>6</v>
      </c>
      <c r="AJ502" t="s">
        <v>78</v>
      </c>
      <c r="AK502">
        <v>2</v>
      </c>
      <c r="AL502" t="s">
        <v>78</v>
      </c>
      <c r="AM502">
        <v>2</v>
      </c>
      <c r="AN502" t="s">
        <v>78</v>
      </c>
      <c r="AO502">
        <v>6</v>
      </c>
      <c r="AP502" t="s">
        <v>78</v>
      </c>
      <c r="AQ502">
        <v>4</v>
      </c>
      <c r="AR502">
        <v>0</v>
      </c>
      <c r="AS502">
        <v>5</v>
      </c>
    </row>
    <row r="503" spans="1:4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 t="str">
        <f>IF(Employee_data[[#This Row],[MonthlyIncome]]&lt;5000,"Low Income",
IF(Employee_data[[#This Row],[MonthlyIncome]]&lt;10000,"Medium Income","High Income"))</f>
        <v>Low Income</v>
      </c>
      <c r="U503" t="s">
        <v>91</v>
      </c>
      <c r="V503" t="s">
        <v>91</v>
      </c>
      <c r="W503" t="s">
        <v>91</v>
      </c>
      <c r="X503" t="s">
        <v>91</v>
      </c>
      <c r="Y503">
        <v>22653</v>
      </c>
      <c r="Z503">
        <v>1</v>
      </c>
      <c r="AA503" t="s">
        <v>42</v>
      </c>
      <c r="AB503" t="s">
        <v>43</v>
      </c>
      <c r="AC503">
        <v>20</v>
      </c>
      <c r="AD503">
        <v>4</v>
      </c>
      <c r="AE503">
        <v>3</v>
      </c>
      <c r="AF503">
        <v>80</v>
      </c>
      <c r="AG503">
        <v>1</v>
      </c>
      <c r="AH5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03">
        <v>1</v>
      </c>
      <c r="AJ503" t="s">
        <v>74</v>
      </c>
      <c r="AK503">
        <v>2</v>
      </c>
      <c r="AL503" t="s">
        <v>74</v>
      </c>
      <c r="AM503">
        <v>3</v>
      </c>
      <c r="AN503" t="s">
        <v>74</v>
      </c>
      <c r="AO503">
        <v>1</v>
      </c>
      <c r="AP503" t="s">
        <v>74</v>
      </c>
      <c r="AQ503">
        <v>0</v>
      </c>
      <c r="AR503">
        <v>0</v>
      </c>
      <c r="AS503">
        <v>0</v>
      </c>
    </row>
    <row r="504" spans="1:4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 t="str">
        <f>IF(Employee_data[[#This Row],[MonthlyIncome]]&lt;5000,"Low Income",
IF(Employee_data[[#This Row],[MonthlyIncome]]&lt;10000,"Medium Income","High Income"))</f>
        <v>Medium Income</v>
      </c>
      <c r="U504" t="s">
        <v>92</v>
      </c>
      <c r="V504" t="s">
        <v>92</v>
      </c>
      <c r="W504" t="s">
        <v>92</v>
      </c>
      <c r="X504" t="s">
        <v>92</v>
      </c>
      <c r="Y504">
        <v>7507</v>
      </c>
      <c r="Z504">
        <v>7</v>
      </c>
      <c r="AA504" t="s">
        <v>42</v>
      </c>
      <c r="AB504" t="s">
        <v>43</v>
      </c>
      <c r="AC504">
        <v>20</v>
      </c>
      <c r="AD504">
        <v>4</v>
      </c>
      <c r="AE504">
        <v>4</v>
      </c>
      <c r="AF504">
        <v>80</v>
      </c>
      <c r="AG504">
        <v>0</v>
      </c>
      <c r="AH5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04">
        <v>18</v>
      </c>
      <c r="AJ504" t="s">
        <v>75</v>
      </c>
      <c r="AK504">
        <v>2</v>
      </c>
      <c r="AL504" t="s">
        <v>75</v>
      </c>
      <c r="AM504">
        <v>4</v>
      </c>
      <c r="AN504" t="s">
        <v>75</v>
      </c>
      <c r="AO504">
        <v>14</v>
      </c>
      <c r="AP504" t="s">
        <v>75</v>
      </c>
      <c r="AQ504">
        <v>7</v>
      </c>
      <c r="AR504">
        <v>8</v>
      </c>
      <c r="AS504">
        <v>10</v>
      </c>
    </row>
    <row r="505" spans="1:4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 t="str">
        <f>IF(Employee_data[[#This Row],[MonthlyIncome]]&lt;5000,"Low Income",
IF(Employee_data[[#This Row],[MonthlyIncome]]&lt;10000,"Medium Income","High Income"))</f>
        <v>Low Income</v>
      </c>
      <c r="U505" t="s">
        <v>91</v>
      </c>
      <c r="V505" t="s">
        <v>91</v>
      </c>
      <c r="W505" t="s">
        <v>91</v>
      </c>
      <c r="X505" t="s">
        <v>91</v>
      </c>
      <c r="Y505">
        <v>7660</v>
      </c>
      <c r="Z505">
        <v>1</v>
      </c>
      <c r="AA505" t="s">
        <v>42</v>
      </c>
      <c r="AB505" t="s">
        <v>43</v>
      </c>
      <c r="AC505">
        <v>12</v>
      </c>
      <c r="AD505">
        <v>3</v>
      </c>
      <c r="AE505">
        <v>4</v>
      </c>
      <c r="AF505">
        <v>80</v>
      </c>
      <c r="AG505">
        <v>1</v>
      </c>
      <c r="AH5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05">
        <v>10</v>
      </c>
      <c r="AJ505" t="s">
        <v>75</v>
      </c>
      <c r="AK505">
        <v>4</v>
      </c>
      <c r="AL505" t="s">
        <v>75</v>
      </c>
      <c r="AM505">
        <v>2</v>
      </c>
      <c r="AN505" t="s">
        <v>75</v>
      </c>
      <c r="AO505">
        <v>10</v>
      </c>
      <c r="AP505" t="s">
        <v>75</v>
      </c>
      <c r="AQ505">
        <v>9</v>
      </c>
      <c r="AR505">
        <v>8</v>
      </c>
      <c r="AS505">
        <v>8</v>
      </c>
    </row>
    <row r="506" spans="1:4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 t="str">
        <f>IF(Employee_data[[#This Row],[MonthlyIncome]]&lt;5000,"Low Income",
IF(Employee_data[[#This Row],[MonthlyIncome]]&lt;10000,"Medium Income","High Income"))</f>
        <v>Low Income</v>
      </c>
      <c r="U506" t="s">
        <v>91</v>
      </c>
      <c r="V506" t="s">
        <v>91</v>
      </c>
      <c r="W506" t="s">
        <v>91</v>
      </c>
      <c r="X506" t="s">
        <v>91</v>
      </c>
      <c r="Y506">
        <v>5630</v>
      </c>
      <c r="Z506">
        <v>2</v>
      </c>
      <c r="AA506" t="s">
        <v>42</v>
      </c>
      <c r="AB506" t="s">
        <v>43</v>
      </c>
      <c r="AC506">
        <v>14</v>
      </c>
      <c r="AD506">
        <v>3</v>
      </c>
      <c r="AE506">
        <v>4</v>
      </c>
      <c r="AF506">
        <v>80</v>
      </c>
      <c r="AG506">
        <v>2</v>
      </c>
      <c r="AH5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06">
        <v>5</v>
      </c>
      <c r="AJ506" t="s">
        <v>74</v>
      </c>
      <c r="AK506">
        <v>4</v>
      </c>
      <c r="AL506" t="s">
        <v>74</v>
      </c>
      <c r="AM506">
        <v>3</v>
      </c>
      <c r="AN506" t="s">
        <v>74</v>
      </c>
      <c r="AO506">
        <v>1</v>
      </c>
      <c r="AP506" t="s">
        <v>74</v>
      </c>
      <c r="AQ506">
        <v>1</v>
      </c>
      <c r="AR506">
        <v>0</v>
      </c>
      <c r="AS506">
        <v>0</v>
      </c>
    </row>
    <row r="507" spans="1:4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 t="str">
        <f>IF(Employee_data[[#This Row],[MonthlyIncome]]&lt;5000,"Low Income",
IF(Employee_data[[#This Row],[MonthlyIncome]]&lt;10000,"Medium Income","High Income"))</f>
        <v>Low Income</v>
      </c>
      <c r="U507" t="s">
        <v>91</v>
      </c>
      <c r="V507" t="s">
        <v>91</v>
      </c>
      <c r="W507" t="s">
        <v>91</v>
      </c>
      <c r="X507" t="s">
        <v>91</v>
      </c>
      <c r="Y507">
        <v>17759</v>
      </c>
      <c r="Z507">
        <v>1</v>
      </c>
      <c r="AA507" t="s">
        <v>42</v>
      </c>
      <c r="AB507" t="s">
        <v>35</v>
      </c>
      <c r="AC507">
        <v>13</v>
      </c>
      <c r="AD507">
        <v>3</v>
      </c>
      <c r="AE507">
        <v>3</v>
      </c>
      <c r="AF507">
        <v>80</v>
      </c>
      <c r="AG507">
        <v>1</v>
      </c>
      <c r="AH5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07">
        <v>3</v>
      </c>
      <c r="AJ507" t="s">
        <v>74</v>
      </c>
      <c r="AK507">
        <v>2</v>
      </c>
      <c r="AL507" t="s">
        <v>74</v>
      </c>
      <c r="AM507">
        <v>3</v>
      </c>
      <c r="AN507" t="s">
        <v>74</v>
      </c>
      <c r="AO507">
        <v>3</v>
      </c>
      <c r="AP507" t="s">
        <v>74</v>
      </c>
      <c r="AQ507">
        <v>2</v>
      </c>
      <c r="AR507">
        <v>0</v>
      </c>
      <c r="AS507">
        <v>2</v>
      </c>
    </row>
    <row r="508" spans="1:4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 t="str">
        <f>IF(Employee_data[[#This Row],[MonthlyIncome]]&lt;5000,"Low Income",
IF(Employee_data[[#This Row],[MonthlyIncome]]&lt;10000,"Medium Income","High Income"))</f>
        <v>Medium Income</v>
      </c>
      <c r="U508" t="s">
        <v>92</v>
      </c>
      <c r="V508" t="s">
        <v>92</v>
      </c>
      <c r="W508" t="s">
        <v>92</v>
      </c>
      <c r="X508" t="s">
        <v>92</v>
      </c>
      <c r="Y508">
        <v>9606</v>
      </c>
      <c r="Z508">
        <v>1</v>
      </c>
      <c r="AA508" t="s">
        <v>42</v>
      </c>
      <c r="AB508" t="s">
        <v>43</v>
      </c>
      <c r="AC508">
        <v>15</v>
      </c>
      <c r="AD508">
        <v>3</v>
      </c>
      <c r="AE508">
        <v>3</v>
      </c>
      <c r="AF508">
        <v>80</v>
      </c>
      <c r="AG508">
        <v>1</v>
      </c>
      <c r="AH5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08">
        <v>10</v>
      </c>
      <c r="AJ508" t="s">
        <v>75</v>
      </c>
      <c r="AK508">
        <v>2</v>
      </c>
      <c r="AL508" t="s">
        <v>75</v>
      </c>
      <c r="AM508">
        <v>3</v>
      </c>
      <c r="AN508" t="s">
        <v>75</v>
      </c>
      <c r="AO508">
        <v>10</v>
      </c>
      <c r="AP508" t="s">
        <v>75</v>
      </c>
      <c r="AQ508">
        <v>7</v>
      </c>
      <c r="AR508">
        <v>7</v>
      </c>
      <c r="AS508">
        <v>8</v>
      </c>
    </row>
    <row r="509" spans="1:4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 t="str">
        <f>IF(Employee_data[[#This Row],[MonthlyIncome]]&lt;5000,"Low Income",
IF(Employee_data[[#This Row],[MonthlyIncome]]&lt;10000,"Medium Income","High Income"))</f>
        <v>Medium Income</v>
      </c>
      <c r="U509" t="s">
        <v>92</v>
      </c>
      <c r="V509" t="s">
        <v>92</v>
      </c>
      <c r="W509" t="s">
        <v>92</v>
      </c>
      <c r="X509" t="s">
        <v>92</v>
      </c>
      <c r="Y509">
        <v>3487</v>
      </c>
      <c r="Z509">
        <v>1</v>
      </c>
      <c r="AA509" t="s">
        <v>42</v>
      </c>
      <c r="AB509" t="s">
        <v>43</v>
      </c>
      <c r="AC509">
        <v>14</v>
      </c>
      <c r="AD509">
        <v>3</v>
      </c>
      <c r="AE509">
        <v>1</v>
      </c>
      <c r="AF509">
        <v>80</v>
      </c>
      <c r="AG509">
        <v>1</v>
      </c>
      <c r="AH5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09">
        <v>6</v>
      </c>
      <c r="AJ509" t="s">
        <v>78</v>
      </c>
      <c r="AK509">
        <v>5</v>
      </c>
      <c r="AL509" t="s">
        <v>78</v>
      </c>
      <c r="AM509">
        <v>2</v>
      </c>
      <c r="AN509" t="s">
        <v>78</v>
      </c>
      <c r="AO509">
        <v>6</v>
      </c>
      <c r="AP509" t="s">
        <v>78</v>
      </c>
      <c r="AQ509">
        <v>0</v>
      </c>
      <c r="AR509">
        <v>1</v>
      </c>
      <c r="AS509">
        <v>2</v>
      </c>
    </row>
    <row r="510" spans="1:4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 t="str">
        <f>IF(Employee_data[[#This Row],[MonthlyIncome]]&lt;5000,"Low Income",
IF(Employee_data[[#This Row],[MonthlyIncome]]&lt;10000,"Medium Income","High Income"))</f>
        <v>Medium Income</v>
      </c>
      <c r="U510" t="s">
        <v>92</v>
      </c>
      <c r="V510" t="s">
        <v>92</v>
      </c>
      <c r="W510" t="s">
        <v>92</v>
      </c>
      <c r="X510" t="s">
        <v>92</v>
      </c>
      <c r="Y510">
        <v>19368</v>
      </c>
      <c r="Z510">
        <v>1</v>
      </c>
      <c r="AA510" t="s">
        <v>42</v>
      </c>
      <c r="AB510" t="s">
        <v>43</v>
      </c>
      <c r="AC510">
        <v>13</v>
      </c>
      <c r="AD510">
        <v>3</v>
      </c>
      <c r="AE510">
        <v>2</v>
      </c>
      <c r="AF510">
        <v>80</v>
      </c>
      <c r="AG510">
        <v>0</v>
      </c>
      <c r="AH5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10">
        <v>17</v>
      </c>
      <c r="AJ510" t="s">
        <v>76</v>
      </c>
      <c r="AK510">
        <v>3</v>
      </c>
      <c r="AL510" t="s">
        <v>76</v>
      </c>
      <c r="AM510">
        <v>3</v>
      </c>
      <c r="AN510" t="s">
        <v>76</v>
      </c>
      <c r="AO510">
        <v>17</v>
      </c>
      <c r="AP510" t="s">
        <v>76</v>
      </c>
      <c r="AQ510">
        <v>11</v>
      </c>
      <c r="AR510">
        <v>11</v>
      </c>
      <c r="AS510">
        <v>8</v>
      </c>
    </row>
    <row r="511" spans="1:4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 t="str">
        <f>IF(Employee_data[[#This Row],[MonthlyIncome]]&lt;5000,"Low Income",
IF(Employee_data[[#This Row],[MonthlyIncome]]&lt;10000,"Medium Income","High Income"))</f>
        <v>Medium Income</v>
      </c>
      <c r="U511" t="s">
        <v>92</v>
      </c>
      <c r="V511" t="s">
        <v>92</v>
      </c>
      <c r="W511" t="s">
        <v>92</v>
      </c>
      <c r="X511" t="s">
        <v>92</v>
      </c>
      <c r="Y511">
        <v>5335</v>
      </c>
      <c r="Z511">
        <v>3</v>
      </c>
      <c r="AA511" t="s">
        <v>42</v>
      </c>
      <c r="AB511" t="s">
        <v>43</v>
      </c>
      <c r="AC511">
        <v>23</v>
      </c>
      <c r="AD511">
        <v>4</v>
      </c>
      <c r="AE511">
        <v>3</v>
      </c>
      <c r="AF511">
        <v>80</v>
      </c>
      <c r="AG511">
        <v>1</v>
      </c>
      <c r="AH5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11">
        <v>15</v>
      </c>
      <c r="AJ511" t="s">
        <v>75</v>
      </c>
      <c r="AK511">
        <v>2</v>
      </c>
      <c r="AL511" t="s">
        <v>75</v>
      </c>
      <c r="AM511">
        <v>1</v>
      </c>
      <c r="AN511" t="s">
        <v>75</v>
      </c>
      <c r="AO511">
        <v>13</v>
      </c>
      <c r="AP511" t="s">
        <v>75</v>
      </c>
      <c r="AQ511">
        <v>11</v>
      </c>
      <c r="AR511">
        <v>4</v>
      </c>
      <c r="AS511">
        <v>7</v>
      </c>
    </row>
    <row r="512" spans="1:4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 t="str">
        <f>IF(Employee_data[[#This Row],[MonthlyIncome]]&lt;5000,"Low Income",
IF(Employee_data[[#This Row],[MonthlyIncome]]&lt;10000,"Medium Income","High Income"))</f>
        <v>High Income</v>
      </c>
      <c r="U512" t="s">
        <v>90</v>
      </c>
      <c r="V512" t="s">
        <v>90</v>
      </c>
      <c r="W512" t="s">
        <v>90</v>
      </c>
      <c r="X512" t="s">
        <v>90</v>
      </c>
      <c r="Y512">
        <v>6729</v>
      </c>
      <c r="Z512">
        <v>2</v>
      </c>
      <c r="AA512" t="s">
        <v>42</v>
      </c>
      <c r="AB512" t="s">
        <v>43</v>
      </c>
      <c r="AC512">
        <v>15</v>
      </c>
      <c r="AD512">
        <v>3</v>
      </c>
      <c r="AE512">
        <v>3</v>
      </c>
      <c r="AF512">
        <v>80</v>
      </c>
      <c r="AG512">
        <v>1</v>
      </c>
      <c r="AH5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12">
        <v>16</v>
      </c>
      <c r="AJ512" t="s">
        <v>78</v>
      </c>
      <c r="AK512">
        <v>1</v>
      </c>
      <c r="AL512" t="s">
        <v>78</v>
      </c>
      <c r="AM512">
        <v>4</v>
      </c>
      <c r="AN512" t="s">
        <v>78</v>
      </c>
      <c r="AO512">
        <v>9</v>
      </c>
      <c r="AP512" t="s">
        <v>78</v>
      </c>
      <c r="AQ512">
        <v>7</v>
      </c>
      <c r="AR512">
        <v>7</v>
      </c>
      <c r="AS512">
        <v>1</v>
      </c>
    </row>
    <row r="513" spans="1:4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 t="str">
        <f>IF(Employee_data[[#This Row],[MonthlyIncome]]&lt;5000,"Low Income",
IF(Employee_data[[#This Row],[MonthlyIncome]]&lt;10000,"Medium Income","High Income"))</f>
        <v>Medium Income</v>
      </c>
      <c r="U513" t="s">
        <v>92</v>
      </c>
      <c r="V513" t="s">
        <v>92</v>
      </c>
      <c r="W513" t="s">
        <v>92</v>
      </c>
      <c r="X513" t="s">
        <v>92</v>
      </c>
      <c r="Y513">
        <v>13934</v>
      </c>
      <c r="Z513">
        <v>2</v>
      </c>
      <c r="AA513" t="s">
        <v>42</v>
      </c>
      <c r="AB513" t="s">
        <v>35</v>
      </c>
      <c r="AC513">
        <v>11</v>
      </c>
      <c r="AD513">
        <v>3</v>
      </c>
      <c r="AE513">
        <v>3</v>
      </c>
      <c r="AF513">
        <v>80</v>
      </c>
      <c r="AG513">
        <v>1</v>
      </c>
      <c r="AH5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13">
        <v>13</v>
      </c>
      <c r="AJ513" t="s">
        <v>74</v>
      </c>
      <c r="AK513">
        <v>2</v>
      </c>
      <c r="AL513" t="s">
        <v>74</v>
      </c>
      <c r="AM513">
        <v>3</v>
      </c>
      <c r="AN513" t="s">
        <v>74</v>
      </c>
      <c r="AO513">
        <v>3</v>
      </c>
      <c r="AP513" t="s">
        <v>74</v>
      </c>
      <c r="AQ513">
        <v>2</v>
      </c>
      <c r="AR513">
        <v>0</v>
      </c>
      <c r="AS513">
        <v>2</v>
      </c>
    </row>
    <row r="514" spans="1:4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 t="str">
        <f>IF(Employee_data[[#This Row],[MonthlyIncome]]&lt;5000,"Low Income",
IF(Employee_data[[#This Row],[MonthlyIncome]]&lt;10000,"Medium Income","High Income"))</f>
        <v>Low Income</v>
      </c>
      <c r="U514" t="s">
        <v>91</v>
      </c>
      <c r="V514" t="s">
        <v>91</v>
      </c>
      <c r="W514" t="s">
        <v>91</v>
      </c>
      <c r="X514" t="s">
        <v>91</v>
      </c>
      <c r="Y514">
        <v>15174</v>
      </c>
      <c r="Z514">
        <v>0</v>
      </c>
      <c r="AA514" t="s">
        <v>42</v>
      </c>
      <c r="AB514" t="s">
        <v>43</v>
      </c>
      <c r="AC514">
        <v>13</v>
      </c>
      <c r="AD514">
        <v>3</v>
      </c>
      <c r="AE514">
        <v>4</v>
      </c>
      <c r="AF514">
        <v>80</v>
      </c>
      <c r="AG514">
        <v>0</v>
      </c>
      <c r="AH5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14">
        <v>5</v>
      </c>
      <c r="AJ514" t="s">
        <v>74</v>
      </c>
      <c r="AK514">
        <v>0</v>
      </c>
      <c r="AL514" t="s">
        <v>74</v>
      </c>
      <c r="AM514">
        <v>3</v>
      </c>
      <c r="AN514" t="s">
        <v>74</v>
      </c>
      <c r="AO514">
        <v>4</v>
      </c>
      <c r="AP514" t="s">
        <v>74</v>
      </c>
      <c r="AQ514">
        <v>2</v>
      </c>
      <c r="AR514">
        <v>1</v>
      </c>
      <c r="AS514">
        <v>1</v>
      </c>
    </row>
    <row r="515" spans="1:4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 t="str">
        <f>IF(Employee_data[[#This Row],[MonthlyIncome]]&lt;5000,"Low Income",
IF(Employee_data[[#This Row],[MonthlyIncome]]&lt;10000,"Medium Income","High Income"))</f>
        <v>Low Income</v>
      </c>
      <c r="U515" t="s">
        <v>91</v>
      </c>
      <c r="V515" t="s">
        <v>91</v>
      </c>
      <c r="W515" t="s">
        <v>91</v>
      </c>
      <c r="X515" t="s">
        <v>91</v>
      </c>
      <c r="Y515">
        <v>26999</v>
      </c>
      <c r="Z515">
        <v>1</v>
      </c>
      <c r="AA515" t="s">
        <v>42</v>
      </c>
      <c r="AB515" t="s">
        <v>35</v>
      </c>
      <c r="AC515">
        <v>11</v>
      </c>
      <c r="AD515">
        <v>3</v>
      </c>
      <c r="AE515">
        <v>4</v>
      </c>
      <c r="AF515">
        <v>80</v>
      </c>
      <c r="AG515">
        <v>0</v>
      </c>
      <c r="AH5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15">
        <v>1</v>
      </c>
      <c r="AJ515" t="s">
        <v>74</v>
      </c>
      <c r="AK515">
        <v>5</v>
      </c>
      <c r="AL515" t="s">
        <v>74</v>
      </c>
      <c r="AM515">
        <v>3</v>
      </c>
      <c r="AN515" t="s">
        <v>74</v>
      </c>
      <c r="AO515">
        <v>1</v>
      </c>
      <c r="AP515" t="s">
        <v>74</v>
      </c>
      <c r="AQ515">
        <v>0</v>
      </c>
      <c r="AR515">
        <v>1</v>
      </c>
      <c r="AS515">
        <v>1</v>
      </c>
    </row>
    <row r="516" spans="1:4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 t="str">
        <f>IF(Employee_data[[#This Row],[MonthlyIncome]]&lt;5000,"Low Income",
IF(Employee_data[[#This Row],[MonthlyIncome]]&lt;10000,"Medium Income","High Income"))</f>
        <v>Low Income</v>
      </c>
      <c r="U516" t="s">
        <v>91</v>
      </c>
      <c r="V516" t="s">
        <v>91</v>
      </c>
      <c r="W516" t="s">
        <v>91</v>
      </c>
      <c r="X516" t="s">
        <v>91</v>
      </c>
      <c r="Y516">
        <v>3164</v>
      </c>
      <c r="Z516">
        <v>1</v>
      </c>
      <c r="AA516" t="s">
        <v>42</v>
      </c>
      <c r="AB516" t="s">
        <v>35</v>
      </c>
      <c r="AC516">
        <v>11</v>
      </c>
      <c r="AD516">
        <v>3</v>
      </c>
      <c r="AE516">
        <v>1</v>
      </c>
      <c r="AF516">
        <v>80</v>
      </c>
      <c r="AG516">
        <v>0</v>
      </c>
      <c r="AH5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16">
        <v>10</v>
      </c>
      <c r="AJ516" t="s">
        <v>75</v>
      </c>
      <c r="AK516">
        <v>3</v>
      </c>
      <c r="AL516" t="s">
        <v>75</v>
      </c>
      <c r="AM516">
        <v>3</v>
      </c>
      <c r="AN516" t="s">
        <v>75</v>
      </c>
      <c r="AO516">
        <v>10</v>
      </c>
      <c r="AP516" t="s">
        <v>75</v>
      </c>
      <c r="AQ516">
        <v>8</v>
      </c>
      <c r="AR516">
        <v>9</v>
      </c>
      <c r="AS516">
        <v>7</v>
      </c>
    </row>
    <row r="517" spans="1:4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 t="str">
        <f>IF(Employee_data[[#This Row],[MonthlyIncome]]&lt;5000,"Low Income",
IF(Employee_data[[#This Row],[MonthlyIncome]]&lt;10000,"Medium Income","High Income"))</f>
        <v>Low Income</v>
      </c>
      <c r="U517" t="s">
        <v>91</v>
      </c>
      <c r="V517" t="s">
        <v>91</v>
      </c>
      <c r="W517" t="s">
        <v>91</v>
      </c>
      <c r="X517" t="s">
        <v>91</v>
      </c>
      <c r="Y517">
        <v>16900</v>
      </c>
      <c r="Z517">
        <v>1</v>
      </c>
      <c r="AA517" t="s">
        <v>42</v>
      </c>
      <c r="AB517" t="s">
        <v>43</v>
      </c>
      <c r="AC517">
        <v>18</v>
      </c>
      <c r="AD517">
        <v>3</v>
      </c>
      <c r="AE517">
        <v>3</v>
      </c>
      <c r="AF517">
        <v>80</v>
      </c>
      <c r="AG517">
        <v>2</v>
      </c>
      <c r="AH5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17">
        <v>1</v>
      </c>
      <c r="AJ517" t="s">
        <v>74</v>
      </c>
      <c r="AK517">
        <v>3</v>
      </c>
      <c r="AL517" t="s">
        <v>74</v>
      </c>
      <c r="AM517">
        <v>3</v>
      </c>
      <c r="AN517" t="s">
        <v>74</v>
      </c>
      <c r="AO517">
        <v>1</v>
      </c>
      <c r="AP517" t="s">
        <v>74</v>
      </c>
      <c r="AQ517">
        <v>0</v>
      </c>
      <c r="AR517">
        <v>0</v>
      </c>
      <c r="AS517">
        <v>0</v>
      </c>
    </row>
    <row r="518" spans="1:4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 t="str">
        <f>IF(Employee_data[[#This Row],[MonthlyIncome]]&lt;5000,"Low Income",
IF(Employee_data[[#This Row],[MonthlyIncome]]&lt;10000,"Medium Income","High Income"))</f>
        <v>Low Income</v>
      </c>
      <c r="U518" t="s">
        <v>91</v>
      </c>
      <c r="V518" t="s">
        <v>91</v>
      </c>
      <c r="W518" t="s">
        <v>91</v>
      </c>
      <c r="X518" t="s">
        <v>91</v>
      </c>
      <c r="Y518">
        <v>8544</v>
      </c>
      <c r="Z518">
        <v>2</v>
      </c>
      <c r="AA518" t="s">
        <v>42</v>
      </c>
      <c r="AB518" t="s">
        <v>43</v>
      </c>
      <c r="AC518">
        <v>16</v>
      </c>
      <c r="AD518">
        <v>3</v>
      </c>
      <c r="AE518">
        <v>1</v>
      </c>
      <c r="AF518">
        <v>80</v>
      </c>
      <c r="AG518">
        <v>1</v>
      </c>
      <c r="AH5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18">
        <v>5</v>
      </c>
      <c r="AJ518" t="s">
        <v>74</v>
      </c>
      <c r="AK518">
        <v>3</v>
      </c>
      <c r="AL518" t="s">
        <v>74</v>
      </c>
      <c r="AM518">
        <v>4</v>
      </c>
      <c r="AN518" t="s">
        <v>74</v>
      </c>
      <c r="AO518">
        <v>3</v>
      </c>
      <c r="AP518" t="s">
        <v>74</v>
      </c>
      <c r="AQ518">
        <v>2</v>
      </c>
      <c r="AR518">
        <v>0</v>
      </c>
      <c r="AS518">
        <v>2</v>
      </c>
    </row>
    <row r="519" spans="1:4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 t="str">
        <f>IF(Employee_data[[#This Row],[MonthlyIncome]]&lt;5000,"Low Income",
IF(Employee_data[[#This Row],[MonthlyIncome]]&lt;10000,"Medium Income","High Income"))</f>
        <v>Low Income</v>
      </c>
      <c r="U519" t="s">
        <v>91</v>
      </c>
      <c r="V519" t="s">
        <v>91</v>
      </c>
      <c r="W519" t="s">
        <v>91</v>
      </c>
      <c r="X519" t="s">
        <v>91</v>
      </c>
      <c r="Y519">
        <v>15678</v>
      </c>
      <c r="Z519">
        <v>0</v>
      </c>
      <c r="AA519" t="s">
        <v>42</v>
      </c>
      <c r="AB519" t="s">
        <v>43</v>
      </c>
      <c r="AC519">
        <v>22</v>
      </c>
      <c r="AD519">
        <v>4</v>
      </c>
      <c r="AE519">
        <v>3</v>
      </c>
      <c r="AF519">
        <v>80</v>
      </c>
      <c r="AG519">
        <v>1</v>
      </c>
      <c r="AH5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19">
        <v>4</v>
      </c>
      <c r="AJ519" t="s">
        <v>74</v>
      </c>
      <c r="AK519">
        <v>4</v>
      </c>
      <c r="AL519" t="s">
        <v>74</v>
      </c>
      <c r="AM519">
        <v>3</v>
      </c>
      <c r="AN519" t="s">
        <v>74</v>
      </c>
      <c r="AO519">
        <v>3</v>
      </c>
      <c r="AP519" t="s">
        <v>74</v>
      </c>
      <c r="AQ519">
        <v>2</v>
      </c>
      <c r="AR519">
        <v>1</v>
      </c>
      <c r="AS519">
        <v>2</v>
      </c>
    </row>
    <row r="520" spans="1:4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 t="str">
        <f>IF(Employee_data[[#This Row],[MonthlyIncome]]&lt;5000,"Low Income",
IF(Employee_data[[#This Row],[MonthlyIncome]]&lt;10000,"Medium Income","High Income"))</f>
        <v>Low Income</v>
      </c>
      <c r="U520" t="s">
        <v>91</v>
      </c>
      <c r="V520" t="s">
        <v>91</v>
      </c>
      <c r="W520" t="s">
        <v>91</v>
      </c>
      <c r="X520" t="s">
        <v>91</v>
      </c>
      <c r="Y520">
        <v>7791</v>
      </c>
      <c r="Z520">
        <v>0</v>
      </c>
      <c r="AA520" t="s">
        <v>42</v>
      </c>
      <c r="AB520" t="s">
        <v>43</v>
      </c>
      <c r="AC520">
        <v>20</v>
      </c>
      <c r="AD520">
        <v>4</v>
      </c>
      <c r="AE520">
        <v>1</v>
      </c>
      <c r="AF520">
        <v>80</v>
      </c>
      <c r="AG520">
        <v>0</v>
      </c>
      <c r="AH5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20">
        <v>8</v>
      </c>
      <c r="AJ520" t="s">
        <v>78</v>
      </c>
      <c r="AK520">
        <v>2</v>
      </c>
      <c r="AL520" t="s">
        <v>78</v>
      </c>
      <c r="AM520">
        <v>3</v>
      </c>
      <c r="AN520" t="s">
        <v>78</v>
      </c>
      <c r="AO520">
        <v>7</v>
      </c>
      <c r="AP520" t="s">
        <v>78</v>
      </c>
      <c r="AQ520">
        <v>7</v>
      </c>
      <c r="AR520">
        <v>0</v>
      </c>
      <c r="AS520">
        <v>5</v>
      </c>
    </row>
    <row r="521" spans="1:4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 t="str">
        <f>IF(Employee_data[[#This Row],[MonthlyIncome]]&lt;5000,"Low Income",
IF(Employee_data[[#This Row],[MonthlyIncome]]&lt;10000,"Medium Income","High Income"))</f>
        <v>Low Income</v>
      </c>
      <c r="U521" t="s">
        <v>91</v>
      </c>
      <c r="V521" t="s">
        <v>91</v>
      </c>
      <c r="W521" t="s">
        <v>91</v>
      </c>
      <c r="X521" t="s">
        <v>91</v>
      </c>
      <c r="Y521">
        <v>18959</v>
      </c>
      <c r="Z521">
        <v>1</v>
      </c>
      <c r="AA521" t="s">
        <v>42</v>
      </c>
      <c r="AB521" t="s">
        <v>43</v>
      </c>
      <c r="AC521">
        <v>18</v>
      </c>
      <c r="AD521">
        <v>3</v>
      </c>
      <c r="AE521">
        <v>4</v>
      </c>
      <c r="AF521">
        <v>80</v>
      </c>
      <c r="AG521">
        <v>1</v>
      </c>
      <c r="AH5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21">
        <v>10</v>
      </c>
      <c r="AJ521" t="s">
        <v>75</v>
      </c>
      <c r="AK521">
        <v>5</v>
      </c>
      <c r="AL521" t="s">
        <v>75</v>
      </c>
      <c r="AM521">
        <v>3</v>
      </c>
      <c r="AN521" t="s">
        <v>75</v>
      </c>
      <c r="AO521">
        <v>10</v>
      </c>
      <c r="AP521" t="s">
        <v>75</v>
      </c>
      <c r="AQ521">
        <v>7</v>
      </c>
      <c r="AR521">
        <v>2</v>
      </c>
      <c r="AS521">
        <v>8</v>
      </c>
    </row>
    <row r="522" spans="1:4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 t="str">
        <f>IF(Employee_data[[#This Row],[MonthlyIncome]]&lt;5000,"Low Income",
IF(Employee_data[[#This Row],[MonthlyIncome]]&lt;10000,"Medium Income","High Income"))</f>
        <v>Medium Income</v>
      </c>
      <c r="U522" t="s">
        <v>92</v>
      </c>
      <c r="V522" t="s">
        <v>92</v>
      </c>
      <c r="W522" t="s">
        <v>92</v>
      </c>
      <c r="X522" t="s">
        <v>92</v>
      </c>
      <c r="Y522">
        <v>18597</v>
      </c>
      <c r="Z522">
        <v>3</v>
      </c>
      <c r="AA522" t="s">
        <v>42</v>
      </c>
      <c r="AB522" t="s">
        <v>43</v>
      </c>
      <c r="AC522">
        <v>12</v>
      </c>
      <c r="AD522">
        <v>3</v>
      </c>
      <c r="AE522">
        <v>4</v>
      </c>
      <c r="AF522">
        <v>80</v>
      </c>
      <c r="AG522">
        <v>0</v>
      </c>
      <c r="AH5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22">
        <v>12</v>
      </c>
      <c r="AJ522" t="s">
        <v>74</v>
      </c>
      <c r="AK522">
        <v>3</v>
      </c>
      <c r="AL522" t="s">
        <v>74</v>
      </c>
      <c r="AM522">
        <v>3</v>
      </c>
      <c r="AN522" t="s">
        <v>74</v>
      </c>
      <c r="AO522">
        <v>2</v>
      </c>
      <c r="AP522" t="s">
        <v>74</v>
      </c>
      <c r="AQ522">
        <v>2</v>
      </c>
      <c r="AR522">
        <v>2</v>
      </c>
      <c r="AS522">
        <v>2</v>
      </c>
    </row>
    <row r="523" spans="1:4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 t="str">
        <f>IF(Employee_data[[#This Row],[MonthlyIncome]]&lt;5000,"Low Income",
IF(Employee_data[[#This Row],[MonthlyIncome]]&lt;10000,"Medium Income","High Income"))</f>
        <v>Low Income</v>
      </c>
      <c r="U523" t="s">
        <v>91</v>
      </c>
      <c r="V523" t="s">
        <v>91</v>
      </c>
      <c r="W523" t="s">
        <v>91</v>
      </c>
      <c r="X523" t="s">
        <v>91</v>
      </c>
      <c r="Y523">
        <v>16673</v>
      </c>
      <c r="Z523">
        <v>1</v>
      </c>
      <c r="AA523" t="s">
        <v>42</v>
      </c>
      <c r="AB523" t="s">
        <v>35</v>
      </c>
      <c r="AC523">
        <v>20</v>
      </c>
      <c r="AD523">
        <v>4</v>
      </c>
      <c r="AE523">
        <v>2</v>
      </c>
      <c r="AF523">
        <v>80</v>
      </c>
      <c r="AG523">
        <v>2</v>
      </c>
      <c r="AH5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23">
        <v>6</v>
      </c>
      <c r="AJ523" t="s">
        <v>78</v>
      </c>
      <c r="AK523">
        <v>3</v>
      </c>
      <c r="AL523" t="s">
        <v>78</v>
      </c>
      <c r="AM523">
        <v>3</v>
      </c>
      <c r="AN523" t="s">
        <v>78</v>
      </c>
      <c r="AO523">
        <v>6</v>
      </c>
      <c r="AP523" t="s">
        <v>78</v>
      </c>
      <c r="AQ523">
        <v>5</v>
      </c>
      <c r="AR523">
        <v>0</v>
      </c>
      <c r="AS523">
        <v>4</v>
      </c>
    </row>
    <row r="524" spans="1:4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 t="str">
        <f>IF(Employee_data[[#This Row],[MonthlyIncome]]&lt;5000,"Low Income",
IF(Employee_data[[#This Row],[MonthlyIncome]]&lt;10000,"Medium Income","High Income"))</f>
        <v>Low Income</v>
      </c>
      <c r="U524" t="s">
        <v>91</v>
      </c>
      <c r="V524" t="s">
        <v>91</v>
      </c>
      <c r="W524" t="s">
        <v>91</v>
      </c>
      <c r="X524" t="s">
        <v>91</v>
      </c>
      <c r="Y524">
        <v>15232</v>
      </c>
      <c r="Z524">
        <v>3</v>
      </c>
      <c r="AA524" t="s">
        <v>42</v>
      </c>
      <c r="AB524" t="s">
        <v>43</v>
      </c>
      <c r="AC524">
        <v>17</v>
      </c>
      <c r="AD524">
        <v>3</v>
      </c>
      <c r="AE524">
        <v>1</v>
      </c>
      <c r="AF524">
        <v>80</v>
      </c>
      <c r="AG524">
        <v>0</v>
      </c>
      <c r="AH5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24">
        <v>4</v>
      </c>
      <c r="AJ524" t="s">
        <v>74</v>
      </c>
      <c r="AK524">
        <v>2</v>
      </c>
      <c r="AL524" t="s">
        <v>74</v>
      </c>
      <c r="AM524">
        <v>3</v>
      </c>
      <c r="AN524" t="s">
        <v>74</v>
      </c>
      <c r="AO524">
        <v>1</v>
      </c>
      <c r="AP524" t="s">
        <v>74</v>
      </c>
      <c r="AQ524">
        <v>0</v>
      </c>
      <c r="AR524">
        <v>0</v>
      </c>
      <c r="AS524">
        <v>0</v>
      </c>
    </row>
    <row r="525" spans="1:4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 t="str">
        <f>IF(Employee_data[[#This Row],[MonthlyIncome]]&lt;5000,"Low Income",
IF(Employee_data[[#This Row],[MonthlyIncome]]&lt;10000,"Medium Income","High Income"))</f>
        <v>Low Income</v>
      </c>
      <c r="U525" t="s">
        <v>91</v>
      </c>
      <c r="V525" t="s">
        <v>91</v>
      </c>
      <c r="W525" t="s">
        <v>91</v>
      </c>
      <c r="X525" t="s">
        <v>91</v>
      </c>
      <c r="Y525">
        <v>3297</v>
      </c>
      <c r="Z525">
        <v>1</v>
      </c>
      <c r="AA525" t="s">
        <v>42</v>
      </c>
      <c r="AB525" t="s">
        <v>35</v>
      </c>
      <c r="AC525">
        <v>11</v>
      </c>
      <c r="AD525">
        <v>3</v>
      </c>
      <c r="AE525">
        <v>3</v>
      </c>
      <c r="AF525">
        <v>80</v>
      </c>
      <c r="AG525">
        <v>3</v>
      </c>
      <c r="AH5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25">
        <v>20</v>
      </c>
      <c r="AJ525" t="s">
        <v>76</v>
      </c>
      <c r="AK525">
        <v>3</v>
      </c>
      <c r="AL525" t="s">
        <v>76</v>
      </c>
      <c r="AM525">
        <v>3</v>
      </c>
      <c r="AN525" t="s">
        <v>76</v>
      </c>
      <c r="AO525">
        <v>20</v>
      </c>
      <c r="AP525" t="s">
        <v>76</v>
      </c>
      <c r="AQ525">
        <v>8</v>
      </c>
      <c r="AR525">
        <v>3</v>
      </c>
      <c r="AS525">
        <v>8</v>
      </c>
    </row>
    <row r="526" spans="1:4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 t="str">
        <f>IF(Employee_data[[#This Row],[MonthlyIncome]]&lt;5000,"Low Income",
IF(Employee_data[[#This Row],[MonthlyIncome]]&lt;10000,"Medium Income","High Income"))</f>
        <v>Medium Income</v>
      </c>
      <c r="U526" t="s">
        <v>92</v>
      </c>
      <c r="V526" t="s">
        <v>92</v>
      </c>
      <c r="W526" t="s">
        <v>92</v>
      </c>
      <c r="X526" t="s">
        <v>92</v>
      </c>
      <c r="Y526">
        <v>17654</v>
      </c>
      <c r="Z526">
        <v>1</v>
      </c>
      <c r="AA526" t="s">
        <v>42</v>
      </c>
      <c r="AB526" t="s">
        <v>43</v>
      </c>
      <c r="AC526">
        <v>14</v>
      </c>
      <c r="AD526">
        <v>3</v>
      </c>
      <c r="AE526">
        <v>2</v>
      </c>
      <c r="AF526">
        <v>80</v>
      </c>
      <c r="AG526">
        <v>0</v>
      </c>
      <c r="AH5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26">
        <v>9</v>
      </c>
      <c r="AJ526" t="s">
        <v>78</v>
      </c>
      <c r="AK526">
        <v>3</v>
      </c>
      <c r="AL526" t="s">
        <v>78</v>
      </c>
      <c r="AM526">
        <v>4</v>
      </c>
      <c r="AN526" t="s">
        <v>78</v>
      </c>
      <c r="AO526">
        <v>8</v>
      </c>
      <c r="AP526" t="s">
        <v>78</v>
      </c>
      <c r="AQ526">
        <v>7</v>
      </c>
      <c r="AR526">
        <v>7</v>
      </c>
      <c r="AS526">
        <v>7</v>
      </c>
    </row>
    <row r="527" spans="1:4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 t="str">
        <f>IF(Employee_data[[#This Row],[MonthlyIncome]]&lt;5000,"Low Income",
IF(Employee_data[[#This Row],[MonthlyIncome]]&lt;10000,"Medium Income","High Income"))</f>
        <v>Low Income</v>
      </c>
      <c r="U527" t="s">
        <v>91</v>
      </c>
      <c r="V527" t="s">
        <v>91</v>
      </c>
      <c r="W527" t="s">
        <v>91</v>
      </c>
      <c r="X527" t="s">
        <v>91</v>
      </c>
      <c r="Y527">
        <v>24785</v>
      </c>
      <c r="Z527">
        <v>9</v>
      </c>
      <c r="AA527" t="s">
        <v>42</v>
      </c>
      <c r="AB527" t="s">
        <v>43</v>
      </c>
      <c r="AC527">
        <v>14</v>
      </c>
      <c r="AD527">
        <v>3</v>
      </c>
      <c r="AE527">
        <v>1</v>
      </c>
      <c r="AF527">
        <v>80</v>
      </c>
      <c r="AG527">
        <v>0</v>
      </c>
      <c r="AH5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27">
        <v>4</v>
      </c>
      <c r="AJ527" t="s">
        <v>74</v>
      </c>
      <c r="AK527">
        <v>3</v>
      </c>
      <c r="AL527" t="s">
        <v>74</v>
      </c>
      <c r="AM527">
        <v>3</v>
      </c>
      <c r="AN527" t="s">
        <v>74</v>
      </c>
      <c r="AO527">
        <v>2</v>
      </c>
      <c r="AP527" t="s">
        <v>74</v>
      </c>
      <c r="AQ527">
        <v>2</v>
      </c>
      <c r="AR527">
        <v>2</v>
      </c>
      <c r="AS527">
        <v>0</v>
      </c>
    </row>
    <row r="528" spans="1:4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 t="str">
        <f>IF(Employee_data[[#This Row],[MonthlyIncome]]&lt;5000,"Low Income",
IF(Employee_data[[#This Row],[MonthlyIncome]]&lt;10000,"Medium Income","High Income"))</f>
        <v>Low Income</v>
      </c>
      <c r="U528" t="s">
        <v>91</v>
      </c>
      <c r="V528" t="s">
        <v>91</v>
      </c>
      <c r="W528" t="s">
        <v>91</v>
      </c>
      <c r="X528" t="s">
        <v>91</v>
      </c>
      <c r="Y528">
        <v>20978</v>
      </c>
      <c r="Z528">
        <v>1</v>
      </c>
      <c r="AA528" t="s">
        <v>42</v>
      </c>
      <c r="AB528" t="s">
        <v>43</v>
      </c>
      <c r="AC528">
        <v>11</v>
      </c>
      <c r="AD528">
        <v>3</v>
      </c>
      <c r="AE528">
        <v>1</v>
      </c>
      <c r="AF528">
        <v>80</v>
      </c>
      <c r="AG528">
        <v>0</v>
      </c>
      <c r="AH5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28">
        <v>20</v>
      </c>
      <c r="AJ528" t="s">
        <v>76</v>
      </c>
      <c r="AK528">
        <v>4</v>
      </c>
      <c r="AL528" t="s">
        <v>76</v>
      </c>
      <c r="AM528">
        <v>3</v>
      </c>
      <c r="AN528" t="s">
        <v>76</v>
      </c>
      <c r="AO528">
        <v>20</v>
      </c>
      <c r="AP528" t="s">
        <v>76</v>
      </c>
      <c r="AQ528">
        <v>7</v>
      </c>
      <c r="AR528">
        <v>11</v>
      </c>
      <c r="AS528">
        <v>10</v>
      </c>
    </row>
    <row r="529" spans="1:4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 t="str">
        <f>IF(Employee_data[[#This Row],[MonthlyIncome]]&lt;5000,"Low Income",
IF(Employee_data[[#This Row],[MonthlyIncome]]&lt;10000,"Medium Income","High Income"))</f>
        <v>Medium Income</v>
      </c>
      <c r="U529" t="s">
        <v>92</v>
      </c>
      <c r="V529" t="s">
        <v>92</v>
      </c>
      <c r="W529" t="s">
        <v>92</v>
      </c>
      <c r="X529" t="s">
        <v>92</v>
      </c>
      <c r="Y529">
        <v>21703</v>
      </c>
      <c r="Z529">
        <v>1</v>
      </c>
      <c r="AA529" t="s">
        <v>42</v>
      </c>
      <c r="AB529" t="s">
        <v>43</v>
      </c>
      <c r="AC529">
        <v>12</v>
      </c>
      <c r="AD529">
        <v>3</v>
      </c>
      <c r="AE529">
        <v>4</v>
      </c>
      <c r="AF529">
        <v>80</v>
      </c>
      <c r="AG529">
        <v>0</v>
      </c>
      <c r="AH5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29">
        <v>10</v>
      </c>
      <c r="AJ529" t="s">
        <v>75</v>
      </c>
      <c r="AK529">
        <v>2</v>
      </c>
      <c r="AL529" t="s">
        <v>75</v>
      </c>
      <c r="AM529">
        <v>2</v>
      </c>
      <c r="AN529" t="s">
        <v>75</v>
      </c>
      <c r="AO529">
        <v>10</v>
      </c>
      <c r="AP529" t="s">
        <v>75</v>
      </c>
      <c r="AQ529">
        <v>7</v>
      </c>
      <c r="AR529">
        <v>0</v>
      </c>
      <c r="AS529">
        <v>8</v>
      </c>
    </row>
    <row r="530" spans="1:4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 t="str">
        <f>IF(Employee_data[[#This Row],[MonthlyIncome]]&lt;5000,"Low Income",
IF(Employee_data[[#This Row],[MonthlyIncome]]&lt;10000,"Medium Income","High Income"))</f>
        <v>Medium Income</v>
      </c>
      <c r="U530" t="s">
        <v>92</v>
      </c>
      <c r="V530" t="s">
        <v>92</v>
      </c>
      <c r="W530" t="s">
        <v>92</v>
      </c>
      <c r="X530" t="s">
        <v>92</v>
      </c>
      <c r="Y530">
        <v>23452</v>
      </c>
      <c r="Z530">
        <v>3</v>
      </c>
      <c r="AA530" t="s">
        <v>42</v>
      </c>
      <c r="AB530" t="s">
        <v>35</v>
      </c>
      <c r="AC530">
        <v>14</v>
      </c>
      <c r="AD530">
        <v>3</v>
      </c>
      <c r="AE530">
        <v>1</v>
      </c>
      <c r="AF530">
        <v>80</v>
      </c>
      <c r="AG530">
        <v>1</v>
      </c>
      <c r="AH5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30">
        <v>18</v>
      </c>
      <c r="AJ530" t="s">
        <v>74</v>
      </c>
      <c r="AK530">
        <v>4</v>
      </c>
      <c r="AL530" t="s">
        <v>74</v>
      </c>
      <c r="AM530">
        <v>3</v>
      </c>
      <c r="AN530" t="s">
        <v>74</v>
      </c>
      <c r="AO530">
        <v>4</v>
      </c>
      <c r="AP530" t="s">
        <v>74</v>
      </c>
      <c r="AQ530">
        <v>3</v>
      </c>
      <c r="AR530">
        <v>1</v>
      </c>
      <c r="AS530">
        <v>3</v>
      </c>
    </row>
    <row r="531" spans="1:4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 t="str">
        <f>IF(Employee_data[[#This Row],[MonthlyIncome]]&lt;5000,"Low Income",
IF(Employee_data[[#This Row],[MonthlyIncome]]&lt;10000,"Medium Income","High Income"))</f>
        <v>Medium Income</v>
      </c>
      <c r="U531" t="s">
        <v>92</v>
      </c>
      <c r="V531" t="s">
        <v>92</v>
      </c>
      <c r="W531" t="s">
        <v>92</v>
      </c>
      <c r="X531" t="s">
        <v>92</v>
      </c>
      <c r="Y531">
        <v>19383</v>
      </c>
      <c r="Z531">
        <v>0</v>
      </c>
      <c r="AA531" t="s">
        <v>42</v>
      </c>
      <c r="AB531" t="s">
        <v>43</v>
      </c>
      <c r="AC531">
        <v>13</v>
      </c>
      <c r="AD531">
        <v>3</v>
      </c>
      <c r="AE531">
        <v>3</v>
      </c>
      <c r="AF531">
        <v>80</v>
      </c>
      <c r="AG531">
        <v>0</v>
      </c>
      <c r="AH5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31">
        <v>10</v>
      </c>
      <c r="AJ531" t="s">
        <v>78</v>
      </c>
      <c r="AK531">
        <v>4</v>
      </c>
      <c r="AL531" t="s">
        <v>78</v>
      </c>
      <c r="AM531">
        <v>2</v>
      </c>
      <c r="AN531" t="s">
        <v>78</v>
      </c>
      <c r="AO531">
        <v>9</v>
      </c>
      <c r="AP531" t="s">
        <v>78</v>
      </c>
      <c r="AQ531">
        <v>7</v>
      </c>
      <c r="AR531">
        <v>1</v>
      </c>
      <c r="AS531">
        <v>8</v>
      </c>
    </row>
    <row r="532" spans="1:4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 t="str">
        <f>IF(Employee_data[[#This Row],[MonthlyIncome]]&lt;5000,"Low Income",
IF(Employee_data[[#This Row],[MonthlyIncome]]&lt;10000,"Medium Income","High Income"))</f>
        <v>Medium Income</v>
      </c>
      <c r="U532" t="s">
        <v>92</v>
      </c>
      <c r="V532" t="s">
        <v>92</v>
      </c>
      <c r="W532" t="s">
        <v>92</v>
      </c>
      <c r="X532" t="s">
        <v>92</v>
      </c>
      <c r="Y532">
        <v>6009</v>
      </c>
      <c r="Z532">
        <v>1</v>
      </c>
      <c r="AA532" t="s">
        <v>42</v>
      </c>
      <c r="AB532" t="s">
        <v>43</v>
      </c>
      <c r="AC532">
        <v>11</v>
      </c>
      <c r="AD532">
        <v>3</v>
      </c>
      <c r="AE532">
        <v>4</v>
      </c>
      <c r="AF532">
        <v>80</v>
      </c>
      <c r="AG532">
        <v>0</v>
      </c>
      <c r="AH5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32">
        <v>9</v>
      </c>
      <c r="AJ532" t="s">
        <v>78</v>
      </c>
      <c r="AK532">
        <v>3</v>
      </c>
      <c r="AL532" t="s">
        <v>78</v>
      </c>
      <c r="AM532">
        <v>3</v>
      </c>
      <c r="AN532" t="s">
        <v>78</v>
      </c>
      <c r="AO532">
        <v>9</v>
      </c>
      <c r="AP532" t="s">
        <v>78</v>
      </c>
      <c r="AQ532">
        <v>7</v>
      </c>
      <c r="AR532">
        <v>0</v>
      </c>
      <c r="AS532">
        <v>7</v>
      </c>
    </row>
    <row r="533" spans="1:4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 t="str">
        <f>IF(Employee_data[[#This Row],[MonthlyIncome]]&lt;5000,"Low Income",
IF(Employee_data[[#This Row],[MonthlyIncome]]&lt;10000,"Medium Income","High Income"))</f>
        <v>High Income</v>
      </c>
      <c r="U533" t="s">
        <v>90</v>
      </c>
      <c r="V533" t="s">
        <v>90</v>
      </c>
      <c r="W533" t="s">
        <v>90</v>
      </c>
      <c r="X533" t="s">
        <v>90</v>
      </c>
      <c r="Y533">
        <v>19373</v>
      </c>
      <c r="Z533">
        <v>3</v>
      </c>
      <c r="AA533" t="s">
        <v>42</v>
      </c>
      <c r="AB533" t="s">
        <v>43</v>
      </c>
      <c r="AC533">
        <v>15</v>
      </c>
      <c r="AD533">
        <v>3</v>
      </c>
      <c r="AE533">
        <v>4</v>
      </c>
      <c r="AF533">
        <v>80</v>
      </c>
      <c r="AG533">
        <v>0</v>
      </c>
      <c r="AH5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33">
        <v>10</v>
      </c>
      <c r="AJ533" t="s">
        <v>78</v>
      </c>
      <c r="AK533">
        <v>6</v>
      </c>
      <c r="AL533" t="s">
        <v>78</v>
      </c>
      <c r="AM533">
        <v>3</v>
      </c>
      <c r="AN533" t="s">
        <v>78</v>
      </c>
      <c r="AO533">
        <v>7</v>
      </c>
      <c r="AP533" t="s">
        <v>78</v>
      </c>
      <c r="AQ533">
        <v>7</v>
      </c>
      <c r="AR533">
        <v>7</v>
      </c>
      <c r="AS533">
        <v>7</v>
      </c>
    </row>
    <row r="534" spans="1:4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 t="str">
        <f>IF(Employee_data[[#This Row],[MonthlyIncome]]&lt;5000,"Low Income",
IF(Employee_data[[#This Row],[MonthlyIncome]]&lt;10000,"Medium Income","High Income"))</f>
        <v>Low Income</v>
      </c>
      <c r="U534" t="s">
        <v>91</v>
      </c>
      <c r="V534" t="s">
        <v>91</v>
      </c>
      <c r="W534" t="s">
        <v>91</v>
      </c>
      <c r="X534" t="s">
        <v>91</v>
      </c>
      <c r="Y534">
        <v>11825</v>
      </c>
      <c r="Z534">
        <v>2</v>
      </c>
      <c r="AA534" t="s">
        <v>42</v>
      </c>
      <c r="AB534" t="s">
        <v>43</v>
      </c>
      <c r="AC534">
        <v>12</v>
      </c>
      <c r="AD534">
        <v>3</v>
      </c>
      <c r="AE534">
        <v>4</v>
      </c>
      <c r="AF534">
        <v>80</v>
      </c>
      <c r="AG534">
        <v>0</v>
      </c>
      <c r="AH5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34">
        <v>20</v>
      </c>
      <c r="AJ534" t="s">
        <v>78</v>
      </c>
      <c r="AK534">
        <v>2</v>
      </c>
      <c r="AL534" t="s">
        <v>78</v>
      </c>
      <c r="AM534">
        <v>3</v>
      </c>
      <c r="AN534" t="s">
        <v>78</v>
      </c>
      <c r="AO534">
        <v>7</v>
      </c>
      <c r="AP534" t="s">
        <v>78</v>
      </c>
      <c r="AQ534">
        <v>7</v>
      </c>
      <c r="AR534">
        <v>1</v>
      </c>
      <c r="AS534">
        <v>7</v>
      </c>
    </row>
    <row r="535" spans="1:4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 t="str">
        <f>IF(Employee_data[[#This Row],[MonthlyIncome]]&lt;5000,"Low Income",
IF(Employee_data[[#This Row],[MonthlyIncome]]&lt;10000,"Medium Income","High Income"))</f>
        <v>High Income</v>
      </c>
      <c r="U535" t="s">
        <v>90</v>
      </c>
      <c r="V535" t="s">
        <v>90</v>
      </c>
      <c r="W535" t="s">
        <v>90</v>
      </c>
      <c r="X535" t="s">
        <v>90</v>
      </c>
      <c r="Y535">
        <v>23772</v>
      </c>
      <c r="Z535">
        <v>5</v>
      </c>
      <c r="AA535" t="s">
        <v>42</v>
      </c>
      <c r="AB535" t="s">
        <v>35</v>
      </c>
      <c r="AC535">
        <v>21</v>
      </c>
      <c r="AD535">
        <v>4</v>
      </c>
      <c r="AE535">
        <v>3</v>
      </c>
      <c r="AF535">
        <v>80</v>
      </c>
      <c r="AG535">
        <v>1</v>
      </c>
      <c r="AH5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35">
        <v>20</v>
      </c>
      <c r="AJ535" t="s">
        <v>76</v>
      </c>
      <c r="AK535">
        <v>2</v>
      </c>
      <c r="AL535" t="s">
        <v>76</v>
      </c>
      <c r="AM535">
        <v>3</v>
      </c>
      <c r="AN535" t="s">
        <v>76</v>
      </c>
      <c r="AO535">
        <v>18</v>
      </c>
      <c r="AP535" t="s">
        <v>76</v>
      </c>
      <c r="AQ535">
        <v>13</v>
      </c>
      <c r="AR535">
        <v>1</v>
      </c>
      <c r="AS535">
        <v>12</v>
      </c>
    </row>
    <row r="536" spans="1:4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 t="str">
        <f>IF(Employee_data[[#This Row],[MonthlyIncome]]&lt;5000,"Low Income",
IF(Employee_data[[#This Row],[MonthlyIncome]]&lt;10000,"Medium Income","High Income"))</f>
        <v>High Income</v>
      </c>
      <c r="U536" t="s">
        <v>90</v>
      </c>
      <c r="V536" t="s">
        <v>90</v>
      </c>
      <c r="W536" t="s">
        <v>90</v>
      </c>
      <c r="X536" t="s">
        <v>90</v>
      </c>
      <c r="Y536">
        <v>13514</v>
      </c>
      <c r="Z536">
        <v>3</v>
      </c>
      <c r="AA536" t="s">
        <v>42</v>
      </c>
      <c r="AB536" t="s">
        <v>43</v>
      </c>
      <c r="AC536">
        <v>19</v>
      </c>
      <c r="AD536">
        <v>3</v>
      </c>
      <c r="AE536">
        <v>3</v>
      </c>
      <c r="AF536">
        <v>80</v>
      </c>
      <c r="AG536">
        <v>0</v>
      </c>
      <c r="AH5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36">
        <v>32</v>
      </c>
      <c r="AJ536" t="s">
        <v>78</v>
      </c>
      <c r="AK536">
        <v>3</v>
      </c>
      <c r="AL536" t="s">
        <v>78</v>
      </c>
      <c r="AM536">
        <v>3</v>
      </c>
      <c r="AN536" t="s">
        <v>78</v>
      </c>
      <c r="AO536">
        <v>5</v>
      </c>
      <c r="AP536" t="s">
        <v>78</v>
      </c>
      <c r="AQ536">
        <v>1</v>
      </c>
      <c r="AR536">
        <v>1</v>
      </c>
      <c r="AS536">
        <v>3</v>
      </c>
    </row>
    <row r="537" spans="1:4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 t="str">
        <f>IF(Employee_data[[#This Row],[MonthlyIncome]]&lt;5000,"Low Income",
IF(Employee_data[[#This Row],[MonthlyIncome]]&lt;10000,"Medium Income","High Income"))</f>
        <v>High Income</v>
      </c>
      <c r="U537" t="s">
        <v>90</v>
      </c>
      <c r="V537" t="s">
        <v>90</v>
      </c>
      <c r="W537" t="s">
        <v>90</v>
      </c>
      <c r="X537" t="s">
        <v>90</v>
      </c>
      <c r="Y537">
        <v>8861</v>
      </c>
      <c r="Z537">
        <v>3</v>
      </c>
      <c r="AA537" t="s">
        <v>42</v>
      </c>
      <c r="AB537" t="s">
        <v>43</v>
      </c>
      <c r="AC537">
        <v>15</v>
      </c>
      <c r="AD537">
        <v>3</v>
      </c>
      <c r="AE537">
        <v>2</v>
      </c>
      <c r="AF537">
        <v>80</v>
      </c>
      <c r="AG537">
        <v>3</v>
      </c>
      <c r="AH5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37">
        <v>23</v>
      </c>
      <c r="AJ537" t="s">
        <v>76</v>
      </c>
      <c r="AK537">
        <v>2</v>
      </c>
      <c r="AL537" t="s">
        <v>76</v>
      </c>
      <c r="AM537">
        <v>2</v>
      </c>
      <c r="AN537" t="s">
        <v>76</v>
      </c>
      <c r="AO537">
        <v>21</v>
      </c>
      <c r="AP537" t="s">
        <v>76</v>
      </c>
      <c r="AQ537">
        <v>6</v>
      </c>
      <c r="AR537">
        <v>12</v>
      </c>
      <c r="AS537">
        <v>6</v>
      </c>
    </row>
    <row r="538" spans="1:4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 t="str">
        <f>IF(Employee_data[[#This Row],[MonthlyIncome]]&lt;5000,"Low Income",
IF(Employee_data[[#This Row],[MonthlyIncome]]&lt;10000,"Medium Income","High Income"))</f>
        <v>Medium Income</v>
      </c>
      <c r="U538" t="s">
        <v>92</v>
      </c>
      <c r="V538" t="s">
        <v>92</v>
      </c>
      <c r="W538" t="s">
        <v>92</v>
      </c>
      <c r="X538" t="s">
        <v>92</v>
      </c>
      <c r="Y538">
        <v>11924</v>
      </c>
      <c r="Z538">
        <v>8</v>
      </c>
      <c r="AA538" t="s">
        <v>42</v>
      </c>
      <c r="AB538" t="s">
        <v>43</v>
      </c>
      <c r="AC538">
        <v>14</v>
      </c>
      <c r="AD538">
        <v>3</v>
      </c>
      <c r="AE538">
        <v>4</v>
      </c>
      <c r="AF538">
        <v>80</v>
      </c>
      <c r="AG538">
        <v>0</v>
      </c>
      <c r="AH5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38">
        <v>10</v>
      </c>
      <c r="AJ538" t="s">
        <v>74</v>
      </c>
      <c r="AK538">
        <v>1</v>
      </c>
      <c r="AL538" t="s">
        <v>74</v>
      </c>
      <c r="AM538">
        <v>3</v>
      </c>
      <c r="AN538" t="s">
        <v>74</v>
      </c>
      <c r="AO538">
        <v>2</v>
      </c>
      <c r="AP538" t="s">
        <v>74</v>
      </c>
      <c r="AQ538">
        <v>2</v>
      </c>
      <c r="AR538">
        <v>2</v>
      </c>
      <c r="AS538">
        <v>2</v>
      </c>
    </row>
    <row r="539" spans="1:4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 t="str">
        <f>IF(Employee_data[[#This Row],[MonthlyIncome]]&lt;5000,"Low Income",
IF(Employee_data[[#This Row],[MonthlyIncome]]&lt;10000,"Medium Income","High Income"))</f>
        <v>Medium Income</v>
      </c>
      <c r="U539" t="s">
        <v>92</v>
      </c>
      <c r="V539" t="s">
        <v>92</v>
      </c>
      <c r="W539" t="s">
        <v>92</v>
      </c>
      <c r="X539" t="s">
        <v>92</v>
      </c>
      <c r="Y539">
        <v>4809</v>
      </c>
      <c r="Z539">
        <v>1</v>
      </c>
      <c r="AA539" t="s">
        <v>42</v>
      </c>
      <c r="AB539" t="s">
        <v>43</v>
      </c>
      <c r="AC539">
        <v>21</v>
      </c>
      <c r="AD539">
        <v>4</v>
      </c>
      <c r="AE539">
        <v>3</v>
      </c>
      <c r="AF539">
        <v>80</v>
      </c>
      <c r="AG539">
        <v>2</v>
      </c>
      <c r="AH5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39">
        <v>9</v>
      </c>
      <c r="AJ539" t="s">
        <v>78</v>
      </c>
      <c r="AK539">
        <v>4</v>
      </c>
      <c r="AL539" t="s">
        <v>78</v>
      </c>
      <c r="AM539">
        <v>2</v>
      </c>
      <c r="AN539" t="s">
        <v>78</v>
      </c>
      <c r="AO539">
        <v>9</v>
      </c>
      <c r="AP539" t="s">
        <v>78</v>
      </c>
      <c r="AQ539">
        <v>7</v>
      </c>
      <c r="AR539">
        <v>1</v>
      </c>
      <c r="AS539">
        <v>7</v>
      </c>
    </row>
    <row r="540" spans="1:4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 t="str">
        <f>IF(Employee_data[[#This Row],[MonthlyIncome]]&lt;5000,"Low Income",
IF(Employee_data[[#This Row],[MonthlyIncome]]&lt;10000,"Medium Income","High Income"))</f>
        <v>High Income</v>
      </c>
      <c r="U540" t="s">
        <v>90</v>
      </c>
      <c r="V540" t="s">
        <v>90</v>
      </c>
      <c r="W540" t="s">
        <v>90</v>
      </c>
      <c r="X540" t="s">
        <v>90</v>
      </c>
      <c r="Y540">
        <v>19562</v>
      </c>
      <c r="Z540">
        <v>1</v>
      </c>
      <c r="AA540" t="s">
        <v>42</v>
      </c>
      <c r="AB540" t="s">
        <v>43</v>
      </c>
      <c r="AC540">
        <v>12</v>
      </c>
      <c r="AD540">
        <v>3</v>
      </c>
      <c r="AE540">
        <v>2</v>
      </c>
      <c r="AF540">
        <v>80</v>
      </c>
      <c r="AG540">
        <v>1</v>
      </c>
      <c r="AH5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40">
        <v>22</v>
      </c>
      <c r="AJ540" t="s">
        <v>76</v>
      </c>
      <c r="AK540">
        <v>3</v>
      </c>
      <c r="AL540" t="s">
        <v>76</v>
      </c>
      <c r="AM540">
        <v>3</v>
      </c>
      <c r="AN540" t="s">
        <v>76</v>
      </c>
      <c r="AO540">
        <v>22</v>
      </c>
      <c r="AP540" t="s">
        <v>76</v>
      </c>
      <c r="AQ540">
        <v>7</v>
      </c>
      <c r="AR540">
        <v>2</v>
      </c>
      <c r="AS540">
        <v>10</v>
      </c>
    </row>
    <row r="541" spans="1:4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 t="str">
        <f>IF(Employee_data[[#This Row],[MonthlyIncome]]&lt;5000,"Low Income",
IF(Employee_data[[#This Row],[MonthlyIncome]]&lt;10000,"Medium Income","High Income"))</f>
        <v>Low Income</v>
      </c>
      <c r="U541" t="s">
        <v>91</v>
      </c>
      <c r="V541" t="s">
        <v>91</v>
      </c>
      <c r="W541" t="s">
        <v>91</v>
      </c>
      <c r="X541" t="s">
        <v>91</v>
      </c>
      <c r="Y541">
        <v>9983</v>
      </c>
      <c r="Z541">
        <v>7</v>
      </c>
      <c r="AA541" t="s">
        <v>42</v>
      </c>
      <c r="AB541" t="s">
        <v>43</v>
      </c>
      <c r="AC541">
        <v>15</v>
      </c>
      <c r="AD541">
        <v>3</v>
      </c>
      <c r="AE541">
        <v>4</v>
      </c>
      <c r="AF541">
        <v>80</v>
      </c>
      <c r="AG541">
        <v>1</v>
      </c>
      <c r="AH5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41">
        <v>4</v>
      </c>
      <c r="AJ541" t="s">
        <v>74</v>
      </c>
      <c r="AK541">
        <v>2</v>
      </c>
      <c r="AL541" t="s">
        <v>74</v>
      </c>
      <c r="AM541">
        <v>3</v>
      </c>
      <c r="AN541" t="s">
        <v>74</v>
      </c>
      <c r="AO541">
        <v>2</v>
      </c>
      <c r="AP541" t="s">
        <v>74</v>
      </c>
      <c r="AQ541">
        <v>2</v>
      </c>
      <c r="AR541">
        <v>2</v>
      </c>
      <c r="AS541">
        <v>2</v>
      </c>
    </row>
    <row r="542" spans="1:4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 t="str">
        <f>IF(Employee_data[[#This Row],[MonthlyIncome]]&lt;5000,"Low Income",
IF(Employee_data[[#This Row],[MonthlyIncome]]&lt;10000,"Medium Income","High Income"))</f>
        <v>Low Income</v>
      </c>
      <c r="U542" t="s">
        <v>91</v>
      </c>
      <c r="V542" t="s">
        <v>91</v>
      </c>
      <c r="W542" t="s">
        <v>91</v>
      </c>
      <c r="X542" t="s">
        <v>91</v>
      </c>
      <c r="Y542">
        <v>3872</v>
      </c>
      <c r="Z542">
        <v>7</v>
      </c>
      <c r="AA542" t="s">
        <v>42</v>
      </c>
      <c r="AB542" t="s">
        <v>35</v>
      </c>
      <c r="AC542">
        <v>13</v>
      </c>
      <c r="AD542">
        <v>3</v>
      </c>
      <c r="AE542">
        <v>4</v>
      </c>
      <c r="AF542">
        <v>80</v>
      </c>
      <c r="AG542">
        <v>0</v>
      </c>
      <c r="AH5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42">
        <v>10</v>
      </c>
      <c r="AJ542" t="s">
        <v>78</v>
      </c>
      <c r="AK542">
        <v>4</v>
      </c>
      <c r="AL542" t="s">
        <v>78</v>
      </c>
      <c r="AM542">
        <v>3</v>
      </c>
      <c r="AN542" t="s">
        <v>78</v>
      </c>
      <c r="AO542">
        <v>7</v>
      </c>
      <c r="AP542" t="s">
        <v>78</v>
      </c>
      <c r="AQ542">
        <v>7</v>
      </c>
      <c r="AR542">
        <v>3</v>
      </c>
      <c r="AS542">
        <v>7</v>
      </c>
    </row>
    <row r="543" spans="1:4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 t="str">
        <f>IF(Employee_data[[#This Row],[MonthlyIncome]]&lt;5000,"Low Income",
IF(Employee_data[[#This Row],[MonthlyIncome]]&lt;10000,"Medium Income","High Income"))</f>
        <v>High Income</v>
      </c>
      <c r="U543" t="s">
        <v>90</v>
      </c>
      <c r="V543" t="s">
        <v>90</v>
      </c>
      <c r="W543" t="s">
        <v>90</v>
      </c>
      <c r="X543" t="s">
        <v>90</v>
      </c>
      <c r="Y543">
        <v>20335</v>
      </c>
      <c r="Z543">
        <v>9</v>
      </c>
      <c r="AA543" t="s">
        <v>42</v>
      </c>
      <c r="AB543" t="s">
        <v>43</v>
      </c>
      <c r="AC543">
        <v>14</v>
      </c>
      <c r="AD543">
        <v>3</v>
      </c>
      <c r="AE543">
        <v>1</v>
      </c>
      <c r="AF543">
        <v>80</v>
      </c>
      <c r="AG543">
        <v>1</v>
      </c>
      <c r="AH5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43">
        <v>10</v>
      </c>
      <c r="AJ543" t="s">
        <v>78</v>
      </c>
      <c r="AK543">
        <v>2</v>
      </c>
      <c r="AL543" t="s">
        <v>78</v>
      </c>
      <c r="AM543">
        <v>3</v>
      </c>
      <c r="AN543" t="s">
        <v>78</v>
      </c>
      <c r="AO543">
        <v>8</v>
      </c>
      <c r="AP543" t="s">
        <v>78</v>
      </c>
      <c r="AQ543">
        <v>7</v>
      </c>
      <c r="AR543">
        <v>0</v>
      </c>
      <c r="AS543">
        <v>5</v>
      </c>
    </row>
    <row r="544" spans="1:4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 t="str">
        <f>IF(Employee_data[[#This Row],[MonthlyIncome]]&lt;5000,"Low Income",
IF(Employee_data[[#This Row],[MonthlyIncome]]&lt;10000,"Medium Income","High Income"))</f>
        <v>Medium Income</v>
      </c>
      <c r="U544" t="s">
        <v>92</v>
      </c>
      <c r="V544" t="s">
        <v>92</v>
      </c>
      <c r="W544" t="s">
        <v>92</v>
      </c>
      <c r="X544" t="s">
        <v>92</v>
      </c>
      <c r="Y544">
        <v>15397</v>
      </c>
      <c r="Z544">
        <v>4</v>
      </c>
      <c r="AA544" t="s">
        <v>42</v>
      </c>
      <c r="AB544" t="s">
        <v>35</v>
      </c>
      <c r="AC544">
        <v>14</v>
      </c>
      <c r="AD544">
        <v>3</v>
      </c>
      <c r="AE544">
        <v>4</v>
      </c>
      <c r="AF544">
        <v>80</v>
      </c>
      <c r="AG544">
        <v>0</v>
      </c>
      <c r="AH5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44">
        <v>10</v>
      </c>
      <c r="AJ544" t="s">
        <v>74</v>
      </c>
      <c r="AK544">
        <v>4</v>
      </c>
      <c r="AL544" t="s">
        <v>74</v>
      </c>
      <c r="AM544">
        <v>4</v>
      </c>
      <c r="AN544" t="s">
        <v>74</v>
      </c>
      <c r="AO544">
        <v>1</v>
      </c>
      <c r="AP544" t="s">
        <v>74</v>
      </c>
      <c r="AQ544">
        <v>0</v>
      </c>
      <c r="AR544">
        <v>0</v>
      </c>
      <c r="AS544">
        <v>0</v>
      </c>
    </row>
    <row r="545" spans="1:4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 t="str">
        <f>IF(Employee_data[[#This Row],[MonthlyIncome]]&lt;5000,"Low Income",
IF(Employee_data[[#This Row],[MonthlyIncome]]&lt;10000,"Medium Income","High Income"))</f>
        <v>Low Income</v>
      </c>
      <c r="U545" t="s">
        <v>91</v>
      </c>
      <c r="V545" t="s">
        <v>91</v>
      </c>
      <c r="W545" t="s">
        <v>91</v>
      </c>
      <c r="X545" t="s">
        <v>91</v>
      </c>
      <c r="Y545">
        <v>2104</v>
      </c>
      <c r="Z545">
        <v>2</v>
      </c>
      <c r="AA545" t="s">
        <v>42</v>
      </c>
      <c r="AB545" t="s">
        <v>43</v>
      </c>
      <c r="AC545">
        <v>14</v>
      </c>
      <c r="AD545">
        <v>3</v>
      </c>
      <c r="AE545">
        <v>3</v>
      </c>
      <c r="AF545">
        <v>80</v>
      </c>
      <c r="AG545">
        <v>0</v>
      </c>
      <c r="AH5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45">
        <v>9</v>
      </c>
      <c r="AJ545" t="s">
        <v>78</v>
      </c>
      <c r="AK545">
        <v>5</v>
      </c>
      <c r="AL545" t="s">
        <v>78</v>
      </c>
      <c r="AM545">
        <v>3</v>
      </c>
      <c r="AN545" t="s">
        <v>78</v>
      </c>
      <c r="AO545">
        <v>5</v>
      </c>
      <c r="AP545" t="s">
        <v>78</v>
      </c>
      <c r="AQ545">
        <v>2</v>
      </c>
      <c r="AR545">
        <v>1</v>
      </c>
      <c r="AS545">
        <v>4</v>
      </c>
    </row>
    <row r="546" spans="1:4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 t="str">
        <f>IF(Employee_data[[#This Row],[MonthlyIncome]]&lt;5000,"Low Income",
IF(Employee_data[[#This Row],[MonthlyIncome]]&lt;10000,"Medium Income","High Income"))</f>
        <v>High Income</v>
      </c>
      <c r="U546" t="s">
        <v>90</v>
      </c>
      <c r="V546" t="s">
        <v>90</v>
      </c>
      <c r="W546" t="s">
        <v>90</v>
      </c>
      <c r="X546" t="s">
        <v>90</v>
      </c>
      <c r="Y546">
        <v>10225</v>
      </c>
      <c r="Z546">
        <v>9</v>
      </c>
      <c r="AA546" t="s">
        <v>42</v>
      </c>
      <c r="AB546" t="s">
        <v>35</v>
      </c>
      <c r="AC546">
        <v>12</v>
      </c>
      <c r="AD546">
        <v>3</v>
      </c>
      <c r="AE546">
        <v>4</v>
      </c>
      <c r="AF546">
        <v>80</v>
      </c>
      <c r="AG546">
        <v>2</v>
      </c>
      <c r="AH5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46">
        <v>28</v>
      </c>
      <c r="AJ546" t="s">
        <v>76</v>
      </c>
      <c r="AK546">
        <v>2</v>
      </c>
      <c r="AL546" t="s">
        <v>76</v>
      </c>
      <c r="AM546">
        <v>2</v>
      </c>
      <c r="AN546" t="s">
        <v>76</v>
      </c>
      <c r="AO546">
        <v>22</v>
      </c>
      <c r="AP546" t="s">
        <v>76</v>
      </c>
      <c r="AQ546">
        <v>2</v>
      </c>
      <c r="AR546">
        <v>11</v>
      </c>
      <c r="AS546">
        <v>13</v>
      </c>
    </row>
    <row r="547" spans="1:4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 t="str">
        <f>IF(Employee_data[[#This Row],[MonthlyIncome]]&lt;5000,"Low Income",
IF(Employee_data[[#This Row],[MonthlyIncome]]&lt;10000,"Medium Income","High Income"))</f>
        <v>Medium Income</v>
      </c>
      <c r="U547" t="s">
        <v>92</v>
      </c>
      <c r="V547" t="s">
        <v>92</v>
      </c>
      <c r="W547" t="s">
        <v>92</v>
      </c>
      <c r="X547" t="s">
        <v>92</v>
      </c>
      <c r="Y547">
        <v>25275</v>
      </c>
      <c r="Z547">
        <v>7</v>
      </c>
      <c r="AA547" t="s">
        <v>42</v>
      </c>
      <c r="AB547" t="s">
        <v>43</v>
      </c>
      <c r="AC547">
        <v>23</v>
      </c>
      <c r="AD547">
        <v>4</v>
      </c>
      <c r="AE547">
        <v>4</v>
      </c>
      <c r="AF547">
        <v>80</v>
      </c>
      <c r="AG547">
        <v>1</v>
      </c>
      <c r="AH5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47">
        <v>10</v>
      </c>
      <c r="AJ547" t="s">
        <v>78</v>
      </c>
      <c r="AK547">
        <v>2</v>
      </c>
      <c r="AL547" t="s">
        <v>78</v>
      </c>
      <c r="AM547">
        <v>2</v>
      </c>
      <c r="AN547" t="s">
        <v>78</v>
      </c>
      <c r="AO547">
        <v>8</v>
      </c>
      <c r="AP547" t="s">
        <v>78</v>
      </c>
      <c r="AQ547">
        <v>7</v>
      </c>
      <c r="AR547">
        <v>7</v>
      </c>
      <c r="AS547">
        <v>7</v>
      </c>
    </row>
    <row r="548" spans="1:4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 t="str">
        <f>IF(Employee_data[[#This Row],[MonthlyIncome]]&lt;5000,"Low Income",
IF(Employee_data[[#This Row],[MonthlyIncome]]&lt;10000,"Medium Income","High Income"))</f>
        <v>Low Income</v>
      </c>
      <c r="U548" t="s">
        <v>91</v>
      </c>
      <c r="V548" t="s">
        <v>91</v>
      </c>
      <c r="W548" t="s">
        <v>91</v>
      </c>
      <c r="X548" t="s">
        <v>91</v>
      </c>
      <c r="Y548">
        <v>2755</v>
      </c>
      <c r="Z548">
        <v>1</v>
      </c>
      <c r="AA548" t="s">
        <v>42</v>
      </c>
      <c r="AB548" t="s">
        <v>43</v>
      </c>
      <c r="AC548">
        <v>11</v>
      </c>
      <c r="AD548">
        <v>3</v>
      </c>
      <c r="AE548">
        <v>3</v>
      </c>
      <c r="AF548">
        <v>80</v>
      </c>
      <c r="AG548">
        <v>0</v>
      </c>
      <c r="AH5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48">
        <v>1</v>
      </c>
      <c r="AJ548" t="s">
        <v>74</v>
      </c>
      <c r="AK548">
        <v>6</v>
      </c>
      <c r="AL548" t="s">
        <v>74</v>
      </c>
      <c r="AM548">
        <v>3</v>
      </c>
      <c r="AN548" t="s">
        <v>74</v>
      </c>
      <c r="AO548">
        <v>1</v>
      </c>
      <c r="AP548" t="s">
        <v>74</v>
      </c>
      <c r="AQ548">
        <v>0</v>
      </c>
      <c r="AR548">
        <v>0</v>
      </c>
      <c r="AS548">
        <v>0</v>
      </c>
    </row>
    <row r="549" spans="1:4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 t="str">
        <f>IF(Employee_data[[#This Row],[MonthlyIncome]]&lt;5000,"Low Income",
IF(Employee_data[[#This Row],[MonthlyIncome]]&lt;10000,"Medium Income","High Income"))</f>
        <v>Low Income</v>
      </c>
      <c r="U549" t="s">
        <v>91</v>
      </c>
      <c r="V549" t="s">
        <v>91</v>
      </c>
      <c r="W549" t="s">
        <v>91</v>
      </c>
      <c r="X549" t="s">
        <v>91</v>
      </c>
      <c r="Y549">
        <v>20366</v>
      </c>
      <c r="Z549">
        <v>6</v>
      </c>
      <c r="AA549" t="s">
        <v>42</v>
      </c>
      <c r="AB549" t="s">
        <v>35</v>
      </c>
      <c r="AC549">
        <v>12</v>
      </c>
      <c r="AD549">
        <v>3</v>
      </c>
      <c r="AE549">
        <v>4</v>
      </c>
      <c r="AF549">
        <v>80</v>
      </c>
      <c r="AG549">
        <v>0</v>
      </c>
      <c r="AH5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49">
        <v>7</v>
      </c>
      <c r="AJ549" t="s">
        <v>74</v>
      </c>
      <c r="AK549">
        <v>2</v>
      </c>
      <c r="AL549" t="s">
        <v>74</v>
      </c>
      <c r="AM549">
        <v>3</v>
      </c>
      <c r="AN549" t="s">
        <v>74</v>
      </c>
      <c r="AO549">
        <v>2</v>
      </c>
      <c r="AP549" t="s">
        <v>74</v>
      </c>
      <c r="AQ549">
        <v>2</v>
      </c>
      <c r="AR549">
        <v>2</v>
      </c>
      <c r="AS549">
        <v>2</v>
      </c>
    </row>
    <row r="550" spans="1:4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 t="str">
        <f>IF(Employee_data[[#This Row],[MonthlyIncome]]&lt;5000,"Low Income",
IF(Employee_data[[#This Row],[MonthlyIncome]]&lt;10000,"Medium Income","High Income"))</f>
        <v>Medium Income</v>
      </c>
      <c r="U550" t="s">
        <v>92</v>
      </c>
      <c r="V550" t="s">
        <v>92</v>
      </c>
      <c r="W550" t="s">
        <v>92</v>
      </c>
      <c r="X550" t="s">
        <v>92</v>
      </c>
      <c r="Y550">
        <v>23683</v>
      </c>
      <c r="Z550">
        <v>3</v>
      </c>
      <c r="AA550" t="s">
        <v>42</v>
      </c>
      <c r="AB550" t="s">
        <v>43</v>
      </c>
      <c r="AC550">
        <v>18</v>
      </c>
      <c r="AD550">
        <v>3</v>
      </c>
      <c r="AE550">
        <v>3</v>
      </c>
      <c r="AF550">
        <v>80</v>
      </c>
      <c r="AG550">
        <v>1</v>
      </c>
      <c r="AH5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50">
        <v>7</v>
      </c>
      <c r="AJ550" t="s">
        <v>74</v>
      </c>
      <c r="AK550">
        <v>5</v>
      </c>
      <c r="AL550" t="s">
        <v>74</v>
      </c>
      <c r="AM550">
        <v>3</v>
      </c>
      <c r="AN550" t="s">
        <v>74</v>
      </c>
      <c r="AO550">
        <v>2</v>
      </c>
      <c r="AP550" t="s">
        <v>74</v>
      </c>
      <c r="AQ550">
        <v>2</v>
      </c>
      <c r="AR550">
        <v>2</v>
      </c>
      <c r="AS550">
        <v>2</v>
      </c>
    </row>
    <row r="551" spans="1:4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 t="str">
        <f>IF(Employee_data[[#This Row],[MonthlyIncome]]&lt;5000,"Low Income",
IF(Employee_data[[#This Row],[MonthlyIncome]]&lt;10000,"Medium Income","High Income"))</f>
        <v>Medium Income</v>
      </c>
      <c r="U551" t="s">
        <v>92</v>
      </c>
      <c r="V551" t="s">
        <v>92</v>
      </c>
      <c r="W551" t="s">
        <v>92</v>
      </c>
      <c r="X551" t="s">
        <v>92</v>
      </c>
      <c r="Y551">
        <v>7360</v>
      </c>
      <c r="Z551">
        <v>3</v>
      </c>
      <c r="AA551" t="s">
        <v>42</v>
      </c>
      <c r="AB551" t="s">
        <v>43</v>
      </c>
      <c r="AC551">
        <v>11</v>
      </c>
      <c r="AD551">
        <v>3</v>
      </c>
      <c r="AE551">
        <v>4</v>
      </c>
      <c r="AF551">
        <v>80</v>
      </c>
      <c r="AG551">
        <v>0</v>
      </c>
      <c r="AH5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51">
        <v>10</v>
      </c>
      <c r="AJ551" t="s">
        <v>78</v>
      </c>
      <c r="AK551">
        <v>2</v>
      </c>
      <c r="AL551" t="s">
        <v>78</v>
      </c>
      <c r="AM551">
        <v>3</v>
      </c>
      <c r="AN551" t="s">
        <v>78</v>
      </c>
      <c r="AO551">
        <v>5</v>
      </c>
      <c r="AP551" t="s">
        <v>78</v>
      </c>
      <c r="AQ551">
        <v>1</v>
      </c>
      <c r="AR551">
        <v>4</v>
      </c>
      <c r="AS551">
        <v>3</v>
      </c>
    </row>
    <row r="552" spans="1:4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 t="str">
        <f>IF(Employee_data[[#This Row],[MonthlyIncome]]&lt;5000,"Low Income",
IF(Employee_data[[#This Row],[MonthlyIncome]]&lt;10000,"Medium Income","High Income"))</f>
        <v>Low Income</v>
      </c>
      <c r="U552" t="s">
        <v>91</v>
      </c>
      <c r="V552" t="s">
        <v>91</v>
      </c>
      <c r="W552" t="s">
        <v>91</v>
      </c>
      <c r="X552" t="s">
        <v>91</v>
      </c>
      <c r="Y552">
        <v>4344</v>
      </c>
      <c r="Z552">
        <v>1</v>
      </c>
      <c r="AA552" t="s">
        <v>42</v>
      </c>
      <c r="AB552" t="s">
        <v>43</v>
      </c>
      <c r="AC552">
        <v>14</v>
      </c>
      <c r="AD552">
        <v>3</v>
      </c>
      <c r="AE552">
        <v>4</v>
      </c>
      <c r="AF552">
        <v>80</v>
      </c>
      <c r="AG552">
        <v>1</v>
      </c>
      <c r="AH5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52">
        <v>5</v>
      </c>
      <c r="AJ552" t="s">
        <v>74</v>
      </c>
      <c r="AK552">
        <v>2</v>
      </c>
      <c r="AL552" t="s">
        <v>74</v>
      </c>
      <c r="AM552">
        <v>4</v>
      </c>
      <c r="AN552" t="s">
        <v>74</v>
      </c>
      <c r="AO552">
        <v>4</v>
      </c>
      <c r="AP552" t="s">
        <v>74</v>
      </c>
      <c r="AQ552">
        <v>3</v>
      </c>
      <c r="AR552">
        <v>0</v>
      </c>
      <c r="AS552">
        <v>2</v>
      </c>
    </row>
    <row r="553" spans="1:4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 t="str">
        <f>IF(Employee_data[[#This Row],[MonthlyIncome]]&lt;5000,"Low Income",
IF(Employee_data[[#This Row],[MonthlyIncome]]&lt;10000,"Medium Income","High Income"))</f>
        <v>Medium Income</v>
      </c>
      <c r="U553" t="s">
        <v>92</v>
      </c>
      <c r="V553" t="s">
        <v>92</v>
      </c>
      <c r="W553" t="s">
        <v>92</v>
      </c>
      <c r="X553" t="s">
        <v>92</v>
      </c>
      <c r="Y553">
        <v>18767</v>
      </c>
      <c r="Z553">
        <v>9</v>
      </c>
      <c r="AA553" t="s">
        <v>42</v>
      </c>
      <c r="AB553" t="s">
        <v>43</v>
      </c>
      <c r="AC553">
        <v>15</v>
      </c>
      <c r="AD553">
        <v>3</v>
      </c>
      <c r="AE553">
        <v>3</v>
      </c>
      <c r="AF553">
        <v>80</v>
      </c>
      <c r="AG553">
        <v>1</v>
      </c>
      <c r="AH5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53">
        <v>12</v>
      </c>
      <c r="AJ553" t="s">
        <v>78</v>
      </c>
      <c r="AK553">
        <v>3</v>
      </c>
      <c r="AL553" t="s">
        <v>78</v>
      </c>
      <c r="AM553">
        <v>1</v>
      </c>
      <c r="AN553" t="s">
        <v>78</v>
      </c>
      <c r="AO553">
        <v>8</v>
      </c>
      <c r="AP553" t="s">
        <v>78</v>
      </c>
      <c r="AQ553">
        <v>3</v>
      </c>
      <c r="AR553">
        <v>3</v>
      </c>
      <c r="AS553">
        <v>6</v>
      </c>
    </row>
    <row r="554" spans="1:4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 t="str">
        <f>IF(Employee_data[[#This Row],[MonthlyIncome]]&lt;5000,"Low Income",
IF(Employee_data[[#This Row],[MonthlyIncome]]&lt;10000,"Medium Income","High Income"))</f>
        <v>High Income</v>
      </c>
      <c r="U554" t="s">
        <v>90</v>
      </c>
      <c r="V554" t="s">
        <v>90</v>
      </c>
      <c r="W554" t="s">
        <v>90</v>
      </c>
      <c r="X554" t="s">
        <v>90</v>
      </c>
      <c r="Y554">
        <v>20420</v>
      </c>
      <c r="Z554">
        <v>7</v>
      </c>
      <c r="AA554" t="s">
        <v>42</v>
      </c>
      <c r="AB554" t="s">
        <v>43</v>
      </c>
      <c r="AC554">
        <v>11</v>
      </c>
      <c r="AD554">
        <v>3</v>
      </c>
      <c r="AE554">
        <v>3</v>
      </c>
      <c r="AF554">
        <v>80</v>
      </c>
      <c r="AG554">
        <v>0</v>
      </c>
      <c r="AH5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54">
        <v>30</v>
      </c>
      <c r="AJ554" t="s">
        <v>75</v>
      </c>
      <c r="AK554">
        <v>1</v>
      </c>
      <c r="AL554" t="s">
        <v>75</v>
      </c>
      <c r="AM554">
        <v>2</v>
      </c>
      <c r="AN554" t="s">
        <v>75</v>
      </c>
      <c r="AO554">
        <v>10</v>
      </c>
      <c r="AP554" t="s">
        <v>75</v>
      </c>
      <c r="AQ554">
        <v>7</v>
      </c>
      <c r="AR554">
        <v>1</v>
      </c>
      <c r="AS554">
        <v>1</v>
      </c>
    </row>
    <row r="555" spans="1:4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 t="str">
        <f>IF(Employee_data[[#This Row],[MonthlyIncome]]&lt;5000,"Low Income",
IF(Employee_data[[#This Row],[MonthlyIncome]]&lt;10000,"Medium Income","High Income"))</f>
        <v>Low Income</v>
      </c>
      <c r="U555" t="s">
        <v>91</v>
      </c>
      <c r="V555" t="s">
        <v>91</v>
      </c>
      <c r="W555" t="s">
        <v>91</v>
      </c>
      <c r="X555" t="s">
        <v>91</v>
      </c>
      <c r="Y555">
        <v>22929</v>
      </c>
      <c r="Z555">
        <v>0</v>
      </c>
      <c r="AA555" t="s">
        <v>42</v>
      </c>
      <c r="AB555" t="s">
        <v>35</v>
      </c>
      <c r="AC555">
        <v>20</v>
      </c>
      <c r="AD555">
        <v>4</v>
      </c>
      <c r="AE555">
        <v>4</v>
      </c>
      <c r="AF555">
        <v>80</v>
      </c>
      <c r="AG555">
        <v>0</v>
      </c>
      <c r="AH5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55">
        <v>5</v>
      </c>
      <c r="AJ555" t="s">
        <v>74</v>
      </c>
      <c r="AK555">
        <v>2</v>
      </c>
      <c r="AL555" t="s">
        <v>74</v>
      </c>
      <c r="AM555">
        <v>2</v>
      </c>
      <c r="AN555" t="s">
        <v>74</v>
      </c>
      <c r="AO555">
        <v>4</v>
      </c>
      <c r="AP555" t="s">
        <v>74</v>
      </c>
      <c r="AQ555">
        <v>2</v>
      </c>
      <c r="AR555">
        <v>2</v>
      </c>
      <c r="AS555">
        <v>3</v>
      </c>
    </row>
    <row r="556" spans="1:4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 t="str">
        <f>IF(Employee_data[[#This Row],[MonthlyIncome]]&lt;5000,"Low Income",
IF(Employee_data[[#This Row],[MonthlyIncome]]&lt;10000,"Medium Income","High Income"))</f>
        <v>Medium Income</v>
      </c>
      <c r="U556" t="s">
        <v>92</v>
      </c>
      <c r="V556" t="s">
        <v>92</v>
      </c>
      <c r="W556" t="s">
        <v>92</v>
      </c>
      <c r="X556" t="s">
        <v>92</v>
      </c>
      <c r="Y556">
        <v>23398</v>
      </c>
      <c r="Z556">
        <v>8</v>
      </c>
      <c r="AA556" t="s">
        <v>42</v>
      </c>
      <c r="AB556" t="s">
        <v>43</v>
      </c>
      <c r="AC556">
        <v>19</v>
      </c>
      <c r="AD556">
        <v>3</v>
      </c>
      <c r="AE556">
        <v>1</v>
      </c>
      <c r="AF556">
        <v>80</v>
      </c>
      <c r="AG556">
        <v>0</v>
      </c>
      <c r="AH5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56">
        <v>9</v>
      </c>
      <c r="AJ556" t="s">
        <v>78</v>
      </c>
      <c r="AK556">
        <v>2</v>
      </c>
      <c r="AL556" t="s">
        <v>78</v>
      </c>
      <c r="AM556">
        <v>1</v>
      </c>
      <c r="AN556" t="s">
        <v>78</v>
      </c>
      <c r="AO556">
        <v>7</v>
      </c>
      <c r="AP556" t="s">
        <v>78</v>
      </c>
      <c r="AQ556">
        <v>6</v>
      </c>
      <c r="AR556">
        <v>0</v>
      </c>
      <c r="AS556">
        <v>7</v>
      </c>
    </row>
    <row r="557" spans="1:4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 t="str">
        <f>IF(Employee_data[[#This Row],[MonthlyIncome]]&lt;5000,"Low Income",
IF(Employee_data[[#This Row],[MonthlyIncome]]&lt;10000,"Medium Income","High Income"))</f>
        <v>Low Income</v>
      </c>
      <c r="U557" t="s">
        <v>91</v>
      </c>
      <c r="V557" t="s">
        <v>91</v>
      </c>
      <c r="W557" t="s">
        <v>91</v>
      </c>
      <c r="X557" t="s">
        <v>91</v>
      </c>
      <c r="Y557">
        <v>17967</v>
      </c>
      <c r="Z557">
        <v>1</v>
      </c>
      <c r="AA557" t="s">
        <v>42</v>
      </c>
      <c r="AB557" t="s">
        <v>43</v>
      </c>
      <c r="AC557">
        <v>14</v>
      </c>
      <c r="AD557">
        <v>3</v>
      </c>
      <c r="AE557">
        <v>4</v>
      </c>
      <c r="AF557">
        <v>80</v>
      </c>
      <c r="AG557">
        <v>2</v>
      </c>
      <c r="AH5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57">
        <v>2</v>
      </c>
      <c r="AJ557" t="s">
        <v>74</v>
      </c>
      <c r="AK557">
        <v>2</v>
      </c>
      <c r="AL557" t="s">
        <v>74</v>
      </c>
      <c r="AM557">
        <v>3</v>
      </c>
      <c r="AN557" t="s">
        <v>74</v>
      </c>
      <c r="AO557">
        <v>2</v>
      </c>
      <c r="AP557" t="s">
        <v>74</v>
      </c>
      <c r="AQ557">
        <v>2</v>
      </c>
      <c r="AR557">
        <v>2</v>
      </c>
      <c r="AS557">
        <v>2</v>
      </c>
    </row>
    <row r="558" spans="1:4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 t="str">
        <f>IF(Employee_data[[#This Row],[MonthlyIncome]]&lt;5000,"Low Income",
IF(Employee_data[[#This Row],[MonthlyIncome]]&lt;10000,"Medium Income","High Income"))</f>
        <v>Low Income</v>
      </c>
      <c r="U558" t="s">
        <v>91</v>
      </c>
      <c r="V558" t="s">
        <v>91</v>
      </c>
      <c r="W558" t="s">
        <v>91</v>
      </c>
      <c r="X558" t="s">
        <v>91</v>
      </c>
      <c r="Y558">
        <v>10919</v>
      </c>
      <c r="Z558">
        <v>2</v>
      </c>
      <c r="AA558" t="s">
        <v>42</v>
      </c>
      <c r="AB558" t="s">
        <v>43</v>
      </c>
      <c r="AC558">
        <v>17</v>
      </c>
      <c r="AD558">
        <v>3</v>
      </c>
      <c r="AE558">
        <v>4</v>
      </c>
      <c r="AF558">
        <v>80</v>
      </c>
      <c r="AG558">
        <v>0</v>
      </c>
      <c r="AH5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58">
        <v>19</v>
      </c>
      <c r="AJ558" t="s">
        <v>74</v>
      </c>
      <c r="AK558">
        <v>4</v>
      </c>
      <c r="AL558" t="s">
        <v>74</v>
      </c>
      <c r="AM558">
        <v>3</v>
      </c>
      <c r="AN558" t="s">
        <v>74</v>
      </c>
      <c r="AO558">
        <v>2</v>
      </c>
      <c r="AP558" t="s">
        <v>74</v>
      </c>
      <c r="AQ558">
        <v>2</v>
      </c>
      <c r="AR558">
        <v>2</v>
      </c>
      <c r="AS558">
        <v>2</v>
      </c>
    </row>
    <row r="559" spans="1:4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 t="str">
        <f>IF(Employee_data[[#This Row],[MonthlyIncome]]&lt;5000,"Low Income",
IF(Employee_data[[#This Row],[MonthlyIncome]]&lt;10000,"Medium Income","High Income"))</f>
        <v>Medium Income</v>
      </c>
      <c r="U559" t="s">
        <v>92</v>
      </c>
      <c r="V559" t="s">
        <v>92</v>
      </c>
      <c r="W559" t="s">
        <v>92</v>
      </c>
      <c r="X559" t="s">
        <v>92</v>
      </c>
      <c r="Y559">
        <v>4761</v>
      </c>
      <c r="Z559">
        <v>2</v>
      </c>
      <c r="AA559" t="s">
        <v>42</v>
      </c>
      <c r="AB559" t="s">
        <v>43</v>
      </c>
      <c r="AC559">
        <v>11</v>
      </c>
      <c r="AD559">
        <v>3</v>
      </c>
      <c r="AE559">
        <v>1</v>
      </c>
      <c r="AF559">
        <v>80</v>
      </c>
      <c r="AG559">
        <v>1</v>
      </c>
      <c r="AH5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59">
        <v>16</v>
      </c>
      <c r="AJ559" t="s">
        <v>74</v>
      </c>
      <c r="AK559">
        <v>2</v>
      </c>
      <c r="AL559" t="s">
        <v>74</v>
      </c>
      <c r="AM559">
        <v>4</v>
      </c>
      <c r="AN559" t="s">
        <v>74</v>
      </c>
      <c r="AO559">
        <v>1</v>
      </c>
      <c r="AP559" t="s">
        <v>74</v>
      </c>
      <c r="AQ559">
        <v>0</v>
      </c>
      <c r="AR559">
        <v>0</v>
      </c>
      <c r="AS559">
        <v>0</v>
      </c>
    </row>
    <row r="560" spans="1:4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 t="str">
        <f>IF(Employee_data[[#This Row],[MonthlyIncome]]&lt;5000,"Low Income",
IF(Employee_data[[#This Row],[MonthlyIncome]]&lt;10000,"Medium Income","High Income"))</f>
        <v>Medium Income</v>
      </c>
      <c r="U560" t="s">
        <v>92</v>
      </c>
      <c r="V560" t="s">
        <v>92</v>
      </c>
      <c r="W560" t="s">
        <v>92</v>
      </c>
      <c r="X560" t="s">
        <v>92</v>
      </c>
      <c r="Y560">
        <v>21146</v>
      </c>
      <c r="Z560">
        <v>1</v>
      </c>
      <c r="AA560" t="s">
        <v>42</v>
      </c>
      <c r="AB560" t="s">
        <v>43</v>
      </c>
      <c r="AC560">
        <v>15</v>
      </c>
      <c r="AD560">
        <v>3</v>
      </c>
      <c r="AE560">
        <v>4</v>
      </c>
      <c r="AF560">
        <v>80</v>
      </c>
      <c r="AG560">
        <v>2</v>
      </c>
      <c r="AH5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60">
        <v>10</v>
      </c>
      <c r="AJ560" t="s">
        <v>75</v>
      </c>
      <c r="AK560">
        <v>2</v>
      </c>
      <c r="AL560" t="s">
        <v>75</v>
      </c>
      <c r="AM560">
        <v>3</v>
      </c>
      <c r="AN560" t="s">
        <v>75</v>
      </c>
      <c r="AO560">
        <v>10</v>
      </c>
      <c r="AP560" t="s">
        <v>75</v>
      </c>
      <c r="AQ560">
        <v>8</v>
      </c>
      <c r="AR560">
        <v>4</v>
      </c>
      <c r="AS560">
        <v>7</v>
      </c>
    </row>
    <row r="561" spans="1:4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 t="str">
        <f>IF(Employee_data[[#This Row],[MonthlyIncome]]&lt;5000,"Low Income",
IF(Employee_data[[#This Row],[MonthlyIncome]]&lt;10000,"Medium Income","High Income"))</f>
        <v>Low Income</v>
      </c>
      <c r="U561" t="s">
        <v>91</v>
      </c>
      <c r="V561" t="s">
        <v>91</v>
      </c>
      <c r="W561" t="s">
        <v>91</v>
      </c>
      <c r="X561" t="s">
        <v>91</v>
      </c>
      <c r="Y561">
        <v>20471</v>
      </c>
      <c r="Z561">
        <v>6</v>
      </c>
      <c r="AA561" t="s">
        <v>42</v>
      </c>
      <c r="AB561" t="s">
        <v>35</v>
      </c>
      <c r="AC561">
        <v>13</v>
      </c>
      <c r="AD561">
        <v>3</v>
      </c>
      <c r="AE561">
        <v>2</v>
      </c>
      <c r="AF561">
        <v>80</v>
      </c>
      <c r="AG561">
        <v>1</v>
      </c>
      <c r="AH5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61">
        <v>6</v>
      </c>
      <c r="AJ561" t="s">
        <v>74</v>
      </c>
      <c r="AK561">
        <v>0</v>
      </c>
      <c r="AL561" t="s">
        <v>74</v>
      </c>
      <c r="AM561">
        <v>1</v>
      </c>
      <c r="AN561" t="s">
        <v>74</v>
      </c>
      <c r="AO561">
        <v>1</v>
      </c>
      <c r="AP561" t="s">
        <v>74</v>
      </c>
      <c r="AQ561">
        <v>0</v>
      </c>
      <c r="AR561">
        <v>0</v>
      </c>
      <c r="AS561">
        <v>1</v>
      </c>
    </row>
    <row r="562" spans="1:4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 t="str">
        <f>IF(Employee_data[[#This Row],[MonthlyIncome]]&lt;5000,"Low Income",
IF(Employee_data[[#This Row],[MonthlyIncome]]&lt;10000,"Medium Income","High Income"))</f>
        <v>Medium Income</v>
      </c>
      <c r="U562" t="s">
        <v>92</v>
      </c>
      <c r="V562" t="s">
        <v>92</v>
      </c>
      <c r="W562" t="s">
        <v>92</v>
      </c>
      <c r="X562" t="s">
        <v>92</v>
      </c>
      <c r="Y562">
        <v>4187</v>
      </c>
      <c r="Z562">
        <v>3</v>
      </c>
      <c r="AA562" t="s">
        <v>42</v>
      </c>
      <c r="AB562" t="s">
        <v>43</v>
      </c>
      <c r="AC562">
        <v>14</v>
      </c>
      <c r="AD562">
        <v>3</v>
      </c>
      <c r="AE562">
        <v>3</v>
      </c>
      <c r="AF562">
        <v>80</v>
      </c>
      <c r="AG562">
        <v>1</v>
      </c>
      <c r="AH5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62">
        <v>7</v>
      </c>
      <c r="AJ562" t="s">
        <v>74</v>
      </c>
      <c r="AK562">
        <v>3</v>
      </c>
      <c r="AL562" t="s">
        <v>74</v>
      </c>
      <c r="AM562">
        <v>3</v>
      </c>
      <c r="AN562" t="s">
        <v>74</v>
      </c>
      <c r="AO562">
        <v>0</v>
      </c>
      <c r="AP562" t="s">
        <v>74</v>
      </c>
      <c r="AQ562">
        <v>0</v>
      </c>
      <c r="AR562">
        <v>0</v>
      </c>
      <c r="AS562">
        <v>0</v>
      </c>
    </row>
    <row r="563" spans="1:4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 t="str">
        <f>IF(Employee_data[[#This Row],[MonthlyIncome]]&lt;5000,"Low Income",
IF(Employee_data[[#This Row],[MonthlyIncome]]&lt;10000,"Medium Income","High Income"))</f>
        <v>High Income</v>
      </c>
      <c r="U563" t="s">
        <v>90</v>
      </c>
      <c r="V563" t="s">
        <v>90</v>
      </c>
      <c r="W563" t="s">
        <v>90</v>
      </c>
      <c r="X563" t="s">
        <v>90</v>
      </c>
      <c r="Y563">
        <v>10084</v>
      </c>
      <c r="Z563">
        <v>1</v>
      </c>
      <c r="AA563" t="s">
        <v>42</v>
      </c>
      <c r="AB563" t="s">
        <v>43</v>
      </c>
      <c r="AC563">
        <v>11</v>
      </c>
      <c r="AD563">
        <v>3</v>
      </c>
      <c r="AE563">
        <v>1</v>
      </c>
      <c r="AF563">
        <v>80</v>
      </c>
      <c r="AG563">
        <v>0</v>
      </c>
      <c r="AH5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563">
        <v>34</v>
      </c>
      <c r="AJ563" t="s">
        <v>77</v>
      </c>
      <c r="AK563">
        <v>3</v>
      </c>
      <c r="AL563" t="s">
        <v>77</v>
      </c>
      <c r="AM563">
        <v>4</v>
      </c>
      <c r="AN563" t="s">
        <v>77</v>
      </c>
      <c r="AO563">
        <v>34</v>
      </c>
      <c r="AP563" t="s">
        <v>77</v>
      </c>
      <c r="AQ563">
        <v>6</v>
      </c>
      <c r="AR563">
        <v>1</v>
      </c>
      <c r="AS563">
        <v>16</v>
      </c>
    </row>
    <row r="564" spans="1:4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 t="str">
        <f>IF(Employee_data[[#This Row],[MonthlyIncome]]&lt;5000,"Low Income",
IF(Employee_data[[#This Row],[MonthlyIncome]]&lt;10000,"Medium Income","High Income"))</f>
        <v>Low Income</v>
      </c>
      <c r="U564" t="s">
        <v>91</v>
      </c>
      <c r="V564" t="s">
        <v>91</v>
      </c>
      <c r="W564" t="s">
        <v>91</v>
      </c>
      <c r="X564" t="s">
        <v>91</v>
      </c>
      <c r="Y564">
        <v>5207</v>
      </c>
      <c r="Z564">
        <v>1</v>
      </c>
      <c r="AA564" t="s">
        <v>42</v>
      </c>
      <c r="AB564" t="s">
        <v>35</v>
      </c>
      <c r="AC564">
        <v>13</v>
      </c>
      <c r="AD564">
        <v>3</v>
      </c>
      <c r="AE564">
        <v>3</v>
      </c>
      <c r="AF564">
        <v>80</v>
      </c>
      <c r="AG564">
        <v>0</v>
      </c>
      <c r="AH5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64">
        <v>10</v>
      </c>
      <c r="AJ564" t="s">
        <v>75</v>
      </c>
      <c r="AK564">
        <v>2</v>
      </c>
      <c r="AL564" t="s">
        <v>75</v>
      </c>
      <c r="AM564">
        <v>2</v>
      </c>
      <c r="AN564" t="s">
        <v>75</v>
      </c>
      <c r="AO564">
        <v>10</v>
      </c>
      <c r="AP564" t="s">
        <v>75</v>
      </c>
      <c r="AQ564">
        <v>9</v>
      </c>
      <c r="AR564">
        <v>7</v>
      </c>
      <c r="AS564">
        <v>8</v>
      </c>
    </row>
    <row r="565" spans="1:4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 t="str">
        <f>IF(Employee_data[[#This Row],[MonthlyIncome]]&lt;5000,"Low Income",
IF(Employee_data[[#This Row],[MonthlyIncome]]&lt;10000,"Medium Income","High Income"))</f>
        <v>Medium Income</v>
      </c>
      <c r="U565" t="s">
        <v>92</v>
      </c>
      <c r="V565" t="s">
        <v>92</v>
      </c>
      <c r="W565" t="s">
        <v>92</v>
      </c>
      <c r="X565" t="s">
        <v>92</v>
      </c>
      <c r="Y565">
        <v>22807</v>
      </c>
      <c r="Z565">
        <v>1</v>
      </c>
      <c r="AA565" t="s">
        <v>42</v>
      </c>
      <c r="AB565" t="s">
        <v>43</v>
      </c>
      <c r="AC565">
        <v>23</v>
      </c>
      <c r="AD565">
        <v>4</v>
      </c>
      <c r="AE565">
        <v>2</v>
      </c>
      <c r="AF565">
        <v>80</v>
      </c>
      <c r="AG565">
        <v>0</v>
      </c>
      <c r="AH5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65">
        <v>6</v>
      </c>
      <c r="AJ565" t="s">
        <v>78</v>
      </c>
      <c r="AK565">
        <v>5</v>
      </c>
      <c r="AL565" t="s">
        <v>78</v>
      </c>
      <c r="AM565">
        <v>2</v>
      </c>
      <c r="AN565" t="s">
        <v>78</v>
      </c>
      <c r="AO565">
        <v>6</v>
      </c>
      <c r="AP565" t="s">
        <v>78</v>
      </c>
      <c r="AQ565">
        <v>5</v>
      </c>
      <c r="AR565">
        <v>1</v>
      </c>
      <c r="AS565">
        <v>4</v>
      </c>
    </row>
    <row r="566" spans="1:4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 t="str">
        <f>IF(Employee_data[[#This Row],[MonthlyIncome]]&lt;5000,"Low Income",
IF(Employee_data[[#This Row],[MonthlyIncome]]&lt;10000,"Medium Income","High Income"))</f>
        <v>Medium Income</v>
      </c>
      <c r="U566" t="s">
        <v>92</v>
      </c>
      <c r="V566" t="s">
        <v>92</v>
      </c>
      <c r="W566" t="s">
        <v>92</v>
      </c>
      <c r="X566" t="s">
        <v>92</v>
      </c>
      <c r="Y566">
        <v>12388</v>
      </c>
      <c r="Z566">
        <v>0</v>
      </c>
      <c r="AA566" t="s">
        <v>42</v>
      </c>
      <c r="AB566" t="s">
        <v>43</v>
      </c>
      <c r="AC566">
        <v>13</v>
      </c>
      <c r="AD566">
        <v>3</v>
      </c>
      <c r="AE566">
        <v>1</v>
      </c>
      <c r="AF566">
        <v>80</v>
      </c>
      <c r="AG566">
        <v>0</v>
      </c>
      <c r="AH5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66">
        <v>9</v>
      </c>
      <c r="AJ566" t="s">
        <v>78</v>
      </c>
      <c r="AK566">
        <v>3</v>
      </c>
      <c r="AL566" t="s">
        <v>78</v>
      </c>
      <c r="AM566">
        <v>3</v>
      </c>
      <c r="AN566" t="s">
        <v>78</v>
      </c>
      <c r="AO566">
        <v>8</v>
      </c>
      <c r="AP566" t="s">
        <v>78</v>
      </c>
      <c r="AQ566">
        <v>7</v>
      </c>
      <c r="AR566">
        <v>3</v>
      </c>
      <c r="AS566">
        <v>1</v>
      </c>
    </row>
    <row r="567" spans="1:4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 t="str">
        <f>IF(Employee_data[[#This Row],[MonthlyIncome]]&lt;5000,"Low Income",
IF(Employee_data[[#This Row],[MonthlyIncome]]&lt;10000,"Medium Income","High Income"))</f>
        <v>Low Income</v>
      </c>
      <c r="U567" t="s">
        <v>91</v>
      </c>
      <c r="V567" t="s">
        <v>91</v>
      </c>
      <c r="W567" t="s">
        <v>91</v>
      </c>
      <c r="X567" t="s">
        <v>91</v>
      </c>
      <c r="Y567">
        <v>19630</v>
      </c>
      <c r="Z567">
        <v>1</v>
      </c>
      <c r="AA567" t="s">
        <v>42</v>
      </c>
      <c r="AB567" t="s">
        <v>43</v>
      </c>
      <c r="AC567">
        <v>18</v>
      </c>
      <c r="AD567">
        <v>3</v>
      </c>
      <c r="AE567">
        <v>4</v>
      </c>
      <c r="AF567">
        <v>80</v>
      </c>
      <c r="AG567">
        <v>0</v>
      </c>
      <c r="AH5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67">
        <v>2</v>
      </c>
      <c r="AJ567" t="s">
        <v>74</v>
      </c>
      <c r="AK567">
        <v>3</v>
      </c>
      <c r="AL567" t="s">
        <v>74</v>
      </c>
      <c r="AM567">
        <v>3</v>
      </c>
      <c r="AN567" t="s">
        <v>74</v>
      </c>
      <c r="AO567">
        <v>2</v>
      </c>
      <c r="AP567" t="s">
        <v>74</v>
      </c>
      <c r="AQ567">
        <v>2</v>
      </c>
      <c r="AR567">
        <v>0</v>
      </c>
      <c r="AS567">
        <v>2</v>
      </c>
    </row>
    <row r="568" spans="1:4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 t="str">
        <f>IF(Employee_data[[#This Row],[MonthlyIncome]]&lt;5000,"Low Income",
IF(Employee_data[[#This Row],[MonthlyIncome]]&lt;10000,"Medium Income","High Income"))</f>
        <v>Medium Income</v>
      </c>
      <c r="U568" t="s">
        <v>92</v>
      </c>
      <c r="V568" t="s">
        <v>92</v>
      </c>
      <c r="W568" t="s">
        <v>92</v>
      </c>
      <c r="X568" t="s">
        <v>92</v>
      </c>
      <c r="Y568">
        <v>10339</v>
      </c>
      <c r="Z568">
        <v>4</v>
      </c>
      <c r="AA568" t="s">
        <v>42</v>
      </c>
      <c r="AB568" t="s">
        <v>35</v>
      </c>
      <c r="AC568">
        <v>12</v>
      </c>
      <c r="AD568">
        <v>3</v>
      </c>
      <c r="AE568">
        <v>4</v>
      </c>
      <c r="AF568">
        <v>80</v>
      </c>
      <c r="AG568">
        <v>0</v>
      </c>
      <c r="AH5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68">
        <v>8</v>
      </c>
      <c r="AJ568" t="s">
        <v>78</v>
      </c>
      <c r="AK568">
        <v>2</v>
      </c>
      <c r="AL568" t="s">
        <v>78</v>
      </c>
      <c r="AM568">
        <v>3</v>
      </c>
      <c r="AN568" t="s">
        <v>78</v>
      </c>
      <c r="AO568">
        <v>5</v>
      </c>
      <c r="AP568" t="s">
        <v>78</v>
      </c>
      <c r="AQ568">
        <v>4</v>
      </c>
      <c r="AR568">
        <v>1</v>
      </c>
      <c r="AS568">
        <v>3</v>
      </c>
    </row>
    <row r="569" spans="1:4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 t="str">
        <f>IF(Employee_data[[#This Row],[MonthlyIncome]]&lt;5000,"Low Income",
IF(Employee_data[[#This Row],[MonthlyIncome]]&lt;10000,"Medium Income","High Income"))</f>
        <v>Medium Income</v>
      </c>
      <c r="U569" t="s">
        <v>92</v>
      </c>
      <c r="V569" t="s">
        <v>92</v>
      </c>
      <c r="W569" t="s">
        <v>92</v>
      </c>
      <c r="X569" t="s">
        <v>92</v>
      </c>
      <c r="Y569">
        <v>18686</v>
      </c>
      <c r="Z569">
        <v>1</v>
      </c>
      <c r="AA569" t="s">
        <v>42</v>
      </c>
      <c r="AB569" t="s">
        <v>43</v>
      </c>
      <c r="AC569">
        <v>22</v>
      </c>
      <c r="AD569">
        <v>4</v>
      </c>
      <c r="AE569">
        <v>3</v>
      </c>
      <c r="AF569">
        <v>80</v>
      </c>
      <c r="AG569">
        <v>0</v>
      </c>
      <c r="AH5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69">
        <v>6</v>
      </c>
      <c r="AJ569" t="s">
        <v>78</v>
      </c>
      <c r="AK569">
        <v>5</v>
      </c>
      <c r="AL569" t="s">
        <v>78</v>
      </c>
      <c r="AM569">
        <v>3</v>
      </c>
      <c r="AN569" t="s">
        <v>78</v>
      </c>
      <c r="AO569">
        <v>6</v>
      </c>
      <c r="AP569" t="s">
        <v>78</v>
      </c>
      <c r="AQ569">
        <v>5</v>
      </c>
      <c r="AR569">
        <v>1</v>
      </c>
      <c r="AS569">
        <v>4</v>
      </c>
    </row>
    <row r="570" spans="1:4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 t="str">
        <f>IF(Employee_data[[#This Row],[MonthlyIncome]]&lt;5000,"Low Income",
IF(Employee_data[[#This Row],[MonthlyIncome]]&lt;10000,"Medium Income","High Income"))</f>
        <v>High Income</v>
      </c>
      <c r="U570" t="s">
        <v>90</v>
      </c>
      <c r="V570" t="s">
        <v>90</v>
      </c>
      <c r="W570" t="s">
        <v>90</v>
      </c>
      <c r="X570" t="s">
        <v>90</v>
      </c>
      <c r="Y570">
        <v>21199</v>
      </c>
      <c r="Z570">
        <v>5</v>
      </c>
      <c r="AA570" t="s">
        <v>42</v>
      </c>
      <c r="AB570" t="s">
        <v>35</v>
      </c>
      <c r="AC570">
        <v>13</v>
      </c>
      <c r="AD570">
        <v>3</v>
      </c>
      <c r="AE570">
        <v>4</v>
      </c>
      <c r="AF570">
        <v>80</v>
      </c>
      <c r="AG570">
        <v>1</v>
      </c>
      <c r="AH5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70">
        <v>24</v>
      </c>
      <c r="AJ570" t="s">
        <v>78</v>
      </c>
      <c r="AK570">
        <v>2</v>
      </c>
      <c r="AL570" t="s">
        <v>78</v>
      </c>
      <c r="AM570">
        <v>3</v>
      </c>
      <c r="AN570" t="s">
        <v>78</v>
      </c>
      <c r="AO570">
        <v>5</v>
      </c>
      <c r="AP570" t="s">
        <v>78</v>
      </c>
      <c r="AQ570">
        <v>2</v>
      </c>
      <c r="AR570">
        <v>1</v>
      </c>
      <c r="AS570">
        <v>4</v>
      </c>
    </row>
    <row r="571" spans="1:4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 t="str">
        <f>IF(Employee_data[[#This Row],[MonthlyIncome]]&lt;5000,"Low Income",
IF(Employee_data[[#This Row],[MonthlyIncome]]&lt;10000,"Medium Income","High Income"))</f>
        <v>Medium Income</v>
      </c>
      <c r="U571" t="s">
        <v>92</v>
      </c>
      <c r="V571" t="s">
        <v>92</v>
      </c>
      <c r="W571" t="s">
        <v>92</v>
      </c>
      <c r="X571" t="s">
        <v>92</v>
      </c>
      <c r="Y571">
        <v>14229</v>
      </c>
      <c r="Z571">
        <v>1</v>
      </c>
      <c r="AA571" t="s">
        <v>42</v>
      </c>
      <c r="AB571" t="s">
        <v>43</v>
      </c>
      <c r="AC571">
        <v>15</v>
      </c>
      <c r="AD571">
        <v>3</v>
      </c>
      <c r="AE571">
        <v>2</v>
      </c>
      <c r="AF571">
        <v>80</v>
      </c>
      <c r="AG571">
        <v>0</v>
      </c>
      <c r="AH5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71">
        <v>10</v>
      </c>
      <c r="AJ571" t="s">
        <v>75</v>
      </c>
      <c r="AK571">
        <v>1</v>
      </c>
      <c r="AL571" t="s">
        <v>75</v>
      </c>
      <c r="AM571">
        <v>3</v>
      </c>
      <c r="AN571" t="s">
        <v>75</v>
      </c>
      <c r="AO571">
        <v>10</v>
      </c>
      <c r="AP571" t="s">
        <v>75</v>
      </c>
      <c r="AQ571">
        <v>7</v>
      </c>
      <c r="AR571">
        <v>0</v>
      </c>
      <c r="AS571">
        <v>9</v>
      </c>
    </row>
    <row r="572" spans="1:4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 t="str">
        <f>IF(Employee_data[[#This Row],[MonthlyIncome]]&lt;5000,"Low Income",
IF(Employee_data[[#This Row],[MonthlyIncome]]&lt;10000,"Medium Income","High Income"))</f>
        <v>Low Income</v>
      </c>
      <c r="U572" t="s">
        <v>91</v>
      </c>
      <c r="V572" t="s">
        <v>91</v>
      </c>
      <c r="W572" t="s">
        <v>91</v>
      </c>
      <c r="X572" t="s">
        <v>91</v>
      </c>
      <c r="Y572">
        <v>26589</v>
      </c>
      <c r="Z572">
        <v>0</v>
      </c>
      <c r="AA572" t="s">
        <v>42</v>
      </c>
      <c r="AB572" t="s">
        <v>43</v>
      </c>
      <c r="AC572">
        <v>18</v>
      </c>
      <c r="AD572">
        <v>3</v>
      </c>
      <c r="AE572">
        <v>1</v>
      </c>
      <c r="AF572">
        <v>80</v>
      </c>
      <c r="AG572">
        <v>1</v>
      </c>
      <c r="AH5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72">
        <v>5</v>
      </c>
      <c r="AJ572" t="s">
        <v>74</v>
      </c>
      <c r="AK572">
        <v>3</v>
      </c>
      <c r="AL572" t="s">
        <v>74</v>
      </c>
      <c r="AM572">
        <v>3</v>
      </c>
      <c r="AN572" t="s">
        <v>74</v>
      </c>
      <c r="AO572">
        <v>4</v>
      </c>
      <c r="AP572" t="s">
        <v>74</v>
      </c>
      <c r="AQ572">
        <v>3</v>
      </c>
      <c r="AR572">
        <v>1</v>
      </c>
      <c r="AS572">
        <v>2</v>
      </c>
    </row>
    <row r="573" spans="1:4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 t="str">
        <f>IF(Employee_data[[#This Row],[MonthlyIncome]]&lt;5000,"Low Income",
IF(Employee_data[[#This Row],[MonthlyIncome]]&lt;10000,"Medium Income","High Income"))</f>
        <v>Low Income</v>
      </c>
      <c r="U573" t="s">
        <v>91</v>
      </c>
      <c r="V573" t="s">
        <v>91</v>
      </c>
      <c r="W573" t="s">
        <v>91</v>
      </c>
      <c r="X573" t="s">
        <v>91</v>
      </c>
      <c r="Y573">
        <v>5288</v>
      </c>
      <c r="Z573">
        <v>3</v>
      </c>
      <c r="AA573" t="s">
        <v>42</v>
      </c>
      <c r="AB573" t="s">
        <v>43</v>
      </c>
      <c r="AC573">
        <v>14</v>
      </c>
      <c r="AD573">
        <v>3</v>
      </c>
      <c r="AE573">
        <v>1</v>
      </c>
      <c r="AF573">
        <v>80</v>
      </c>
      <c r="AG573">
        <v>1</v>
      </c>
      <c r="AH5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73">
        <v>5</v>
      </c>
      <c r="AJ573" t="s">
        <v>74</v>
      </c>
      <c r="AK573">
        <v>2</v>
      </c>
      <c r="AL573" t="s">
        <v>74</v>
      </c>
      <c r="AM573">
        <v>3</v>
      </c>
      <c r="AN573" t="s">
        <v>74</v>
      </c>
      <c r="AO573">
        <v>2</v>
      </c>
      <c r="AP573" t="s">
        <v>74</v>
      </c>
      <c r="AQ573">
        <v>2</v>
      </c>
      <c r="AR573">
        <v>2</v>
      </c>
      <c r="AS573">
        <v>0</v>
      </c>
    </row>
    <row r="574" spans="1:4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 t="str">
        <f>IF(Employee_data[[#This Row],[MonthlyIncome]]&lt;5000,"Low Income",
IF(Employee_data[[#This Row],[MonthlyIncome]]&lt;10000,"Medium Income","High Income"))</f>
        <v>Low Income</v>
      </c>
      <c r="U574" t="s">
        <v>91</v>
      </c>
      <c r="V574" t="s">
        <v>91</v>
      </c>
      <c r="W574" t="s">
        <v>91</v>
      </c>
      <c r="X574" t="s">
        <v>91</v>
      </c>
      <c r="Y574">
        <v>25549</v>
      </c>
      <c r="Z574">
        <v>4</v>
      </c>
      <c r="AA574" t="s">
        <v>42</v>
      </c>
      <c r="AB574" t="s">
        <v>43</v>
      </c>
      <c r="AC574">
        <v>12</v>
      </c>
      <c r="AD574">
        <v>3</v>
      </c>
      <c r="AE574">
        <v>1</v>
      </c>
      <c r="AF574">
        <v>80</v>
      </c>
      <c r="AG574">
        <v>1</v>
      </c>
      <c r="AH5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74">
        <v>11</v>
      </c>
      <c r="AJ574" t="s">
        <v>78</v>
      </c>
      <c r="AK574">
        <v>3</v>
      </c>
      <c r="AL574" t="s">
        <v>78</v>
      </c>
      <c r="AM574">
        <v>2</v>
      </c>
      <c r="AN574" t="s">
        <v>78</v>
      </c>
      <c r="AO574">
        <v>8</v>
      </c>
      <c r="AP574" t="s">
        <v>78</v>
      </c>
      <c r="AQ574">
        <v>7</v>
      </c>
      <c r="AR574">
        <v>1</v>
      </c>
      <c r="AS574">
        <v>1</v>
      </c>
    </row>
    <row r="575" spans="1:4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 t="str">
        <f>IF(Employee_data[[#This Row],[MonthlyIncome]]&lt;5000,"Low Income",
IF(Employee_data[[#This Row],[MonthlyIncome]]&lt;10000,"Medium Income","High Income"))</f>
        <v>Medium Income</v>
      </c>
      <c r="U575" t="s">
        <v>92</v>
      </c>
      <c r="V575" t="s">
        <v>92</v>
      </c>
      <c r="W575" t="s">
        <v>92</v>
      </c>
      <c r="X575" t="s">
        <v>92</v>
      </c>
      <c r="Y575">
        <v>3064</v>
      </c>
      <c r="Z575">
        <v>6</v>
      </c>
      <c r="AA575" t="s">
        <v>42</v>
      </c>
      <c r="AB575" t="s">
        <v>43</v>
      </c>
      <c r="AC575">
        <v>17</v>
      </c>
      <c r="AD575">
        <v>3</v>
      </c>
      <c r="AE575">
        <v>3</v>
      </c>
      <c r="AF575">
        <v>80</v>
      </c>
      <c r="AG575">
        <v>0</v>
      </c>
      <c r="AH5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75">
        <v>6</v>
      </c>
      <c r="AJ575" t="s">
        <v>74</v>
      </c>
      <c r="AK575">
        <v>2</v>
      </c>
      <c r="AL575" t="s">
        <v>74</v>
      </c>
      <c r="AM575">
        <v>2</v>
      </c>
      <c r="AN575" t="s">
        <v>74</v>
      </c>
      <c r="AO575">
        <v>4</v>
      </c>
      <c r="AP575" t="s">
        <v>74</v>
      </c>
      <c r="AQ575">
        <v>3</v>
      </c>
      <c r="AR575">
        <v>1</v>
      </c>
      <c r="AS575">
        <v>2</v>
      </c>
    </row>
    <row r="576" spans="1:4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 t="str">
        <f>IF(Employee_data[[#This Row],[MonthlyIncome]]&lt;5000,"Low Income",
IF(Employee_data[[#This Row],[MonthlyIncome]]&lt;10000,"Medium Income","High Income"))</f>
        <v>Low Income</v>
      </c>
      <c r="U576" t="s">
        <v>91</v>
      </c>
      <c r="V576" t="s">
        <v>91</v>
      </c>
      <c r="W576" t="s">
        <v>91</v>
      </c>
      <c r="X576" t="s">
        <v>91</v>
      </c>
      <c r="Y576">
        <v>13551</v>
      </c>
      <c r="Z576">
        <v>2</v>
      </c>
      <c r="AA576" t="s">
        <v>42</v>
      </c>
      <c r="AB576" t="s">
        <v>43</v>
      </c>
      <c r="AC576">
        <v>16</v>
      </c>
      <c r="AD576">
        <v>3</v>
      </c>
      <c r="AE576">
        <v>3</v>
      </c>
      <c r="AF576">
        <v>80</v>
      </c>
      <c r="AG576">
        <v>0</v>
      </c>
      <c r="AH5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76">
        <v>10</v>
      </c>
      <c r="AJ576" t="s">
        <v>74</v>
      </c>
      <c r="AK576">
        <v>2</v>
      </c>
      <c r="AL576" t="s">
        <v>74</v>
      </c>
      <c r="AM576">
        <v>3</v>
      </c>
      <c r="AN576" t="s">
        <v>74</v>
      </c>
      <c r="AO576">
        <v>4</v>
      </c>
      <c r="AP576" t="s">
        <v>74</v>
      </c>
      <c r="AQ576">
        <v>2</v>
      </c>
      <c r="AR576">
        <v>1</v>
      </c>
      <c r="AS576">
        <v>3</v>
      </c>
    </row>
    <row r="577" spans="1:4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 t="str">
        <f>IF(Employee_data[[#This Row],[MonthlyIncome]]&lt;5000,"Low Income",
IF(Employee_data[[#This Row],[MonthlyIncome]]&lt;10000,"Medium Income","High Income"))</f>
        <v>Medium Income</v>
      </c>
      <c r="U577" t="s">
        <v>92</v>
      </c>
      <c r="V577" t="s">
        <v>92</v>
      </c>
      <c r="W577" t="s">
        <v>92</v>
      </c>
      <c r="X577" t="s">
        <v>92</v>
      </c>
      <c r="Y577">
        <v>22670</v>
      </c>
      <c r="Z577">
        <v>9</v>
      </c>
      <c r="AA577" t="s">
        <v>42</v>
      </c>
      <c r="AB577" t="s">
        <v>35</v>
      </c>
      <c r="AC577">
        <v>11</v>
      </c>
      <c r="AD577">
        <v>3</v>
      </c>
      <c r="AE577">
        <v>2</v>
      </c>
      <c r="AF577">
        <v>80</v>
      </c>
      <c r="AG577">
        <v>2</v>
      </c>
      <c r="AH5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77">
        <v>9</v>
      </c>
      <c r="AJ577" t="s">
        <v>78</v>
      </c>
      <c r="AK577">
        <v>4</v>
      </c>
      <c r="AL577" t="s">
        <v>78</v>
      </c>
      <c r="AM577">
        <v>3</v>
      </c>
      <c r="AN577" t="s">
        <v>78</v>
      </c>
      <c r="AO577">
        <v>5</v>
      </c>
      <c r="AP577" t="s">
        <v>78</v>
      </c>
      <c r="AQ577">
        <v>3</v>
      </c>
      <c r="AR577">
        <v>1</v>
      </c>
      <c r="AS577">
        <v>4</v>
      </c>
    </row>
    <row r="578" spans="1:4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 t="str">
        <f>IF(Employee_data[[#This Row],[MonthlyIncome]]&lt;5000,"Low Income",
IF(Employee_data[[#This Row],[MonthlyIncome]]&lt;10000,"Medium Income","High Income"))</f>
        <v>Low Income</v>
      </c>
      <c r="U578" t="s">
        <v>91</v>
      </c>
      <c r="V578" t="s">
        <v>91</v>
      </c>
      <c r="W578" t="s">
        <v>91</v>
      </c>
      <c r="X578" t="s">
        <v>91</v>
      </c>
      <c r="Y578">
        <v>24008</v>
      </c>
      <c r="Z578">
        <v>0</v>
      </c>
      <c r="AA578" t="s">
        <v>42</v>
      </c>
      <c r="AB578" t="s">
        <v>43</v>
      </c>
      <c r="AC578">
        <v>19</v>
      </c>
      <c r="AD578">
        <v>3</v>
      </c>
      <c r="AE578">
        <v>2</v>
      </c>
      <c r="AF578">
        <v>80</v>
      </c>
      <c r="AG578">
        <v>1</v>
      </c>
      <c r="AH5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78">
        <v>5</v>
      </c>
      <c r="AJ578" t="s">
        <v>74</v>
      </c>
      <c r="AK578">
        <v>3</v>
      </c>
      <c r="AL578" t="s">
        <v>74</v>
      </c>
      <c r="AM578">
        <v>3</v>
      </c>
      <c r="AN578" t="s">
        <v>74</v>
      </c>
      <c r="AO578">
        <v>4</v>
      </c>
      <c r="AP578" t="s">
        <v>74</v>
      </c>
      <c r="AQ578">
        <v>2</v>
      </c>
      <c r="AR578">
        <v>1</v>
      </c>
      <c r="AS578">
        <v>1</v>
      </c>
    </row>
    <row r="579" spans="1:4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 t="str">
        <f>IF(Employee_data[[#This Row],[MonthlyIncome]]&lt;5000,"Low Income",
IF(Employee_data[[#This Row],[MonthlyIncome]]&lt;10000,"Medium Income","High Income"))</f>
        <v>Low Income</v>
      </c>
      <c r="U579" t="s">
        <v>91</v>
      </c>
      <c r="V579" t="s">
        <v>91</v>
      </c>
      <c r="W579" t="s">
        <v>91</v>
      </c>
      <c r="X579" t="s">
        <v>91</v>
      </c>
      <c r="Y579">
        <v>19905</v>
      </c>
      <c r="Z579">
        <v>0</v>
      </c>
      <c r="AA579" t="s">
        <v>42</v>
      </c>
      <c r="AB579" t="s">
        <v>35</v>
      </c>
      <c r="AC579">
        <v>13</v>
      </c>
      <c r="AD579">
        <v>3</v>
      </c>
      <c r="AE579">
        <v>2</v>
      </c>
      <c r="AF579">
        <v>80</v>
      </c>
      <c r="AG579">
        <v>2</v>
      </c>
      <c r="AH5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79">
        <v>6</v>
      </c>
      <c r="AJ579" t="s">
        <v>78</v>
      </c>
      <c r="AK579">
        <v>3</v>
      </c>
      <c r="AL579" t="s">
        <v>78</v>
      </c>
      <c r="AM579">
        <v>2</v>
      </c>
      <c r="AN579" t="s">
        <v>78</v>
      </c>
      <c r="AO579">
        <v>5</v>
      </c>
      <c r="AP579" t="s">
        <v>78</v>
      </c>
      <c r="AQ579">
        <v>3</v>
      </c>
      <c r="AR579">
        <v>4</v>
      </c>
      <c r="AS579">
        <v>3</v>
      </c>
    </row>
    <row r="580" spans="1:4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 t="str">
        <f>IF(Employee_data[[#This Row],[MonthlyIncome]]&lt;5000,"Low Income",
IF(Employee_data[[#This Row],[MonthlyIncome]]&lt;10000,"Medium Income","High Income"))</f>
        <v>Medium Income</v>
      </c>
      <c r="U580" t="s">
        <v>92</v>
      </c>
      <c r="V580" t="s">
        <v>92</v>
      </c>
      <c r="W580" t="s">
        <v>92</v>
      </c>
      <c r="X580" t="s">
        <v>92</v>
      </c>
      <c r="Y580">
        <v>26085</v>
      </c>
      <c r="Z580">
        <v>6</v>
      </c>
      <c r="AA580" t="s">
        <v>42</v>
      </c>
      <c r="AB580" t="s">
        <v>35</v>
      </c>
      <c r="AC580">
        <v>12</v>
      </c>
      <c r="AD580">
        <v>3</v>
      </c>
      <c r="AE580">
        <v>4</v>
      </c>
      <c r="AF580">
        <v>80</v>
      </c>
      <c r="AG580">
        <v>0</v>
      </c>
      <c r="AH5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80">
        <v>17</v>
      </c>
      <c r="AJ580" t="s">
        <v>76</v>
      </c>
      <c r="AK580">
        <v>2</v>
      </c>
      <c r="AL580" t="s">
        <v>76</v>
      </c>
      <c r="AM580">
        <v>3</v>
      </c>
      <c r="AN580" t="s">
        <v>76</v>
      </c>
      <c r="AO580">
        <v>15</v>
      </c>
      <c r="AP580" t="s">
        <v>76</v>
      </c>
      <c r="AQ580">
        <v>7</v>
      </c>
      <c r="AR580">
        <v>4</v>
      </c>
      <c r="AS580">
        <v>12</v>
      </c>
    </row>
    <row r="581" spans="1:4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 t="str">
        <f>IF(Employee_data[[#This Row],[MonthlyIncome]]&lt;5000,"Low Income",
IF(Employee_data[[#This Row],[MonthlyIncome]]&lt;10000,"Medium Income","High Income"))</f>
        <v>Low Income</v>
      </c>
      <c r="U581" t="s">
        <v>91</v>
      </c>
      <c r="V581" t="s">
        <v>91</v>
      </c>
      <c r="W581" t="s">
        <v>91</v>
      </c>
      <c r="X581" t="s">
        <v>91</v>
      </c>
      <c r="Y581">
        <v>7530</v>
      </c>
      <c r="Z581">
        <v>1</v>
      </c>
      <c r="AA581" t="s">
        <v>42</v>
      </c>
      <c r="AB581" t="s">
        <v>43</v>
      </c>
      <c r="AC581">
        <v>11</v>
      </c>
      <c r="AD581">
        <v>3</v>
      </c>
      <c r="AE581">
        <v>3</v>
      </c>
      <c r="AF581">
        <v>80</v>
      </c>
      <c r="AG581">
        <v>0</v>
      </c>
      <c r="AH5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81">
        <v>6</v>
      </c>
      <c r="AJ581" t="s">
        <v>78</v>
      </c>
      <c r="AK581">
        <v>3</v>
      </c>
      <c r="AL581" t="s">
        <v>78</v>
      </c>
      <c r="AM581">
        <v>3</v>
      </c>
      <c r="AN581" t="s">
        <v>78</v>
      </c>
      <c r="AO581">
        <v>6</v>
      </c>
      <c r="AP581" t="s">
        <v>78</v>
      </c>
      <c r="AQ581">
        <v>5</v>
      </c>
      <c r="AR581">
        <v>1</v>
      </c>
      <c r="AS581">
        <v>3</v>
      </c>
    </row>
    <row r="582" spans="1:4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 t="str">
        <f>IF(Employee_data[[#This Row],[MonthlyIncome]]&lt;5000,"Low Income",
IF(Employee_data[[#This Row],[MonthlyIncome]]&lt;10000,"Medium Income","High Income"))</f>
        <v>Low Income</v>
      </c>
      <c r="U582" t="s">
        <v>91</v>
      </c>
      <c r="V582" t="s">
        <v>91</v>
      </c>
      <c r="W582" t="s">
        <v>91</v>
      </c>
      <c r="X582" t="s">
        <v>91</v>
      </c>
      <c r="Y582">
        <v>20317</v>
      </c>
      <c r="Z582">
        <v>1</v>
      </c>
      <c r="AA582" t="s">
        <v>42</v>
      </c>
      <c r="AB582" t="s">
        <v>43</v>
      </c>
      <c r="AC582">
        <v>16</v>
      </c>
      <c r="AD582">
        <v>3</v>
      </c>
      <c r="AE582">
        <v>2</v>
      </c>
      <c r="AF582">
        <v>80</v>
      </c>
      <c r="AG582">
        <v>1</v>
      </c>
      <c r="AH5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82">
        <v>3</v>
      </c>
      <c r="AJ582" t="s">
        <v>74</v>
      </c>
      <c r="AK582">
        <v>1</v>
      </c>
      <c r="AL582" t="s">
        <v>74</v>
      </c>
      <c r="AM582">
        <v>2</v>
      </c>
      <c r="AN582" t="s">
        <v>74</v>
      </c>
      <c r="AO582">
        <v>3</v>
      </c>
      <c r="AP582" t="s">
        <v>74</v>
      </c>
      <c r="AQ582">
        <v>2</v>
      </c>
      <c r="AR582">
        <v>0</v>
      </c>
      <c r="AS582">
        <v>2</v>
      </c>
    </row>
    <row r="583" spans="1:4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 t="str">
        <f>IF(Employee_data[[#This Row],[MonthlyIncome]]&lt;5000,"Low Income",
IF(Employee_data[[#This Row],[MonthlyIncome]]&lt;10000,"Medium Income","High Income"))</f>
        <v>Low Income</v>
      </c>
      <c r="U583" t="s">
        <v>91</v>
      </c>
      <c r="V583" t="s">
        <v>91</v>
      </c>
      <c r="W583" t="s">
        <v>91</v>
      </c>
      <c r="X583" t="s">
        <v>91</v>
      </c>
      <c r="Y583">
        <v>24375</v>
      </c>
      <c r="Z583">
        <v>3</v>
      </c>
      <c r="AA583" t="s">
        <v>42</v>
      </c>
      <c r="AB583" t="s">
        <v>43</v>
      </c>
      <c r="AC583">
        <v>21</v>
      </c>
      <c r="AD583">
        <v>4</v>
      </c>
      <c r="AE583">
        <v>3</v>
      </c>
      <c r="AF583">
        <v>80</v>
      </c>
      <c r="AG583">
        <v>2</v>
      </c>
      <c r="AH5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83">
        <v>7</v>
      </c>
      <c r="AJ583" t="s">
        <v>74</v>
      </c>
      <c r="AK583">
        <v>2</v>
      </c>
      <c r="AL583" t="s">
        <v>74</v>
      </c>
      <c r="AM583">
        <v>3</v>
      </c>
      <c r="AN583" t="s">
        <v>74</v>
      </c>
      <c r="AO583">
        <v>2</v>
      </c>
      <c r="AP583" t="s">
        <v>74</v>
      </c>
      <c r="AQ583">
        <v>2</v>
      </c>
      <c r="AR583">
        <v>0</v>
      </c>
      <c r="AS583">
        <v>2</v>
      </c>
    </row>
    <row r="584" spans="1:4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 t="str">
        <f>IF(Employee_data[[#This Row],[MonthlyIncome]]&lt;5000,"Low Income",
IF(Employee_data[[#This Row],[MonthlyIncome]]&lt;10000,"Medium Income","High Income"))</f>
        <v>Low Income</v>
      </c>
      <c r="U584" t="s">
        <v>91</v>
      </c>
      <c r="V584" t="s">
        <v>91</v>
      </c>
      <c r="W584" t="s">
        <v>91</v>
      </c>
      <c r="X584" t="s">
        <v>91</v>
      </c>
      <c r="Y584">
        <v>9931</v>
      </c>
      <c r="Z584">
        <v>1</v>
      </c>
      <c r="AA584" t="s">
        <v>42</v>
      </c>
      <c r="AB584" t="s">
        <v>43</v>
      </c>
      <c r="AC584">
        <v>24</v>
      </c>
      <c r="AD584">
        <v>4</v>
      </c>
      <c r="AE584">
        <v>4</v>
      </c>
      <c r="AF584">
        <v>80</v>
      </c>
      <c r="AG584">
        <v>1</v>
      </c>
      <c r="AH5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84">
        <v>8</v>
      </c>
      <c r="AJ584" t="s">
        <v>78</v>
      </c>
      <c r="AK584">
        <v>2</v>
      </c>
      <c r="AL584" t="s">
        <v>78</v>
      </c>
      <c r="AM584">
        <v>3</v>
      </c>
      <c r="AN584" t="s">
        <v>78</v>
      </c>
      <c r="AO584">
        <v>8</v>
      </c>
      <c r="AP584" t="s">
        <v>78</v>
      </c>
      <c r="AQ584">
        <v>7</v>
      </c>
      <c r="AR584">
        <v>3</v>
      </c>
      <c r="AS584">
        <v>7</v>
      </c>
    </row>
    <row r="585" spans="1:4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 t="str">
        <f>IF(Employee_data[[#This Row],[MonthlyIncome]]&lt;5000,"Low Income",
IF(Employee_data[[#This Row],[MonthlyIncome]]&lt;10000,"Medium Income","High Income"))</f>
        <v>Medium Income</v>
      </c>
      <c r="U585" t="s">
        <v>92</v>
      </c>
      <c r="V585" t="s">
        <v>92</v>
      </c>
      <c r="W585" t="s">
        <v>92</v>
      </c>
      <c r="X585" t="s">
        <v>92</v>
      </c>
      <c r="Y585">
        <v>13305</v>
      </c>
      <c r="Z585">
        <v>5</v>
      </c>
      <c r="AA585" t="s">
        <v>42</v>
      </c>
      <c r="AB585" t="s">
        <v>43</v>
      </c>
      <c r="AC585">
        <v>17</v>
      </c>
      <c r="AD585">
        <v>3</v>
      </c>
      <c r="AE585">
        <v>2</v>
      </c>
      <c r="AF585">
        <v>80</v>
      </c>
      <c r="AG585">
        <v>1</v>
      </c>
      <c r="AH5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85">
        <v>6</v>
      </c>
      <c r="AJ585" t="s">
        <v>74</v>
      </c>
      <c r="AK585">
        <v>1</v>
      </c>
      <c r="AL585" t="s">
        <v>74</v>
      </c>
      <c r="AM585">
        <v>3</v>
      </c>
      <c r="AN585" t="s">
        <v>74</v>
      </c>
      <c r="AO585">
        <v>3</v>
      </c>
      <c r="AP585" t="s">
        <v>74</v>
      </c>
      <c r="AQ585">
        <v>2</v>
      </c>
      <c r="AR585">
        <v>1</v>
      </c>
      <c r="AS585">
        <v>2</v>
      </c>
    </row>
    <row r="586" spans="1:4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 t="str">
        <f>IF(Employee_data[[#This Row],[MonthlyIncome]]&lt;5000,"Low Income",
IF(Employee_data[[#This Row],[MonthlyIncome]]&lt;10000,"Medium Income","High Income"))</f>
        <v>High Income</v>
      </c>
      <c r="U586" t="s">
        <v>90</v>
      </c>
      <c r="V586" t="s">
        <v>90</v>
      </c>
      <c r="W586" t="s">
        <v>90</v>
      </c>
      <c r="X586" t="s">
        <v>90</v>
      </c>
      <c r="Y586">
        <v>16225</v>
      </c>
      <c r="Z586">
        <v>1</v>
      </c>
      <c r="AA586" t="s">
        <v>42</v>
      </c>
      <c r="AB586" t="s">
        <v>43</v>
      </c>
      <c r="AC586">
        <v>13</v>
      </c>
      <c r="AD586">
        <v>3</v>
      </c>
      <c r="AE586">
        <v>2</v>
      </c>
      <c r="AF586">
        <v>80</v>
      </c>
      <c r="AG586">
        <v>1</v>
      </c>
      <c r="AH5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586">
        <v>24</v>
      </c>
      <c r="AJ586" t="s">
        <v>76</v>
      </c>
      <c r="AK586">
        <v>4</v>
      </c>
      <c r="AL586" t="s">
        <v>76</v>
      </c>
      <c r="AM586">
        <v>2</v>
      </c>
      <c r="AN586" t="s">
        <v>76</v>
      </c>
      <c r="AO586">
        <v>24</v>
      </c>
      <c r="AP586" t="s">
        <v>76</v>
      </c>
      <c r="AQ586">
        <v>7</v>
      </c>
      <c r="AR586">
        <v>14</v>
      </c>
      <c r="AS586">
        <v>9</v>
      </c>
    </row>
    <row r="587" spans="1:4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 t="str">
        <f>IF(Employee_data[[#This Row],[MonthlyIncome]]&lt;5000,"Low Income",
IF(Employee_data[[#This Row],[MonthlyIncome]]&lt;10000,"Medium Income","High Income"))</f>
        <v>Low Income</v>
      </c>
      <c r="U587" t="s">
        <v>91</v>
      </c>
      <c r="V587" t="s">
        <v>91</v>
      </c>
      <c r="W587" t="s">
        <v>91</v>
      </c>
      <c r="X587" t="s">
        <v>91</v>
      </c>
      <c r="Y587">
        <v>3445</v>
      </c>
      <c r="Z587">
        <v>1</v>
      </c>
      <c r="AA587" t="s">
        <v>42</v>
      </c>
      <c r="AB587" t="s">
        <v>35</v>
      </c>
      <c r="AC587">
        <v>21</v>
      </c>
      <c r="AD587">
        <v>4</v>
      </c>
      <c r="AE587">
        <v>3</v>
      </c>
      <c r="AF587">
        <v>80</v>
      </c>
      <c r="AG587">
        <v>2</v>
      </c>
      <c r="AH5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87">
        <v>1</v>
      </c>
      <c r="AJ587" t="s">
        <v>74</v>
      </c>
      <c r="AK587">
        <v>2</v>
      </c>
      <c r="AL587" t="s">
        <v>74</v>
      </c>
      <c r="AM587">
        <v>3</v>
      </c>
      <c r="AN587" t="s">
        <v>74</v>
      </c>
      <c r="AO587">
        <v>0</v>
      </c>
      <c r="AP587" t="s">
        <v>74</v>
      </c>
      <c r="AQ587">
        <v>0</v>
      </c>
      <c r="AR587">
        <v>0</v>
      </c>
      <c r="AS587">
        <v>0</v>
      </c>
    </row>
    <row r="588" spans="1:4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 t="str">
        <f>IF(Employee_data[[#This Row],[MonthlyIncome]]&lt;5000,"Low Income",
IF(Employee_data[[#This Row],[MonthlyIncome]]&lt;10000,"Medium Income","High Income"))</f>
        <v>Low Income</v>
      </c>
      <c r="U588" t="s">
        <v>91</v>
      </c>
      <c r="V588" t="s">
        <v>91</v>
      </c>
      <c r="W588" t="s">
        <v>91</v>
      </c>
      <c r="X588" t="s">
        <v>91</v>
      </c>
      <c r="Y588">
        <v>26551</v>
      </c>
      <c r="Z588">
        <v>1</v>
      </c>
      <c r="AA588" t="s">
        <v>42</v>
      </c>
      <c r="AB588" t="s">
        <v>43</v>
      </c>
      <c r="AC588">
        <v>11</v>
      </c>
      <c r="AD588">
        <v>3</v>
      </c>
      <c r="AE588">
        <v>3</v>
      </c>
      <c r="AF588">
        <v>80</v>
      </c>
      <c r="AG588">
        <v>3</v>
      </c>
      <c r="AH5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88">
        <v>1</v>
      </c>
      <c r="AJ588" t="s">
        <v>74</v>
      </c>
      <c r="AK588">
        <v>4</v>
      </c>
      <c r="AL588" t="s">
        <v>74</v>
      </c>
      <c r="AM588">
        <v>3</v>
      </c>
      <c r="AN588" t="s">
        <v>74</v>
      </c>
      <c r="AO588">
        <v>1</v>
      </c>
      <c r="AP588" t="s">
        <v>74</v>
      </c>
      <c r="AQ588">
        <v>0</v>
      </c>
      <c r="AR588">
        <v>0</v>
      </c>
      <c r="AS588">
        <v>0</v>
      </c>
    </row>
    <row r="589" spans="1:4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 t="str">
        <f>IF(Employee_data[[#This Row],[MonthlyIncome]]&lt;5000,"Low Income",
IF(Employee_data[[#This Row],[MonthlyIncome]]&lt;10000,"Medium Income","High Income"))</f>
        <v>Low Income</v>
      </c>
      <c r="U589" t="s">
        <v>91</v>
      </c>
      <c r="V589" t="s">
        <v>91</v>
      </c>
      <c r="W589" t="s">
        <v>91</v>
      </c>
      <c r="X589" t="s">
        <v>91</v>
      </c>
      <c r="Y589">
        <v>21821</v>
      </c>
      <c r="Z589">
        <v>8</v>
      </c>
      <c r="AA589" t="s">
        <v>42</v>
      </c>
      <c r="AB589" t="s">
        <v>43</v>
      </c>
      <c r="AC589">
        <v>20</v>
      </c>
      <c r="AD589">
        <v>4</v>
      </c>
      <c r="AE589">
        <v>2</v>
      </c>
      <c r="AF589">
        <v>80</v>
      </c>
      <c r="AG589">
        <v>1</v>
      </c>
      <c r="AH5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89">
        <v>9</v>
      </c>
      <c r="AJ589" t="s">
        <v>78</v>
      </c>
      <c r="AK589">
        <v>3</v>
      </c>
      <c r="AL589" t="s">
        <v>78</v>
      </c>
      <c r="AM589">
        <v>3</v>
      </c>
      <c r="AN589" t="s">
        <v>78</v>
      </c>
      <c r="AO589">
        <v>5</v>
      </c>
      <c r="AP589" t="s">
        <v>78</v>
      </c>
      <c r="AQ589">
        <v>2</v>
      </c>
      <c r="AR589">
        <v>1</v>
      </c>
      <c r="AS589">
        <v>4</v>
      </c>
    </row>
    <row r="590" spans="1:4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 t="str">
        <f>IF(Employee_data[[#This Row],[MonthlyIncome]]&lt;5000,"Low Income",
IF(Employee_data[[#This Row],[MonthlyIncome]]&lt;10000,"Medium Income","High Income"))</f>
        <v>High Income</v>
      </c>
      <c r="U590" t="s">
        <v>90</v>
      </c>
      <c r="V590" t="s">
        <v>90</v>
      </c>
      <c r="W590" t="s">
        <v>90</v>
      </c>
      <c r="X590" t="s">
        <v>90</v>
      </c>
      <c r="Y590">
        <v>6881</v>
      </c>
      <c r="Z590">
        <v>5</v>
      </c>
      <c r="AA590" t="s">
        <v>42</v>
      </c>
      <c r="AB590" t="s">
        <v>43</v>
      </c>
      <c r="AC590">
        <v>16</v>
      </c>
      <c r="AD590">
        <v>3</v>
      </c>
      <c r="AE590">
        <v>4</v>
      </c>
      <c r="AF590">
        <v>80</v>
      </c>
      <c r="AG590">
        <v>0</v>
      </c>
      <c r="AH5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90">
        <v>30</v>
      </c>
      <c r="AJ590" t="s">
        <v>74</v>
      </c>
      <c r="AK590">
        <v>3</v>
      </c>
      <c r="AL590" t="s">
        <v>74</v>
      </c>
      <c r="AM590">
        <v>3</v>
      </c>
      <c r="AN590" t="s">
        <v>74</v>
      </c>
      <c r="AO590">
        <v>4</v>
      </c>
      <c r="AP590" t="s">
        <v>74</v>
      </c>
      <c r="AQ590">
        <v>3</v>
      </c>
      <c r="AR590">
        <v>0</v>
      </c>
      <c r="AS590">
        <v>3</v>
      </c>
    </row>
    <row r="591" spans="1:4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 t="str">
        <f>IF(Employee_data[[#This Row],[MonthlyIncome]]&lt;5000,"Low Income",
IF(Employee_data[[#This Row],[MonthlyIncome]]&lt;10000,"Medium Income","High Income"))</f>
        <v>Low Income</v>
      </c>
      <c r="U591" t="s">
        <v>91</v>
      </c>
      <c r="V591" t="s">
        <v>91</v>
      </c>
      <c r="W591" t="s">
        <v>91</v>
      </c>
      <c r="X591" t="s">
        <v>91</v>
      </c>
      <c r="Y591">
        <v>6689</v>
      </c>
      <c r="Z591">
        <v>1</v>
      </c>
      <c r="AA591" t="s">
        <v>42</v>
      </c>
      <c r="AB591" t="s">
        <v>35</v>
      </c>
      <c r="AC591">
        <v>11</v>
      </c>
      <c r="AD591">
        <v>3</v>
      </c>
      <c r="AE591">
        <v>4</v>
      </c>
      <c r="AF591">
        <v>80</v>
      </c>
      <c r="AG591">
        <v>1</v>
      </c>
      <c r="AH5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91">
        <v>1</v>
      </c>
      <c r="AJ591" t="s">
        <v>74</v>
      </c>
      <c r="AK591">
        <v>1</v>
      </c>
      <c r="AL591" t="s">
        <v>74</v>
      </c>
      <c r="AM591">
        <v>3</v>
      </c>
      <c r="AN591" t="s">
        <v>74</v>
      </c>
      <c r="AO591">
        <v>1</v>
      </c>
      <c r="AP591" t="s">
        <v>74</v>
      </c>
      <c r="AQ591">
        <v>0</v>
      </c>
      <c r="AR591">
        <v>0</v>
      </c>
      <c r="AS591">
        <v>0</v>
      </c>
    </row>
    <row r="592" spans="1:4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 t="str">
        <f>IF(Employee_data[[#This Row],[MonthlyIncome]]&lt;5000,"Low Income",
IF(Employee_data[[#This Row],[MonthlyIncome]]&lt;10000,"Medium Income","High Income"))</f>
        <v>High Income</v>
      </c>
      <c r="U592" t="s">
        <v>90</v>
      </c>
      <c r="V592" t="s">
        <v>90</v>
      </c>
      <c r="W592" t="s">
        <v>90</v>
      </c>
      <c r="X592" t="s">
        <v>90</v>
      </c>
      <c r="Y592">
        <v>25995</v>
      </c>
      <c r="Z592">
        <v>0</v>
      </c>
      <c r="AA592" t="s">
        <v>42</v>
      </c>
      <c r="AB592" t="s">
        <v>43</v>
      </c>
      <c r="AC592">
        <v>11</v>
      </c>
      <c r="AD592">
        <v>3</v>
      </c>
      <c r="AE592">
        <v>4</v>
      </c>
      <c r="AF592">
        <v>80</v>
      </c>
      <c r="AG592">
        <v>0</v>
      </c>
      <c r="AH5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92">
        <v>14</v>
      </c>
      <c r="AJ592" t="s">
        <v>75</v>
      </c>
      <c r="AK592">
        <v>3</v>
      </c>
      <c r="AL592" t="s">
        <v>75</v>
      </c>
      <c r="AM592">
        <v>4</v>
      </c>
      <c r="AN592" t="s">
        <v>75</v>
      </c>
      <c r="AO592">
        <v>13</v>
      </c>
      <c r="AP592" t="s">
        <v>75</v>
      </c>
      <c r="AQ592">
        <v>9</v>
      </c>
      <c r="AR592">
        <v>3</v>
      </c>
      <c r="AS592">
        <v>7</v>
      </c>
    </row>
    <row r="593" spans="1:4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 t="str">
        <f>IF(Employee_data[[#This Row],[MonthlyIncome]]&lt;5000,"Low Income",
IF(Employee_data[[#This Row],[MonthlyIncome]]&lt;10000,"Medium Income","High Income"))</f>
        <v>Medium Income</v>
      </c>
      <c r="U593" t="s">
        <v>92</v>
      </c>
      <c r="V593" t="s">
        <v>92</v>
      </c>
      <c r="W593" t="s">
        <v>92</v>
      </c>
      <c r="X593" t="s">
        <v>92</v>
      </c>
      <c r="Y593">
        <v>26507</v>
      </c>
      <c r="Z593">
        <v>5</v>
      </c>
      <c r="AA593" t="s">
        <v>42</v>
      </c>
      <c r="AB593" t="s">
        <v>43</v>
      </c>
      <c r="AC593">
        <v>15</v>
      </c>
      <c r="AD593">
        <v>3</v>
      </c>
      <c r="AE593">
        <v>3</v>
      </c>
      <c r="AF593">
        <v>80</v>
      </c>
      <c r="AG593">
        <v>0</v>
      </c>
      <c r="AH5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93">
        <v>6</v>
      </c>
      <c r="AJ593" t="s">
        <v>74</v>
      </c>
      <c r="AK593">
        <v>3</v>
      </c>
      <c r="AL593" t="s">
        <v>74</v>
      </c>
      <c r="AM593">
        <v>3</v>
      </c>
      <c r="AN593" t="s">
        <v>74</v>
      </c>
      <c r="AO593">
        <v>3</v>
      </c>
      <c r="AP593" t="s">
        <v>74</v>
      </c>
      <c r="AQ593">
        <v>2</v>
      </c>
      <c r="AR593">
        <v>0</v>
      </c>
      <c r="AS593">
        <v>2</v>
      </c>
    </row>
    <row r="594" spans="1:4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 t="str">
        <f>IF(Employee_data[[#This Row],[MonthlyIncome]]&lt;5000,"Low Income",
IF(Employee_data[[#This Row],[MonthlyIncome]]&lt;10000,"Medium Income","High Income"))</f>
        <v>High Income</v>
      </c>
      <c r="U594" t="s">
        <v>90</v>
      </c>
      <c r="V594" t="s">
        <v>90</v>
      </c>
      <c r="W594" t="s">
        <v>90</v>
      </c>
      <c r="X594" t="s">
        <v>90</v>
      </c>
      <c r="Y594">
        <v>12982</v>
      </c>
      <c r="Z594">
        <v>1</v>
      </c>
      <c r="AA594" t="s">
        <v>42</v>
      </c>
      <c r="AB594" t="s">
        <v>35</v>
      </c>
      <c r="AC594">
        <v>11</v>
      </c>
      <c r="AD594">
        <v>3</v>
      </c>
      <c r="AE594">
        <v>3</v>
      </c>
      <c r="AF594">
        <v>80</v>
      </c>
      <c r="AG594">
        <v>1</v>
      </c>
      <c r="AH5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594">
        <v>26</v>
      </c>
      <c r="AJ594" t="s">
        <v>77</v>
      </c>
      <c r="AK594">
        <v>3</v>
      </c>
      <c r="AL594" t="s">
        <v>77</v>
      </c>
      <c r="AM594">
        <v>2</v>
      </c>
      <c r="AN594" t="s">
        <v>77</v>
      </c>
      <c r="AO594">
        <v>26</v>
      </c>
      <c r="AP594" t="s">
        <v>77</v>
      </c>
      <c r="AQ594">
        <v>14</v>
      </c>
      <c r="AR594">
        <v>3</v>
      </c>
      <c r="AS594">
        <v>0</v>
      </c>
    </row>
    <row r="595" spans="1:4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 t="str">
        <f>IF(Employee_data[[#This Row],[MonthlyIncome]]&lt;5000,"Low Income",
IF(Employee_data[[#This Row],[MonthlyIncome]]&lt;10000,"Medium Income","High Income"))</f>
        <v>Medium Income</v>
      </c>
      <c r="U595" t="s">
        <v>92</v>
      </c>
      <c r="V595" t="s">
        <v>92</v>
      </c>
      <c r="W595" t="s">
        <v>92</v>
      </c>
      <c r="X595" t="s">
        <v>92</v>
      </c>
      <c r="Y595">
        <v>23361</v>
      </c>
      <c r="Z595">
        <v>0</v>
      </c>
      <c r="AA595" t="s">
        <v>42</v>
      </c>
      <c r="AB595" t="s">
        <v>43</v>
      </c>
      <c r="AC595">
        <v>15</v>
      </c>
      <c r="AD595">
        <v>3</v>
      </c>
      <c r="AE595">
        <v>1</v>
      </c>
      <c r="AF595">
        <v>80</v>
      </c>
      <c r="AG595">
        <v>1</v>
      </c>
      <c r="AH5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595">
        <v>10</v>
      </c>
      <c r="AJ595" t="s">
        <v>78</v>
      </c>
      <c r="AK595">
        <v>2</v>
      </c>
      <c r="AL595" t="s">
        <v>78</v>
      </c>
      <c r="AM595">
        <v>3</v>
      </c>
      <c r="AN595" t="s">
        <v>78</v>
      </c>
      <c r="AO595">
        <v>9</v>
      </c>
      <c r="AP595" t="s">
        <v>78</v>
      </c>
      <c r="AQ595">
        <v>7</v>
      </c>
      <c r="AR595">
        <v>0</v>
      </c>
      <c r="AS595">
        <v>5</v>
      </c>
    </row>
    <row r="596" spans="1:4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 t="str">
        <f>IF(Employee_data[[#This Row],[MonthlyIncome]]&lt;5000,"Low Income",
IF(Employee_data[[#This Row],[MonthlyIncome]]&lt;10000,"Medium Income","High Income"))</f>
        <v>Low Income</v>
      </c>
      <c r="U596" t="s">
        <v>91</v>
      </c>
      <c r="V596" t="s">
        <v>91</v>
      </c>
      <c r="W596" t="s">
        <v>91</v>
      </c>
      <c r="X596" t="s">
        <v>91</v>
      </c>
      <c r="Y596">
        <v>23779</v>
      </c>
      <c r="Z596">
        <v>1</v>
      </c>
      <c r="AA596" t="s">
        <v>42</v>
      </c>
      <c r="AB596" t="s">
        <v>43</v>
      </c>
      <c r="AC596">
        <v>24</v>
      </c>
      <c r="AD596">
        <v>4</v>
      </c>
      <c r="AE596">
        <v>3</v>
      </c>
      <c r="AF596">
        <v>80</v>
      </c>
      <c r="AG596">
        <v>1</v>
      </c>
      <c r="AH5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596">
        <v>10</v>
      </c>
      <c r="AJ596" t="s">
        <v>75</v>
      </c>
      <c r="AK596">
        <v>3</v>
      </c>
      <c r="AL596" t="s">
        <v>75</v>
      </c>
      <c r="AM596">
        <v>3</v>
      </c>
      <c r="AN596" t="s">
        <v>75</v>
      </c>
      <c r="AO596">
        <v>10</v>
      </c>
      <c r="AP596" t="s">
        <v>75</v>
      </c>
      <c r="AQ596">
        <v>7</v>
      </c>
      <c r="AR596">
        <v>0</v>
      </c>
      <c r="AS596">
        <v>7</v>
      </c>
    </row>
    <row r="597" spans="1:4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 t="str">
        <f>IF(Employee_data[[#This Row],[MonthlyIncome]]&lt;5000,"Low Income",
IF(Employee_data[[#This Row],[MonthlyIncome]]&lt;10000,"Medium Income","High Income"))</f>
        <v>High Income</v>
      </c>
      <c r="U597" t="s">
        <v>90</v>
      </c>
      <c r="V597" t="s">
        <v>90</v>
      </c>
      <c r="W597" t="s">
        <v>90</v>
      </c>
      <c r="X597" t="s">
        <v>90</v>
      </c>
      <c r="Y597">
        <v>25761</v>
      </c>
      <c r="Z597">
        <v>7</v>
      </c>
      <c r="AA597" t="s">
        <v>42</v>
      </c>
      <c r="AB597" t="s">
        <v>35</v>
      </c>
      <c r="AC597">
        <v>12</v>
      </c>
      <c r="AD597">
        <v>3</v>
      </c>
      <c r="AE597">
        <v>4</v>
      </c>
      <c r="AF597">
        <v>80</v>
      </c>
      <c r="AG597">
        <v>0</v>
      </c>
      <c r="AH5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597">
        <v>40</v>
      </c>
      <c r="AJ597" t="s">
        <v>77</v>
      </c>
      <c r="AK597">
        <v>2</v>
      </c>
      <c r="AL597" t="s">
        <v>77</v>
      </c>
      <c r="AM597">
        <v>3</v>
      </c>
      <c r="AN597" t="s">
        <v>77</v>
      </c>
      <c r="AO597">
        <v>31</v>
      </c>
      <c r="AP597" t="s">
        <v>77</v>
      </c>
      <c r="AQ597">
        <v>15</v>
      </c>
      <c r="AR597">
        <v>13</v>
      </c>
      <c r="AS597">
        <v>8</v>
      </c>
    </row>
    <row r="598" spans="1:4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 t="str">
        <f>IF(Employee_data[[#This Row],[MonthlyIncome]]&lt;5000,"Low Income",
IF(Employee_data[[#This Row],[MonthlyIncome]]&lt;10000,"Medium Income","High Income"))</f>
        <v>Low Income</v>
      </c>
      <c r="U598" t="s">
        <v>91</v>
      </c>
      <c r="V598" t="s">
        <v>91</v>
      </c>
      <c r="W598" t="s">
        <v>91</v>
      </c>
      <c r="X598" t="s">
        <v>91</v>
      </c>
      <c r="Y598">
        <v>13301</v>
      </c>
      <c r="Z598">
        <v>3</v>
      </c>
      <c r="AA598" t="s">
        <v>42</v>
      </c>
      <c r="AB598" t="s">
        <v>43</v>
      </c>
      <c r="AC598">
        <v>13</v>
      </c>
      <c r="AD598">
        <v>3</v>
      </c>
      <c r="AE598">
        <v>3</v>
      </c>
      <c r="AF598">
        <v>80</v>
      </c>
      <c r="AG598">
        <v>0</v>
      </c>
      <c r="AH5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98">
        <v>7</v>
      </c>
      <c r="AJ598" t="s">
        <v>74</v>
      </c>
      <c r="AK598">
        <v>0</v>
      </c>
      <c r="AL598" t="s">
        <v>74</v>
      </c>
      <c r="AM598">
        <v>3</v>
      </c>
      <c r="AN598" t="s">
        <v>74</v>
      </c>
      <c r="AO598">
        <v>2</v>
      </c>
      <c r="AP598" t="s">
        <v>74</v>
      </c>
      <c r="AQ598">
        <v>2</v>
      </c>
      <c r="AR598">
        <v>2</v>
      </c>
      <c r="AS598">
        <v>2</v>
      </c>
    </row>
    <row r="599" spans="1:4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 t="str">
        <f>IF(Employee_data[[#This Row],[MonthlyIncome]]&lt;5000,"Low Income",
IF(Employee_data[[#This Row],[MonthlyIncome]]&lt;10000,"Medium Income","High Income"))</f>
        <v>Medium Income</v>
      </c>
      <c r="U599" t="s">
        <v>92</v>
      </c>
      <c r="V599" t="s">
        <v>92</v>
      </c>
      <c r="W599" t="s">
        <v>92</v>
      </c>
      <c r="X599" t="s">
        <v>92</v>
      </c>
      <c r="Y599">
        <v>4051</v>
      </c>
      <c r="Z599">
        <v>9</v>
      </c>
      <c r="AA599" t="s">
        <v>42</v>
      </c>
      <c r="AB599" t="s">
        <v>35</v>
      </c>
      <c r="AC599">
        <v>13</v>
      </c>
      <c r="AD599">
        <v>3</v>
      </c>
      <c r="AE599">
        <v>4</v>
      </c>
      <c r="AF599">
        <v>80</v>
      </c>
      <c r="AG599">
        <v>1</v>
      </c>
      <c r="AH5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599">
        <v>8</v>
      </c>
      <c r="AJ599" t="s">
        <v>74</v>
      </c>
      <c r="AK599">
        <v>4</v>
      </c>
      <c r="AL599" t="s">
        <v>74</v>
      </c>
      <c r="AM599">
        <v>3</v>
      </c>
      <c r="AN599" t="s">
        <v>74</v>
      </c>
      <c r="AO599">
        <v>4</v>
      </c>
      <c r="AP599" t="s">
        <v>74</v>
      </c>
      <c r="AQ599">
        <v>3</v>
      </c>
      <c r="AR599">
        <v>0</v>
      </c>
      <c r="AS599">
        <v>2</v>
      </c>
    </row>
    <row r="600" spans="1:4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 t="str">
        <f>IF(Employee_data[[#This Row],[MonthlyIncome]]&lt;5000,"Low Income",
IF(Employee_data[[#This Row],[MonthlyIncome]]&lt;10000,"Medium Income","High Income"))</f>
        <v>Low Income</v>
      </c>
      <c r="U600" t="s">
        <v>91</v>
      </c>
      <c r="V600" t="s">
        <v>91</v>
      </c>
      <c r="W600" t="s">
        <v>91</v>
      </c>
      <c r="X600" t="s">
        <v>91</v>
      </c>
      <c r="Y600">
        <v>16374</v>
      </c>
      <c r="Z600">
        <v>6</v>
      </c>
      <c r="AA600" t="s">
        <v>42</v>
      </c>
      <c r="AB600" t="s">
        <v>43</v>
      </c>
      <c r="AC600">
        <v>17</v>
      </c>
      <c r="AD600">
        <v>3</v>
      </c>
      <c r="AE600">
        <v>4</v>
      </c>
      <c r="AF600">
        <v>80</v>
      </c>
      <c r="AG600">
        <v>0</v>
      </c>
      <c r="AH6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00">
        <v>5</v>
      </c>
      <c r="AJ600" t="s">
        <v>74</v>
      </c>
      <c r="AK600">
        <v>3</v>
      </c>
      <c r="AL600" t="s">
        <v>74</v>
      </c>
      <c r="AM600">
        <v>2</v>
      </c>
      <c r="AN600" t="s">
        <v>74</v>
      </c>
      <c r="AO600">
        <v>2</v>
      </c>
      <c r="AP600" t="s">
        <v>74</v>
      </c>
      <c r="AQ600">
        <v>2</v>
      </c>
      <c r="AR600">
        <v>2</v>
      </c>
      <c r="AS600">
        <v>1</v>
      </c>
    </row>
    <row r="601" spans="1:4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 t="str">
        <f>IF(Employee_data[[#This Row],[MonthlyIncome]]&lt;5000,"Low Income",
IF(Employee_data[[#This Row],[MonthlyIncome]]&lt;10000,"Medium Income","High Income"))</f>
        <v>Low Income</v>
      </c>
      <c r="U601" t="s">
        <v>91</v>
      </c>
      <c r="V601" t="s">
        <v>91</v>
      </c>
      <c r="W601" t="s">
        <v>91</v>
      </c>
      <c r="X601" t="s">
        <v>91</v>
      </c>
      <c r="Y601">
        <v>25527</v>
      </c>
      <c r="Z601">
        <v>4</v>
      </c>
      <c r="AA601" t="s">
        <v>42</v>
      </c>
      <c r="AB601" t="s">
        <v>43</v>
      </c>
      <c r="AC601">
        <v>13</v>
      </c>
      <c r="AD601">
        <v>3</v>
      </c>
      <c r="AE601">
        <v>2</v>
      </c>
      <c r="AF601">
        <v>80</v>
      </c>
      <c r="AG601">
        <v>1</v>
      </c>
      <c r="AH6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01">
        <v>8</v>
      </c>
      <c r="AJ601" t="s">
        <v>78</v>
      </c>
      <c r="AK601">
        <v>2</v>
      </c>
      <c r="AL601" t="s">
        <v>78</v>
      </c>
      <c r="AM601">
        <v>3</v>
      </c>
      <c r="AN601" t="s">
        <v>78</v>
      </c>
      <c r="AO601">
        <v>5</v>
      </c>
      <c r="AP601" t="s">
        <v>78</v>
      </c>
      <c r="AQ601">
        <v>2</v>
      </c>
      <c r="AR601">
        <v>0</v>
      </c>
      <c r="AS601">
        <v>4</v>
      </c>
    </row>
    <row r="602" spans="1:4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 t="str">
        <f>IF(Employee_data[[#This Row],[MonthlyIncome]]&lt;5000,"Low Income",
IF(Employee_data[[#This Row],[MonthlyIncome]]&lt;10000,"Medium Income","High Income"))</f>
        <v>Medium Income</v>
      </c>
      <c r="U602" t="s">
        <v>92</v>
      </c>
      <c r="V602" t="s">
        <v>92</v>
      </c>
      <c r="W602" t="s">
        <v>92</v>
      </c>
      <c r="X602" t="s">
        <v>92</v>
      </c>
      <c r="Y602">
        <v>19124</v>
      </c>
      <c r="Z602">
        <v>1</v>
      </c>
      <c r="AA602" t="s">
        <v>42</v>
      </c>
      <c r="AB602" t="s">
        <v>43</v>
      </c>
      <c r="AC602">
        <v>12</v>
      </c>
      <c r="AD602">
        <v>3</v>
      </c>
      <c r="AE602">
        <v>3</v>
      </c>
      <c r="AF602">
        <v>80</v>
      </c>
      <c r="AG602">
        <v>1</v>
      </c>
      <c r="AH6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02">
        <v>14</v>
      </c>
      <c r="AJ602" t="s">
        <v>75</v>
      </c>
      <c r="AK602">
        <v>3</v>
      </c>
      <c r="AL602" t="s">
        <v>75</v>
      </c>
      <c r="AM602">
        <v>3</v>
      </c>
      <c r="AN602" t="s">
        <v>75</v>
      </c>
      <c r="AO602">
        <v>14</v>
      </c>
      <c r="AP602" t="s">
        <v>75</v>
      </c>
      <c r="AQ602">
        <v>13</v>
      </c>
      <c r="AR602">
        <v>6</v>
      </c>
      <c r="AS602">
        <v>8</v>
      </c>
    </row>
    <row r="603" spans="1:4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 t="str">
        <f>IF(Employee_data[[#This Row],[MonthlyIncome]]&lt;5000,"Low Income",
IF(Employee_data[[#This Row],[MonthlyIncome]]&lt;10000,"Medium Income","High Income"))</f>
        <v>Medium Income</v>
      </c>
      <c r="U603" t="s">
        <v>92</v>
      </c>
      <c r="V603" t="s">
        <v>92</v>
      </c>
      <c r="W603" t="s">
        <v>92</v>
      </c>
      <c r="X603" t="s">
        <v>92</v>
      </c>
      <c r="Y603">
        <v>11983</v>
      </c>
      <c r="Z603">
        <v>6</v>
      </c>
      <c r="AA603" t="s">
        <v>42</v>
      </c>
      <c r="AB603" t="s">
        <v>43</v>
      </c>
      <c r="AC603">
        <v>14</v>
      </c>
      <c r="AD603">
        <v>3</v>
      </c>
      <c r="AE603">
        <v>4</v>
      </c>
      <c r="AF603">
        <v>80</v>
      </c>
      <c r="AG603">
        <v>0</v>
      </c>
      <c r="AH6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03">
        <v>10</v>
      </c>
      <c r="AJ603" t="s">
        <v>74</v>
      </c>
      <c r="AK603">
        <v>6</v>
      </c>
      <c r="AL603" t="s">
        <v>74</v>
      </c>
      <c r="AM603">
        <v>3</v>
      </c>
      <c r="AN603" t="s">
        <v>74</v>
      </c>
      <c r="AO603">
        <v>1</v>
      </c>
      <c r="AP603" t="s">
        <v>74</v>
      </c>
      <c r="AQ603">
        <v>0</v>
      </c>
      <c r="AR603">
        <v>0</v>
      </c>
      <c r="AS603">
        <v>0</v>
      </c>
    </row>
    <row r="604" spans="1:4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 t="str">
        <f>IF(Employee_data[[#This Row],[MonthlyIncome]]&lt;5000,"Low Income",
IF(Employee_data[[#This Row],[MonthlyIncome]]&lt;10000,"Medium Income","High Income"))</f>
        <v>Medium Income</v>
      </c>
      <c r="U604" t="s">
        <v>92</v>
      </c>
      <c r="V604" t="s">
        <v>92</v>
      </c>
      <c r="W604" t="s">
        <v>92</v>
      </c>
      <c r="X604" t="s">
        <v>92</v>
      </c>
      <c r="Y604">
        <v>20234</v>
      </c>
      <c r="Z604">
        <v>5</v>
      </c>
      <c r="AA604" t="s">
        <v>42</v>
      </c>
      <c r="AB604" t="s">
        <v>35</v>
      </c>
      <c r="AC604">
        <v>24</v>
      </c>
      <c r="AD604">
        <v>4</v>
      </c>
      <c r="AE604">
        <v>2</v>
      </c>
      <c r="AF604">
        <v>80</v>
      </c>
      <c r="AG604">
        <v>0</v>
      </c>
      <c r="AH6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04">
        <v>12</v>
      </c>
      <c r="AJ604" t="s">
        <v>74</v>
      </c>
      <c r="AK604">
        <v>4</v>
      </c>
      <c r="AL604" t="s">
        <v>74</v>
      </c>
      <c r="AM604">
        <v>2</v>
      </c>
      <c r="AN604" t="s">
        <v>74</v>
      </c>
      <c r="AO604">
        <v>0</v>
      </c>
      <c r="AP604" t="s">
        <v>74</v>
      </c>
      <c r="AQ604">
        <v>0</v>
      </c>
      <c r="AR604">
        <v>0</v>
      </c>
      <c r="AS604">
        <v>0</v>
      </c>
    </row>
    <row r="605" spans="1:4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 t="str">
        <f>IF(Employee_data[[#This Row],[MonthlyIncome]]&lt;5000,"Low Income",
IF(Employee_data[[#This Row],[MonthlyIncome]]&lt;10000,"Medium Income","High Income"))</f>
        <v>Low Income</v>
      </c>
      <c r="U605" t="s">
        <v>91</v>
      </c>
      <c r="V605" t="s">
        <v>91</v>
      </c>
      <c r="W605" t="s">
        <v>91</v>
      </c>
      <c r="X605" t="s">
        <v>91</v>
      </c>
      <c r="Y605">
        <v>6153</v>
      </c>
      <c r="Z605">
        <v>1</v>
      </c>
      <c r="AA605" t="s">
        <v>42</v>
      </c>
      <c r="AB605" t="s">
        <v>43</v>
      </c>
      <c r="AC605">
        <v>14</v>
      </c>
      <c r="AD605">
        <v>3</v>
      </c>
      <c r="AE605">
        <v>4</v>
      </c>
      <c r="AF605">
        <v>80</v>
      </c>
      <c r="AG605">
        <v>0</v>
      </c>
      <c r="AH6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05">
        <v>1</v>
      </c>
      <c r="AJ605" t="s">
        <v>74</v>
      </c>
      <c r="AK605">
        <v>3</v>
      </c>
      <c r="AL605" t="s">
        <v>74</v>
      </c>
      <c r="AM605">
        <v>3</v>
      </c>
      <c r="AN605" t="s">
        <v>74</v>
      </c>
      <c r="AO605">
        <v>1</v>
      </c>
      <c r="AP605" t="s">
        <v>74</v>
      </c>
      <c r="AQ605">
        <v>0</v>
      </c>
      <c r="AR605">
        <v>0</v>
      </c>
      <c r="AS605">
        <v>0</v>
      </c>
    </row>
    <row r="606" spans="1:4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 t="str">
        <f>IF(Employee_data[[#This Row],[MonthlyIncome]]&lt;5000,"Low Income",
IF(Employee_data[[#This Row],[MonthlyIncome]]&lt;10000,"Medium Income","High Income"))</f>
        <v>Low Income</v>
      </c>
      <c r="U606" t="s">
        <v>91</v>
      </c>
      <c r="V606" t="s">
        <v>91</v>
      </c>
      <c r="W606" t="s">
        <v>91</v>
      </c>
      <c r="X606" t="s">
        <v>91</v>
      </c>
      <c r="Y606">
        <v>11806</v>
      </c>
      <c r="Z606">
        <v>1</v>
      </c>
      <c r="AA606" t="s">
        <v>42</v>
      </c>
      <c r="AB606" t="s">
        <v>43</v>
      </c>
      <c r="AC606">
        <v>13</v>
      </c>
      <c r="AD606">
        <v>3</v>
      </c>
      <c r="AE606">
        <v>4</v>
      </c>
      <c r="AF606">
        <v>80</v>
      </c>
      <c r="AG606">
        <v>1</v>
      </c>
      <c r="AH6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06">
        <v>10</v>
      </c>
      <c r="AJ606" t="s">
        <v>78</v>
      </c>
      <c r="AK606">
        <v>3</v>
      </c>
      <c r="AL606" t="s">
        <v>78</v>
      </c>
      <c r="AM606">
        <v>2</v>
      </c>
      <c r="AN606" t="s">
        <v>78</v>
      </c>
      <c r="AO606">
        <v>9</v>
      </c>
      <c r="AP606" t="s">
        <v>78</v>
      </c>
      <c r="AQ606">
        <v>8</v>
      </c>
      <c r="AR606">
        <v>7</v>
      </c>
      <c r="AS606">
        <v>8</v>
      </c>
    </row>
    <row r="607" spans="1:4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 t="str">
        <f>IF(Employee_data[[#This Row],[MonthlyIncome]]&lt;5000,"Low Income",
IF(Employee_data[[#This Row],[MonthlyIncome]]&lt;10000,"Medium Income","High Income"))</f>
        <v>Medium Income</v>
      </c>
      <c r="U607" t="s">
        <v>92</v>
      </c>
      <c r="V607" t="s">
        <v>92</v>
      </c>
      <c r="W607" t="s">
        <v>92</v>
      </c>
      <c r="X607" t="s">
        <v>92</v>
      </c>
      <c r="Y607">
        <v>4284</v>
      </c>
      <c r="Z607">
        <v>2</v>
      </c>
      <c r="AA607" t="s">
        <v>42</v>
      </c>
      <c r="AB607" t="s">
        <v>43</v>
      </c>
      <c r="AC607">
        <v>15</v>
      </c>
      <c r="AD607">
        <v>3</v>
      </c>
      <c r="AE607">
        <v>3</v>
      </c>
      <c r="AF607">
        <v>80</v>
      </c>
      <c r="AG607">
        <v>1</v>
      </c>
      <c r="AH6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07">
        <v>13</v>
      </c>
      <c r="AJ607" t="s">
        <v>74</v>
      </c>
      <c r="AK607">
        <v>3</v>
      </c>
      <c r="AL607" t="s">
        <v>74</v>
      </c>
      <c r="AM607">
        <v>2</v>
      </c>
      <c r="AN607" t="s">
        <v>74</v>
      </c>
      <c r="AO607">
        <v>4</v>
      </c>
      <c r="AP607" t="s">
        <v>74</v>
      </c>
      <c r="AQ607">
        <v>3</v>
      </c>
      <c r="AR607">
        <v>1</v>
      </c>
      <c r="AS607">
        <v>2</v>
      </c>
    </row>
    <row r="608" spans="1:4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 t="str">
        <f>IF(Employee_data[[#This Row],[MonthlyIncome]]&lt;5000,"Low Income",
IF(Employee_data[[#This Row],[MonthlyIncome]]&lt;10000,"Medium Income","High Income"))</f>
        <v>Low Income</v>
      </c>
      <c r="U608" t="s">
        <v>91</v>
      </c>
      <c r="V608" t="s">
        <v>91</v>
      </c>
      <c r="W608" t="s">
        <v>91</v>
      </c>
      <c r="X608" t="s">
        <v>91</v>
      </c>
      <c r="Y608">
        <v>8306</v>
      </c>
      <c r="Z608">
        <v>1</v>
      </c>
      <c r="AA608" t="s">
        <v>42</v>
      </c>
      <c r="AB608" t="s">
        <v>43</v>
      </c>
      <c r="AC608">
        <v>16</v>
      </c>
      <c r="AD608">
        <v>3</v>
      </c>
      <c r="AE608">
        <v>3</v>
      </c>
      <c r="AF608">
        <v>80</v>
      </c>
      <c r="AG608">
        <v>0</v>
      </c>
      <c r="AH6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08">
        <v>6</v>
      </c>
      <c r="AJ608" t="s">
        <v>78</v>
      </c>
      <c r="AK608">
        <v>3</v>
      </c>
      <c r="AL608" t="s">
        <v>78</v>
      </c>
      <c r="AM608">
        <v>3</v>
      </c>
      <c r="AN608" t="s">
        <v>78</v>
      </c>
      <c r="AO608">
        <v>5</v>
      </c>
      <c r="AP608" t="s">
        <v>78</v>
      </c>
      <c r="AQ608">
        <v>2</v>
      </c>
      <c r="AR608">
        <v>1</v>
      </c>
      <c r="AS608">
        <v>3</v>
      </c>
    </row>
    <row r="609" spans="1:4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 t="str">
        <f>IF(Employee_data[[#This Row],[MonthlyIncome]]&lt;5000,"Low Income",
IF(Employee_data[[#This Row],[MonthlyIncome]]&lt;10000,"Medium Income","High Income"))</f>
        <v>Medium Income</v>
      </c>
      <c r="U609" t="s">
        <v>92</v>
      </c>
      <c r="V609" t="s">
        <v>92</v>
      </c>
      <c r="W609" t="s">
        <v>92</v>
      </c>
      <c r="X609" t="s">
        <v>92</v>
      </c>
      <c r="Y609">
        <v>5860</v>
      </c>
      <c r="Z609">
        <v>1</v>
      </c>
      <c r="AA609" t="s">
        <v>42</v>
      </c>
      <c r="AB609" t="s">
        <v>43</v>
      </c>
      <c r="AC609">
        <v>18</v>
      </c>
      <c r="AD609">
        <v>3</v>
      </c>
      <c r="AE609">
        <v>1</v>
      </c>
      <c r="AF609">
        <v>80</v>
      </c>
      <c r="AG609">
        <v>2</v>
      </c>
      <c r="AH6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09">
        <v>9</v>
      </c>
      <c r="AJ609" t="s">
        <v>78</v>
      </c>
      <c r="AK609">
        <v>3</v>
      </c>
      <c r="AL609" t="s">
        <v>78</v>
      </c>
      <c r="AM609">
        <v>4</v>
      </c>
      <c r="AN609" t="s">
        <v>78</v>
      </c>
      <c r="AO609">
        <v>9</v>
      </c>
      <c r="AP609" t="s">
        <v>78</v>
      </c>
      <c r="AQ609">
        <v>8</v>
      </c>
      <c r="AR609">
        <v>7</v>
      </c>
      <c r="AS609">
        <v>7</v>
      </c>
    </row>
    <row r="610" spans="1:4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 t="str">
        <f>IF(Employee_data[[#This Row],[MonthlyIncome]]&lt;5000,"Low Income",
IF(Employee_data[[#This Row],[MonthlyIncome]]&lt;10000,"Medium Income","High Income"))</f>
        <v>Medium Income</v>
      </c>
      <c r="U610" t="s">
        <v>92</v>
      </c>
      <c r="V610" t="s">
        <v>92</v>
      </c>
      <c r="W610" t="s">
        <v>92</v>
      </c>
      <c r="X610" t="s">
        <v>92</v>
      </c>
      <c r="Y610">
        <v>21519</v>
      </c>
      <c r="Z610">
        <v>4</v>
      </c>
      <c r="AA610" t="s">
        <v>42</v>
      </c>
      <c r="AB610" t="s">
        <v>43</v>
      </c>
      <c r="AC610">
        <v>16</v>
      </c>
      <c r="AD610">
        <v>3</v>
      </c>
      <c r="AE610">
        <v>3</v>
      </c>
      <c r="AF610">
        <v>80</v>
      </c>
      <c r="AG610">
        <v>0</v>
      </c>
      <c r="AH6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10">
        <v>12</v>
      </c>
      <c r="AJ610" t="s">
        <v>78</v>
      </c>
      <c r="AK610">
        <v>3</v>
      </c>
      <c r="AL610" t="s">
        <v>78</v>
      </c>
      <c r="AM610">
        <v>2</v>
      </c>
      <c r="AN610" t="s">
        <v>78</v>
      </c>
      <c r="AO610">
        <v>9</v>
      </c>
      <c r="AP610" t="s">
        <v>78</v>
      </c>
      <c r="AQ610">
        <v>7</v>
      </c>
      <c r="AR610">
        <v>7</v>
      </c>
      <c r="AS610">
        <v>3</v>
      </c>
    </row>
    <row r="611" spans="1:4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 t="str">
        <f>IF(Employee_data[[#This Row],[MonthlyIncome]]&lt;5000,"Low Income",
IF(Employee_data[[#This Row],[MonthlyIncome]]&lt;10000,"Medium Income","High Income"))</f>
        <v>High Income</v>
      </c>
      <c r="U611" t="s">
        <v>90</v>
      </c>
      <c r="V611" t="s">
        <v>90</v>
      </c>
      <c r="W611" t="s">
        <v>90</v>
      </c>
      <c r="X611" t="s">
        <v>90</v>
      </c>
      <c r="Y611">
        <v>5200</v>
      </c>
      <c r="Z611">
        <v>6</v>
      </c>
      <c r="AA611" t="s">
        <v>42</v>
      </c>
      <c r="AB611" t="s">
        <v>43</v>
      </c>
      <c r="AC611">
        <v>24</v>
      </c>
      <c r="AD611">
        <v>4</v>
      </c>
      <c r="AE611">
        <v>3</v>
      </c>
      <c r="AF611">
        <v>80</v>
      </c>
      <c r="AG611">
        <v>1</v>
      </c>
      <c r="AH6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11">
        <v>22</v>
      </c>
      <c r="AJ611" t="s">
        <v>74</v>
      </c>
      <c r="AK611">
        <v>3</v>
      </c>
      <c r="AL611" t="s">
        <v>74</v>
      </c>
      <c r="AM611">
        <v>3</v>
      </c>
      <c r="AN611" t="s">
        <v>74</v>
      </c>
      <c r="AO611">
        <v>4</v>
      </c>
      <c r="AP611" t="s">
        <v>74</v>
      </c>
      <c r="AQ611">
        <v>1</v>
      </c>
      <c r="AR611">
        <v>1</v>
      </c>
      <c r="AS611">
        <v>0</v>
      </c>
    </row>
    <row r="612" spans="1:4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 t="str">
        <f>IF(Employee_data[[#This Row],[MonthlyIncome]]&lt;5000,"Low Income",
IF(Employee_data[[#This Row],[MonthlyIncome]]&lt;10000,"Medium Income","High Income"))</f>
        <v>High Income</v>
      </c>
      <c r="U612" t="s">
        <v>90</v>
      </c>
      <c r="V612" t="s">
        <v>90</v>
      </c>
      <c r="W612" t="s">
        <v>90</v>
      </c>
      <c r="X612" t="s">
        <v>90</v>
      </c>
      <c r="Y612">
        <v>8842</v>
      </c>
      <c r="Z612">
        <v>1</v>
      </c>
      <c r="AA612" t="s">
        <v>42</v>
      </c>
      <c r="AB612" t="s">
        <v>35</v>
      </c>
      <c r="AC612">
        <v>16</v>
      </c>
      <c r="AD612">
        <v>3</v>
      </c>
      <c r="AE612">
        <v>2</v>
      </c>
      <c r="AF612">
        <v>80</v>
      </c>
      <c r="AG612">
        <v>1</v>
      </c>
      <c r="AH6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12">
        <v>9</v>
      </c>
      <c r="AJ612" t="s">
        <v>78</v>
      </c>
      <c r="AK612">
        <v>3</v>
      </c>
      <c r="AL612" t="s">
        <v>78</v>
      </c>
      <c r="AM612">
        <v>3</v>
      </c>
      <c r="AN612" t="s">
        <v>78</v>
      </c>
      <c r="AO612">
        <v>9</v>
      </c>
      <c r="AP612" t="s">
        <v>78</v>
      </c>
      <c r="AQ612">
        <v>8</v>
      </c>
      <c r="AR612">
        <v>0</v>
      </c>
      <c r="AS612">
        <v>8</v>
      </c>
    </row>
    <row r="613" spans="1:4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 t="str">
        <f>IF(Employee_data[[#This Row],[MonthlyIncome]]&lt;5000,"Low Income",
IF(Employee_data[[#This Row],[MonthlyIncome]]&lt;10000,"Medium Income","High Income"))</f>
        <v>High Income</v>
      </c>
      <c r="U613" t="s">
        <v>90</v>
      </c>
      <c r="V613" t="s">
        <v>90</v>
      </c>
      <c r="W613" t="s">
        <v>90</v>
      </c>
      <c r="X613" t="s">
        <v>90</v>
      </c>
      <c r="Y613">
        <v>18869</v>
      </c>
      <c r="Z613">
        <v>3</v>
      </c>
      <c r="AA613" t="s">
        <v>42</v>
      </c>
      <c r="AB613" t="s">
        <v>43</v>
      </c>
      <c r="AC613">
        <v>21</v>
      </c>
      <c r="AD613">
        <v>4</v>
      </c>
      <c r="AE613">
        <v>2</v>
      </c>
      <c r="AF613">
        <v>80</v>
      </c>
      <c r="AG613">
        <v>0</v>
      </c>
      <c r="AH6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13">
        <v>17</v>
      </c>
      <c r="AJ613" t="s">
        <v>78</v>
      </c>
      <c r="AK613">
        <v>3</v>
      </c>
      <c r="AL613" t="s">
        <v>78</v>
      </c>
      <c r="AM613">
        <v>4</v>
      </c>
      <c r="AN613" t="s">
        <v>78</v>
      </c>
      <c r="AO613">
        <v>8</v>
      </c>
      <c r="AP613" t="s">
        <v>78</v>
      </c>
      <c r="AQ613">
        <v>5</v>
      </c>
      <c r="AR613">
        <v>1</v>
      </c>
      <c r="AS613">
        <v>6</v>
      </c>
    </row>
    <row r="614" spans="1:4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 t="str">
        <f>IF(Employee_data[[#This Row],[MonthlyIncome]]&lt;5000,"Low Income",
IF(Employee_data[[#This Row],[MonthlyIncome]]&lt;10000,"Medium Income","High Income"))</f>
        <v>Low Income</v>
      </c>
      <c r="U614" t="s">
        <v>91</v>
      </c>
      <c r="V614" t="s">
        <v>91</v>
      </c>
      <c r="W614" t="s">
        <v>91</v>
      </c>
      <c r="X614" t="s">
        <v>91</v>
      </c>
      <c r="Y614">
        <v>3698</v>
      </c>
      <c r="Z614">
        <v>1</v>
      </c>
      <c r="AA614" t="s">
        <v>42</v>
      </c>
      <c r="AB614" t="s">
        <v>35</v>
      </c>
      <c r="AC614">
        <v>20</v>
      </c>
      <c r="AD614">
        <v>4</v>
      </c>
      <c r="AE614">
        <v>1</v>
      </c>
      <c r="AF614">
        <v>80</v>
      </c>
      <c r="AG614">
        <v>0</v>
      </c>
      <c r="AH6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14">
        <v>8</v>
      </c>
      <c r="AJ614" t="s">
        <v>78</v>
      </c>
      <c r="AK614">
        <v>2</v>
      </c>
      <c r="AL614" t="s">
        <v>78</v>
      </c>
      <c r="AM614">
        <v>3</v>
      </c>
      <c r="AN614" t="s">
        <v>78</v>
      </c>
      <c r="AO614">
        <v>8</v>
      </c>
      <c r="AP614" t="s">
        <v>78</v>
      </c>
      <c r="AQ614">
        <v>7</v>
      </c>
      <c r="AR614">
        <v>7</v>
      </c>
      <c r="AS614">
        <v>5</v>
      </c>
    </row>
    <row r="615" spans="1:4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 t="str">
        <f>IF(Employee_data[[#This Row],[MonthlyIncome]]&lt;5000,"Low Income",
IF(Employee_data[[#This Row],[MonthlyIncome]]&lt;10000,"Medium Income","High Income"))</f>
        <v>Low Income</v>
      </c>
      <c r="U615" t="s">
        <v>91</v>
      </c>
      <c r="V615" t="s">
        <v>91</v>
      </c>
      <c r="W615" t="s">
        <v>91</v>
      </c>
      <c r="X615" t="s">
        <v>91</v>
      </c>
      <c r="Y615">
        <v>2243</v>
      </c>
      <c r="Z615">
        <v>0</v>
      </c>
      <c r="AA615" t="s">
        <v>42</v>
      </c>
      <c r="AB615" t="s">
        <v>43</v>
      </c>
      <c r="AC615">
        <v>19</v>
      </c>
      <c r="AD615">
        <v>3</v>
      </c>
      <c r="AE615">
        <v>3</v>
      </c>
      <c r="AF615">
        <v>80</v>
      </c>
      <c r="AG615">
        <v>1</v>
      </c>
      <c r="AH6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15">
        <v>4</v>
      </c>
      <c r="AJ615" t="s">
        <v>74</v>
      </c>
      <c r="AK615">
        <v>1</v>
      </c>
      <c r="AL615" t="s">
        <v>74</v>
      </c>
      <c r="AM615">
        <v>1</v>
      </c>
      <c r="AN615" t="s">
        <v>74</v>
      </c>
      <c r="AO615">
        <v>3</v>
      </c>
      <c r="AP615" t="s">
        <v>74</v>
      </c>
      <c r="AQ615">
        <v>2</v>
      </c>
      <c r="AR615">
        <v>0</v>
      </c>
      <c r="AS615">
        <v>2</v>
      </c>
    </row>
    <row r="616" spans="1:4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 t="str">
        <f>IF(Employee_data[[#This Row],[MonthlyIncome]]&lt;5000,"Low Income",
IF(Employee_data[[#This Row],[MonthlyIncome]]&lt;10000,"Medium Income","High Income"))</f>
        <v>Low Income</v>
      </c>
      <c r="U616" t="s">
        <v>91</v>
      </c>
      <c r="V616" t="s">
        <v>91</v>
      </c>
      <c r="W616" t="s">
        <v>91</v>
      </c>
      <c r="X616" t="s">
        <v>91</v>
      </c>
      <c r="Y616">
        <v>20898</v>
      </c>
      <c r="Z616">
        <v>1</v>
      </c>
      <c r="AA616" t="s">
        <v>42</v>
      </c>
      <c r="AB616" t="s">
        <v>35</v>
      </c>
      <c r="AC616">
        <v>14</v>
      </c>
      <c r="AD616">
        <v>3</v>
      </c>
      <c r="AE616">
        <v>1</v>
      </c>
      <c r="AF616">
        <v>80</v>
      </c>
      <c r="AG616">
        <v>1</v>
      </c>
      <c r="AH6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16">
        <v>8</v>
      </c>
      <c r="AJ616" t="s">
        <v>78</v>
      </c>
      <c r="AK616">
        <v>2</v>
      </c>
      <c r="AL616" t="s">
        <v>78</v>
      </c>
      <c r="AM616">
        <v>3</v>
      </c>
      <c r="AN616" t="s">
        <v>78</v>
      </c>
      <c r="AO616">
        <v>8</v>
      </c>
      <c r="AP616" t="s">
        <v>78</v>
      </c>
      <c r="AQ616">
        <v>7</v>
      </c>
      <c r="AR616">
        <v>1</v>
      </c>
      <c r="AS616">
        <v>7</v>
      </c>
    </row>
    <row r="617" spans="1:4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 t="str">
        <f>IF(Employee_data[[#This Row],[MonthlyIncome]]&lt;5000,"Low Income",
IF(Employee_data[[#This Row],[MonthlyIncome]]&lt;10000,"Medium Income","High Income"))</f>
        <v>Low Income</v>
      </c>
      <c r="U617" t="s">
        <v>91</v>
      </c>
      <c r="V617" t="s">
        <v>91</v>
      </c>
      <c r="W617" t="s">
        <v>91</v>
      </c>
      <c r="X617" t="s">
        <v>91</v>
      </c>
      <c r="Y617">
        <v>16571</v>
      </c>
      <c r="Z617">
        <v>1</v>
      </c>
      <c r="AA617" t="s">
        <v>42</v>
      </c>
      <c r="AB617" t="s">
        <v>43</v>
      </c>
      <c r="AC617">
        <v>11</v>
      </c>
      <c r="AD617">
        <v>3</v>
      </c>
      <c r="AE617">
        <v>3</v>
      </c>
      <c r="AF617">
        <v>80</v>
      </c>
      <c r="AG617">
        <v>3</v>
      </c>
      <c r="AH6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17">
        <v>0</v>
      </c>
      <c r="AJ617" t="s">
        <v>74</v>
      </c>
      <c r="AK617">
        <v>6</v>
      </c>
      <c r="AL617" t="s">
        <v>74</v>
      </c>
      <c r="AM617">
        <v>2</v>
      </c>
      <c r="AN617" t="s">
        <v>74</v>
      </c>
      <c r="AO617">
        <v>0</v>
      </c>
      <c r="AP617" t="s">
        <v>74</v>
      </c>
      <c r="AQ617">
        <v>0</v>
      </c>
      <c r="AR617">
        <v>0</v>
      </c>
      <c r="AS617">
        <v>0</v>
      </c>
    </row>
    <row r="618" spans="1:4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 t="str">
        <f>IF(Employee_data[[#This Row],[MonthlyIncome]]&lt;5000,"Low Income",
IF(Employee_data[[#This Row],[MonthlyIncome]]&lt;10000,"Medium Income","High Income"))</f>
        <v>High Income</v>
      </c>
      <c r="U618" t="s">
        <v>90</v>
      </c>
      <c r="V618" t="s">
        <v>90</v>
      </c>
      <c r="W618" t="s">
        <v>90</v>
      </c>
      <c r="X618" t="s">
        <v>90</v>
      </c>
      <c r="Y618">
        <v>5594</v>
      </c>
      <c r="Z618">
        <v>2</v>
      </c>
      <c r="AA618" t="s">
        <v>42</v>
      </c>
      <c r="AB618" t="s">
        <v>43</v>
      </c>
      <c r="AC618">
        <v>14</v>
      </c>
      <c r="AD618">
        <v>3</v>
      </c>
      <c r="AE618">
        <v>3</v>
      </c>
      <c r="AF618">
        <v>80</v>
      </c>
      <c r="AG618">
        <v>1</v>
      </c>
      <c r="AH6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618">
        <v>29</v>
      </c>
      <c r="AJ618" t="s">
        <v>76</v>
      </c>
      <c r="AK618">
        <v>2</v>
      </c>
      <c r="AL618" t="s">
        <v>76</v>
      </c>
      <c r="AM618">
        <v>2</v>
      </c>
      <c r="AN618" t="s">
        <v>76</v>
      </c>
      <c r="AO618">
        <v>20</v>
      </c>
      <c r="AP618" t="s">
        <v>76</v>
      </c>
      <c r="AQ618">
        <v>6</v>
      </c>
      <c r="AR618">
        <v>4</v>
      </c>
      <c r="AS618">
        <v>17</v>
      </c>
    </row>
    <row r="619" spans="1:4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 t="str">
        <f>IF(Employee_data[[#This Row],[MonthlyIncome]]&lt;5000,"Low Income",
IF(Employee_data[[#This Row],[MonthlyIncome]]&lt;10000,"Medium Income","High Income"))</f>
        <v>Medium Income</v>
      </c>
      <c r="U619" t="s">
        <v>92</v>
      </c>
      <c r="V619" t="s">
        <v>92</v>
      </c>
      <c r="W619" t="s">
        <v>92</v>
      </c>
      <c r="X619" t="s">
        <v>92</v>
      </c>
      <c r="Y619">
        <v>5197</v>
      </c>
      <c r="Z619">
        <v>9</v>
      </c>
      <c r="AA619" t="s">
        <v>42</v>
      </c>
      <c r="AB619" t="s">
        <v>43</v>
      </c>
      <c r="AC619">
        <v>12</v>
      </c>
      <c r="AD619">
        <v>3</v>
      </c>
      <c r="AE619">
        <v>4</v>
      </c>
      <c r="AF619">
        <v>80</v>
      </c>
      <c r="AG619">
        <v>0</v>
      </c>
      <c r="AH6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19">
        <v>10</v>
      </c>
      <c r="AJ619" t="s">
        <v>78</v>
      </c>
      <c r="AK619">
        <v>2</v>
      </c>
      <c r="AL619" t="s">
        <v>78</v>
      </c>
      <c r="AM619">
        <v>2</v>
      </c>
      <c r="AN619" t="s">
        <v>78</v>
      </c>
      <c r="AO619">
        <v>5</v>
      </c>
      <c r="AP619" t="s">
        <v>78</v>
      </c>
      <c r="AQ619">
        <v>2</v>
      </c>
      <c r="AR619">
        <v>2</v>
      </c>
      <c r="AS619">
        <v>3</v>
      </c>
    </row>
    <row r="620" spans="1:4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 t="str">
        <f>IF(Employee_data[[#This Row],[MonthlyIncome]]&lt;5000,"Low Income",
IF(Employee_data[[#This Row],[MonthlyIncome]]&lt;10000,"Medium Income","High Income"))</f>
        <v>Low Income</v>
      </c>
      <c r="U620" t="s">
        <v>91</v>
      </c>
      <c r="V620" t="s">
        <v>91</v>
      </c>
      <c r="W620" t="s">
        <v>91</v>
      </c>
      <c r="X620" t="s">
        <v>91</v>
      </c>
      <c r="Y620">
        <v>21632</v>
      </c>
      <c r="Z620">
        <v>7</v>
      </c>
      <c r="AA620" t="s">
        <v>42</v>
      </c>
      <c r="AB620" t="s">
        <v>43</v>
      </c>
      <c r="AC620">
        <v>13</v>
      </c>
      <c r="AD620">
        <v>3</v>
      </c>
      <c r="AE620">
        <v>3</v>
      </c>
      <c r="AF620">
        <v>80</v>
      </c>
      <c r="AG620">
        <v>0</v>
      </c>
      <c r="AH6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20">
        <v>6</v>
      </c>
      <c r="AJ620" t="s">
        <v>74</v>
      </c>
      <c r="AK620">
        <v>3</v>
      </c>
      <c r="AL620" t="s">
        <v>74</v>
      </c>
      <c r="AM620">
        <v>2</v>
      </c>
      <c r="AN620" t="s">
        <v>74</v>
      </c>
      <c r="AO620">
        <v>4</v>
      </c>
      <c r="AP620" t="s">
        <v>74</v>
      </c>
      <c r="AQ620">
        <v>3</v>
      </c>
      <c r="AR620">
        <v>0</v>
      </c>
      <c r="AS620">
        <v>1</v>
      </c>
    </row>
    <row r="621" spans="1:4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 t="str">
        <f>IF(Employee_data[[#This Row],[MonthlyIncome]]&lt;5000,"Low Income",
IF(Employee_data[[#This Row],[MonthlyIncome]]&lt;10000,"Medium Income","High Income"))</f>
        <v>Low Income</v>
      </c>
      <c r="U621" t="s">
        <v>91</v>
      </c>
      <c r="V621" t="s">
        <v>91</v>
      </c>
      <c r="W621" t="s">
        <v>91</v>
      </c>
      <c r="X621" t="s">
        <v>91</v>
      </c>
      <c r="Y621">
        <v>21816</v>
      </c>
      <c r="Z621">
        <v>1</v>
      </c>
      <c r="AA621" t="s">
        <v>42</v>
      </c>
      <c r="AB621" t="s">
        <v>43</v>
      </c>
      <c r="AC621">
        <v>22</v>
      </c>
      <c r="AD621">
        <v>4</v>
      </c>
      <c r="AE621">
        <v>1</v>
      </c>
      <c r="AF621">
        <v>80</v>
      </c>
      <c r="AG621">
        <v>1</v>
      </c>
      <c r="AH6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21">
        <v>9</v>
      </c>
      <c r="AJ621" t="s">
        <v>78</v>
      </c>
      <c r="AK621">
        <v>5</v>
      </c>
      <c r="AL621" t="s">
        <v>78</v>
      </c>
      <c r="AM621">
        <v>3</v>
      </c>
      <c r="AN621" t="s">
        <v>78</v>
      </c>
      <c r="AO621">
        <v>9</v>
      </c>
      <c r="AP621" t="s">
        <v>78</v>
      </c>
      <c r="AQ621">
        <v>8</v>
      </c>
      <c r="AR621">
        <v>0</v>
      </c>
      <c r="AS621">
        <v>8</v>
      </c>
    </row>
    <row r="622" spans="1:4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 t="str">
        <f>IF(Employee_data[[#This Row],[MonthlyIncome]]&lt;5000,"Low Income",
IF(Employee_data[[#This Row],[MonthlyIncome]]&lt;10000,"Medium Income","High Income"))</f>
        <v>Low Income</v>
      </c>
      <c r="U622" t="s">
        <v>91</v>
      </c>
      <c r="V622" t="s">
        <v>91</v>
      </c>
      <c r="W622" t="s">
        <v>91</v>
      </c>
      <c r="X622" t="s">
        <v>91</v>
      </c>
      <c r="Y622">
        <v>17852</v>
      </c>
      <c r="Z622">
        <v>1</v>
      </c>
      <c r="AA622" t="s">
        <v>42</v>
      </c>
      <c r="AB622" t="s">
        <v>43</v>
      </c>
      <c r="AC622">
        <v>11</v>
      </c>
      <c r="AD622">
        <v>3</v>
      </c>
      <c r="AE622">
        <v>4</v>
      </c>
      <c r="AF622">
        <v>80</v>
      </c>
      <c r="AG622">
        <v>0</v>
      </c>
      <c r="AH6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22">
        <v>6</v>
      </c>
      <c r="AJ622" t="s">
        <v>78</v>
      </c>
      <c r="AK622">
        <v>3</v>
      </c>
      <c r="AL622" t="s">
        <v>78</v>
      </c>
      <c r="AM622">
        <v>2</v>
      </c>
      <c r="AN622" t="s">
        <v>78</v>
      </c>
      <c r="AO622">
        <v>6</v>
      </c>
      <c r="AP622" t="s">
        <v>78</v>
      </c>
      <c r="AQ622">
        <v>5</v>
      </c>
      <c r="AR622">
        <v>1</v>
      </c>
      <c r="AS622">
        <v>1</v>
      </c>
    </row>
    <row r="623" spans="1:4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 t="str">
        <f>IF(Employee_data[[#This Row],[MonthlyIncome]]&lt;5000,"Low Income",
IF(Employee_data[[#This Row],[MonthlyIncome]]&lt;10000,"Medium Income","High Income"))</f>
        <v>Medium Income</v>
      </c>
      <c r="U623" t="s">
        <v>92</v>
      </c>
      <c r="V623" t="s">
        <v>92</v>
      </c>
      <c r="W623" t="s">
        <v>92</v>
      </c>
      <c r="X623" t="s">
        <v>92</v>
      </c>
      <c r="Y623">
        <v>2823</v>
      </c>
      <c r="Z623">
        <v>1</v>
      </c>
      <c r="AA623" t="s">
        <v>42</v>
      </c>
      <c r="AB623" t="s">
        <v>35</v>
      </c>
      <c r="AC623">
        <v>14</v>
      </c>
      <c r="AD623">
        <v>3</v>
      </c>
      <c r="AE623">
        <v>4</v>
      </c>
      <c r="AF623">
        <v>80</v>
      </c>
      <c r="AG623">
        <v>1</v>
      </c>
      <c r="AH6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623">
        <v>18</v>
      </c>
      <c r="AJ623" t="s">
        <v>76</v>
      </c>
      <c r="AK623">
        <v>1</v>
      </c>
      <c r="AL623" t="s">
        <v>76</v>
      </c>
      <c r="AM623">
        <v>2</v>
      </c>
      <c r="AN623" t="s">
        <v>76</v>
      </c>
      <c r="AO623">
        <v>18</v>
      </c>
      <c r="AP623" t="s">
        <v>76</v>
      </c>
      <c r="AQ623">
        <v>14</v>
      </c>
      <c r="AR623">
        <v>4</v>
      </c>
      <c r="AS623">
        <v>11</v>
      </c>
    </row>
    <row r="624" spans="1:4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 t="str">
        <f>IF(Employee_data[[#This Row],[MonthlyIncome]]&lt;5000,"Low Income",
IF(Employee_data[[#This Row],[MonthlyIncome]]&lt;10000,"Medium Income","High Income"))</f>
        <v>Low Income</v>
      </c>
      <c r="U624" t="s">
        <v>91</v>
      </c>
      <c r="V624" t="s">
        <v>91</v>
      </c>
      <c r="W624" t="s">
        <v>91</v>
      </c>
      <c r="X624" t="s">
        <v>91</v>
      </c>
      <c r="Y624">
        <v>9250</v>
      </c>
      <c r="Z624">
        <v>2</v>
      </c>
      <c r="AA624" t="s">
        <v>42</v>
      </c>
      <c r="AB624" t="s">
        <v>43</v>
      </c>
      <c r="AC624">
        <v>11</v>
      </c>
      <c r="AD624">
        <v>3</v>
      </c>
      <c r="AE624">
        <v>3</v>
      </c>
      <c r="AF624">
        <v>80</v>
      </c>
      <c r="AG624">
        <v>1</v>
      </c>
      <c r="AH6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24">
        <v>8</v>
      </c>
      <c r="AJ624" t="s">
        <v>78</v>
      </c>
      <c r="AK624">
        <v>3</v>
      </c>
      <c r="AL624" t="s">
        <v>78</v>
      </c>
      <c r="AM624">
        <v>2</v>
      </c>
      <c r="AN624" t="s">
        <v>78</v>
      </c>
      <c r="AO624">
        <v>5</v>
      </c>
      <c r="AP624" t="s">
        <v>78</v>
      </c>
      <c r="AQ624">
        <v>2</v>
      </c>
      <c r="AR624">
        <v>0</v>
      </c>
      <c r="AS624">
        <v>3</v>
      </c>
    </row>
    <row r="625" spans="1:4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 t="str">
        <f>IF(Employee_data[[#This Row],[MonthlyIncome]]&lt;5000,"Low Income",
IF(Employee_data[[#This Row],[MonthlyIncome]]&lt;10000,"Medium Income","High Income"))</f>
        <v>Low Income</v>
      </c>
      <c r="U625" t="s">
        <v>91</v>
      </c>
      <c r="V625" t="s">
        <v>91</v>
      </c>
      <c r="W625" t="s">
        <v>91</v>
      </c>
      <c r="X625" t="s">
        <v>91</v>
      </c>
      <c r="Y625">
        <v>2373</v>
      </c>
      <c r="Z625">
        <v>9</v>
      </c>
      <c r="AA625" t="s">
        <v>42</v>
      </c>
      <c r="AB625" t="s">
        <v>43</v>
      </c>
      <c r="AC625">
        <v>12</v>
      </c>
      <c r="AD625">
        <v>3</v>
      </c>
      <c r="AE625">
        <v>2</v>
      </c>
      <c r="AF625">
        <v>80</v>
      </c>
      <c r="AG625">
        <v>1</v>
      </c>
      <c r="AH6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25">
        <v>10</v>
      </c>
      <c r="AJ625" t="s">
        <v>78</v>
      </c>
      <c r="AK625">
        <v>3</v>
      </c>
      <c r="AL625" t="s">
        <v>78</v>
      </c>
      <c r="AM625">
        <v>2</v>
      </c>
      <c r="AN625" t="s">
        <v>78</v>
      </c>
      <c r="AO625">
        <v>5</v>
      </c>
      <c r="AP625" t="s">
        <v>78</v>
      </c>
      <c r="AQ625">
        <v>4</v>
      </c>
      <c r="AR625">
        <v>0</v>
      </c>
      <c r="AS625">
        <v>3</v>
      </c>
    </row>
    <row r="626" spans="1:4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 t="str">
        <f>IF(Employee_data[[#This Row],[MonthlyIncome]]&lt;5000,"Low Income",
IF(Employee_data[[#This Row],[MonthlyIncome]]&lt;10000,"Medium Income","High Income"))</f>
        <v>High Income</v>
      </c>
      <c r="U626" t="s">
        <v>90</v>
      </c>
      <c r="V626" t="s">
        <v>90</v>
      </c>
      <c r="W626" t="s">
        <v>90</v>
      </c>
      <c r="X626" t="s">
        <v>90</v>
      </c>
      <c r="Y626">
        <v>20715</v>
      </c>
      <c r="Z626">
        <v>7</v>
      </c>
      <c r="AA626" t="s">
        <v>42</v>
      </c>
      <c r="AB626" t="s">
        <v>35</v>
      </c>
      <c r="AC626">
        <v>18</v>
      </c>
      <c r="AD626">
        <v>3</v>
      </c>
      <c r="AE626">
        <v>4</v>
      </c>
      <c r="AF626">
        <v>80</v>
      </c>
      <c r="AG626">
        <v>1</v>
      </c>
      <c r="AH6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26">
        <v>35</v>
      </c>
      <c r="AJ626" t="s">
        <v>78</v>
      </c>
      <c r="AK626">
        <v>3</v>
      </c>
      <c r="AL626" t="s">
        <v>78</v>
      </c>
      <c r="AM626">
        <v>3</v>
      </c>
      <c r="AN626" t="s">
        <v>78</v>
      </c>
      <c r="AO626">
        <v>5</v>
      </c>
      <c r="AP626" t="s">
        <v>78</v>
      </c>
      <c r="AQ626">
        <v>2</v>
      </c>
      <c r="AR626">
        <v>0</v>
      </c>
      <c r="AS626">
        <v>4</v>
      </c>
    </row>
    <row r="627" spans="1:4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 t="str">
        <f>IF(Employee_data[[#This Row],[MonthlyIncome]]&lt;5000,"Low Income",
IF(Employee_data[[#This Row],[MonthlyIncome]]&lt;10000,"Medium Income","High Income"))</f>
        <v>High Income</v>
      </c>
      <c r="U627" t="s">
        <v>90</v>
      </c>
      <c r="V627" t="s">
        <v>90</v>
      </c>
      <c r="W627" t="s">
        <v>90</v>
      </c>
      <c r="X627" t="s">
        <v>90</v>
      </c>
      <c r="Y627">
        <v>19239</v>
      </c>
      <c r="Z627">
        <v>4</v>
      </c>
      <c r="AA627" t="s">
        <v>42</v>
      </c>
      <c r="AB627" t="s">
        <v>35</v>
      </c>
      <c r="AC627">
        <v>12</v>
      </c>
      <c r="AD627">
        <v>3</v>
      </c>
      <c r="AE627">
        <v>3</v>
      </c>
      <c r="AF627">
        <v>80</v>
      </c>
      <c r="AG627">
        <v>1</v>
      </c>
      <c r="AH6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27">
        <v>18</v>
      </c>
      <c r="AJ627" t="s">
        <v>78</v>
      </c>
      <c r="AK627">
        <v>2</v>
      </c>
      <c r="AL627" t="s">
        <v>78</v>
      </c>
      <c r="AM627">
        <v>3</v>
      </c>
      <c r="AN627" t="s">
        <v>78</v>
      </c>
      <c r="AO627">
        <v>5</v>
      </c>
      <c r="AP627" t="s">
        <v>78</v>
      </c>
      <c r="AQ627">
        <v>4</v>
      </c>
      <c r="AR627">
        <v>0</v>
      </c>
      <c r="AS627">
        <v>2</v>
      </c>
    </row>
    <row r="628" spans="1:4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 t="str">
        <f>IF(Employee_data[[#This Row],[MonthlyIncome]]&lt;5000,"Low Income",
IF(Employee_data[[#This Row],[MonthlyIncome]]&lt;10000,"Medium Income","High Income"))</f>
        <v>Medium Income</v>
      </c>
      <c r="U628" t="s">
        <v>92</v>
      </c>
      <c r="V628" t="s">
        <v>92</v>
      </c>
      <c r="W628" t="s">
        <v>92</v>
      </c>
      <c r="X628" t="s">
        <v>92</v>
      </c>
      <c r="Y628">
        <v>22162</v>
      </c>
      <c r="Z628">
        <v>5</v>
      </c>
      <c r="AA628" t="s">
        <v>42</v>
      </c>
      <c r="AB628" t="s">
        <v>43</v>
      </c>
      <c r="AC628">
        <v>12</v>
      </c>
      <c r="AD628">
        <v>3</v>
      </c>
      <c r="AE628">
        <v>3</v>
      </c>
      <c r="AF628">
        <v>80</v>
      </c>
      <c r="AG628">
        <v>1</v>
      </c>
      <c r="AH6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28">
        <v>9</v>
      </c>
      <c r="AJ628" t="s">
        <v>78</v>
      </c>
      <c r="AK628">
        <v>3</v>
      </c>
      <c r="AL628" t="s">
        <v>78</v>
      </c>
      <c r="AM628">
        <v>2</v>
      </c>
      <c r="AN628" t="s">
        <v>78</v>
      </c>
      <c r="AO628">
        <v>5</v>
      </c>
      <c r="AP628" t="s">
        <v>78</v>
      </c>
      <c r="AQ628">
        <v>3</v>
      </c>
      <c r="AR628">
        <v>1</v>
      </c>
      <c r="AS628">
        <v>3</v>
      </c>
    </row>
    <row r="629" spans="1:4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 t="str">
        <f>IF(Employee_data[[#This Row],[MonthlyIncome]]&lt;5000,"Low Income",
IF(Employee_data[[#This Row],[MonthlyIncome]]&lt;10000,"Medium Income","High Income"))</f>
        <v>High Income</v>
      </c>
      <c r="U629" t="s">
        <v>90</v>
      </c>
      <c r="V629" t="s">
        <v>90</v>
      </c>
      <c r="W629" t="s">
        <v>90</v>
      </c>
      <c r="X629" t="s">
        <v>90</v>
      </c>
      <c r="Y629">
        <v>19028</v>
      </c>
      <c r="Z629">
        <v>3</v>
      </c>
      <c r="AA629" t="s">
        <v>42</v>
      </c>
      <c r="AB629" t="s">
        <v>43</v>
      </c>
      <c r="AC629">
        <v>22</v>
      </c>
      <c r="AD629">
        <v>4</v>
      </c>
      <c r="AE629">
        <v>3</v>
      </c>
      <c r="AF629">
        <v>80</v>
      </c>
      <c r="AG629">
        <v>0</v>
      </c>
      <c r="AH6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29">
        <v>31</v>
      </c>
      <c r="AJ629" t="s">
        <v>78</v>
      </c>
      <c r="AK629">
        <v>3</v>
      </c>
      <c r="AL629" t="s">
        <v>78</v>
      </c>
      <c r="AM629">
        <v>3</v>
      </c>
      <c r="AN629" t="s">
        <v>78</v>
      </c>
      <c r="AO629">
        <v>9</v>
      </c>
      <c r="AP629" t="s">
        <v>78</v>
      </c>
      <c r="AQ629">
        <v>8</v>
      </c>
      <c r="AR629">
        <v>0</v>
      </c>
      <c r="AS629">
        <v>0</v>
      </c>
    </row>
    <row r="630" spans="1:4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 t="str">
        <f>IF(Employee_data[[#This Row],[MonthlyIncome]]&lt;5000,"Low Income",
IF(Employee_data[[#This Row],[MonthlyIncome]]&lt;10000,"Medium Income","High Income"))</f>
        <v>Medium Income</v>
      </c>
      <c r="U630" t="s">
        <v>92</v>
      </c>
      <c r="V630" t="s">
        <v>92</v>
      </c>
      <c r="W630" t="s">
        <v>92</v>
      </c>
      <c r="X630" t="s">
        <v>92</v>
      </c>
      <c r="Y630">
        <v>24558</v>
      </c>
      <c r="Z630">
        <v>4</v>
      </c>
      <c r="AA630" t="s">
        <v>42</v>
      </c>
      <c r="AB630" t="s">
        <v>43</v>
      </c>
      <c r="AC630">
        <v>19</v>
      </c>
      <c r="AD630">
        <v>3</v>
      </c>
      <c r="AE630">
        <v>4</v>
      </c>
      <c r="AF630">
        <v>80</v>
      </c>
      <c r="AG630">
        <v>2</v>
      </c>
      <c r="AH6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30">
        <v>9</v>
      </c>
      <c r="AJ630" t="s">
        <v>74</v>
      </c>
      <c r="AK630">
        <v>2</v>
      </c>
      <c r="AL630" t="s">
        <v>74</v>
      </c>
      <c r="AM630">
        <v>3</v>
      </c>
      <c r="AN630" t="s">
        <v>74</v>
      </c>
      <c r="AO630">
        <v>1</v>
      </c>
      <c r="AP630" t="s">
        <v>74</v>
      </c>
      <c r="AQ630">
        <v>0</v>
      </c>
      <c r="AR630">
        <v>0</v>
      </c>
      <c r="AS630">
        <v>0</v>
      </c>
    </row>
    <row r="631" spans="1:4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 t="str">
        <f>IF(Employee_data[[#This Row],[MonthlyIncome]]&lt;5000,"Low Income",
IF(Employee_data[[#This Row],[MonthlyIncome]]&lt;10000,"Medium Income","High Income"))</f>
        <v>Low Income</v>
      </c>
      <c r="U631" t="s">
        <v>91</v>
      </c>
      <c r="V631" t="s">
        <v>91</v>
      </c>
      <c r="W631" t="s">
        <v>91</v>
      </c>
      <c r="X631" t="s">
        <v>91</v>
      </c>
      <c r="Y631">
        <v>23965</v>
      </c>
      <c r="Z631">
        <v>1</v>
      </c>
      <c r="AA631" t="s">
        <v>42</v>
      </c>
      <c r="AB631" t="s">
        <v>43</v>
      </c>
      <c r="AC631">
        <v>13</v>
      </c>
      <c r="AD631">
        <v>3</v>
      </c>
      <c r="AE631">
        <v>4</v>
      </c>
      <c r="AF631">
        <v>80</v>
      </c>
      <c r="AG631">
        <v>1</v>
      </c>
      <c r="AH6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31">
        <v>6</v>
      </c>
      <c r="AJ631" t="s">
        <v>78</v>
      </c>
      <c r="AK631">
        <v>6</v>
      </c>
      <c r="AL631" t="s">
        <v>78</v>
      </c>
      <c r="AM631">
        <v>3</v>
      </c>
      <c r="AN631" t="s">
        <v>78</v>
      </c>
      <c r="AO631">
        <v>5</v>
      </c>
      <c r="AP631" t="s">
        <v>78</v>
      </c>
      <c r="AQ631">
        <v>1</v>
      </c>
      <c r="AR631">
        <v>0</v>
      </c>
      <c r="AS631">
        <v>4</v>
      </c>
    </row>
    <row r="632" spans="1:4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 t="str">
        <f>IF(Employee_data[[#This Row],[MonthlyIncome]]&lt;5000,"Low Income",
IF(Employee_data[[#This Row],[MonthlyIncome]]&lt;10000,"Medium Income","High Income"))</f>
        <v>Low Income</v>
      </c>
      <c r="U632" t="s">
        <v>91</v>
      </c>
      <c r="V632" t="s">
        <v>91</v>
      </c>
      <c r="W632" t="s">
        <v>91</v>
      </c>
      <c r="X632" t="s">
        <v>91</v>
      </c>
      <c r="Y632">
        <v>19146</v>
      </c>
      <c r="Z632">
        <v>6</v>
      </c>
      <c r="AA632" t="s">
        <v>42</v>
      </c>
      <c r="AB632" t="s">
        <v>43</v>
      </c>
      <c r="AC632">
        <v>22</v>
      </c>
      <c r="AD632">
        <v>4</v>
      </c>
      <c r="AE632">
        <v>1</v>
      </c>
      <c r="AF632">
        <v>80</v>
      </c>
      <c r="AG632">
        <v>2</v>
      </c>
      <c r="AH6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32">
        <v>4</v>
      </c>
      <c r="AJ632" t="s">
        <v>74</v>
      </c>
      <c r="AK632">
        <v>2</v>
      </c>
      <c r="AL632" t="s">
        <v>74</v>
      </c>
      <c r="AM632">
        <v>1</v>
      </c>
      <c r="AN632" t="s">
        <v>74</v>
      </c>
      <c r="AO632">
        <v>2</v>
      </c>
      <c r="AP632" t="s">
        <v>74</v>
      </c>
      <c r="AQ632">
        <v>2</v>
      </c>
      <c r="AR632">
        <v>2</v>
      </c>
      <c r="AS632">
        <v>2</v>
      </c>
    </row>
    <row r="633" spans="1:4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 t="str">
        <f>IF(Employee_data[[#This Row],[MonthlyIncome]]&lt;5000,"Low Income",
IF(Employee_data[[#This Row],[MonthlyIncome]]&lt;10000,"Medium Income","High Income"))</f>
        <v>Low Income</v>
      </c>
      <c r="U633" t="s">
        <v>91</v>
      </c>
      <c r="V633" t="s">
        <v>91</v>
      </c>
      <c r="W633" t="s">
        <v>91</v>
      </c>
      <c r="X633" t="s">
        <v>91</v>
      </c>
      <c r="Y633">
        <v>5044</v>
      </c>
      <c r="Z633">
        <v>2</v>
      </c>
      <c r="AA633" t="s">
        <v>42</v>
      </c>
      <c r="AB633" t="s">
        <v>35</v>
      </c>
      <c r="AC633">
        <v>24</v>
      </c>
      <c r="AD633">
        <v>4</v>
      </c>
      <c r="AE633">
        <v>3</v>
      </c>
      <c r="AF633">
        <v>80</v>
      </c>
      <c r="AG633">
        <v>1</v>
      </c>
      <c r="AH6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33">
        <v>10</v>
      </c>
      <c r="AJ633" t="s">
        <v>74</v>
      </c>
      <c r="AK633">
        <v>2</v>
      </c>
      <c r="AL633" t="s">
        <v>74</v>
      </c>
      <c r="AM633">
        <v>2</v>
      </c>
      <c r="AN633" t="s">
        <v>74</v>
      </c>
      <c r="AO633">
        <v>3</v>
      </c>
      <c r="AP633" t="s">
        <v>74</v>
      </c>
      <c r="AQ633">
        <v>2</v>
      </c>
      <c r="AR633">
        <v>0</v>
      </c>
      <c r="AS633">
        <v>2</v>
      </c>
    </row>
    <row r="634" spans="1:4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 t="str">
        <f>IF(Employee_data[[#This Row],[MonthlyIncome]]&lt;5000,"Low Income",
IF(Employee_data[[#This Row],[MonthlyIncome]]&lt;10000,"Medium Income","High Income"))</f>
        <v>Low Income</v>
      </c>
      <c r="U634" t="s">
        <v>91</v>
      </c>
      <c r="V634" t="s">
        <v>91</v>
      </c>
      <c r="W634" t="s">
        <v>91</v>
      </c>
      <c r="X634" t="s">
        <v>91</v>
      </c>
      <c r="Y634">
        <v>9068</v>
      </c>
      <c r="Z634">
        <v>5</v>
      </c>
      <c r="AA634" t="s">
        <v>42</v>
      </c>
      <c r="AB634" t="s">
        <v>35</v>
      </c>
      <c r="AC634">
        <v>14</v>
      </c>
      <c r="AD634">
        <v>3</v>
      </c>
      <c r="AE634">
        <v>4</v>
      </c>
      <c r="AF634">
        <v>80</v>
      </c>
      <c r="AG634">
        <v>0</v>
      </c>
      <c r="AH6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34">
        <v>8</v>
      </c>
      <c r="AJ634" t="s">
        <v>74</v>
      </c>
      <c r="AK634">
        <v>2</v>
      </c>
      <c r="AL634" t="s">
        <v>74</v>
      </c>
      <c r="AM634">
        <v>3</v>
      </c>
      <c r="AN634" t="s">
        <v>74</v>
      </c>
      <c r="AO634">
        <v>2</v>
      </c>
      <c r="AP634" t="s">
        <v>74</v>
      </c>
      <c r="AQ634">
        <v>1</v>
      </c>
      <c r="AR634">
        <v>2</v>
      </c>
      <c r="AS634">
        <v>2</v>
      </c>
    </row>
    <row r="635" spans="1:4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 t="str">
        <f>IF(Employee_data[[#This Row],[MonthlyIncome]]&lt;5000,"Low Income",
IF(Employee_data[[#This Row],[MonthlyIncome]]&lt;10000,"Medium Income","High Income"))</f>
        <v>Low Income</v>
      </c>
      <c r="U635" t="s">
        <v>91</v>
      </c>
      <c r="V635" t="s">
        <v>91</v>
      </c>
      <c r="W635" t="s">
        <v>91</v>
      </c>
      <c r="X635" t="s">
        <v>91</v>
      </c>
      <c r="Y635">
        <v>8635</v>
      </c>
      <c r="Z635">
        <v>0</v>
      </c>
      <c r="AA635" t="s">
        <v>42</v>
      </c>
      <c r="AB635" t="s">
        <v>43</v>
      </c>
      <c r="AC635">
        <v>21</v>
      </c>
      <c r="AD635">
        <v>4</v>
      </c>
      <c r="AE635">
        <v>3</v>
      </c>
      <c r="AF635">
        <v>80</v>
      </c>
      <c r="AG635">
        <v>0</v>
      </c>
      <c r="AH6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35">
        <v>6</v>
      </c>
      <c r="AJ635" t="s">
        <v>78</v>
      </c>
      <c r="AK635">
        <v>3</v>
      </c>
      <c r="AL635" t="s">
        <v>78</v>
      </c>
      <c r="AM635">
        <v>3</v>
      </c>
      <c r="AN635" t="s">
        <v>78</v>
      </c>
      <c r="AO635">
        <v>5</v>
      </c>
      <c r="AP635" t="s">
        <v>78</v>
      </c>
      <c r="AQ635">
        <v>4</v>
      </c>
      <c r="AR635">
        <v>0</v>
      </c>
      <c r="AS635">
        <v>3</v>
      </c>
    </row>
    <row r="636" spans="1:4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 t="str">
        <f>IF(Employee_data[[#This Row],[MonthlyIncome]]&lt;5000,"Low Income",
IF(Employee_data[[#This Row],[MonthlyIncome]]&lt;10000,"Medium Income","High Income"))</f>
        <v>Low Income</v>
      </c>
      <c r="U636" t="s">
        <v>91</v>
      </c>
      <c r="V636" t="s">
        <v>91</v>
      </c>
      <c r="W636" t="s">
        <v>91</v>
      </c>
      <c r="X636" t="s">
        <v>91</v>
      </c>
      <c r="Y636">
        <v>14363</v>
      </c>
      <c r="Z636">
        <v>1</v>
      </c>
      <c r="AA636" t="s">
        <v>42</v>
      </c>
      <c r="AB636" t="s">
        <v>35</v>
      </c>
      <c r="AC636">
        <v>18</v>
      </c>
      <c r="AD636">
        <v>3</v>
      </c>
      <c r="AE636">
        <v>4</v>
      </c>
      <c r="AF636">
        <v>80</v>
      </c>
      <c r="AG636">
        <v>0</v>
      </c>
      <c r="AH6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36">
        <v>5</v>
      </c>
      <c r="AJ636" t="s">
        <v>78</v>
      </c>
      <c r="AK636">
        <v>3</v>
      </c>
      <c r="AL636" t="s">
        <v>78</v>
      </c>
      <c r="AM636">
        <v>3</v>
      </c>
      <c r="AN636" t="s">
        <v>78</v>
      </c>
      <c r="AO636">
        <v>5</v>
      </c>
      <c r="AP636" t="s">
        <v>78</v>
      </c>
      <c r="AQ636">
        <v>3</v>
      </c>
      <c r="AR636">
        <v>0</v>
      </c>
      <c r="AS636">
        <v>3</v>
      </c>
    </row>
    <row r="637" spans="1:4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 t="str">
        <f>IF(Employee_data[[#This Row],[MonthlyIncome]]&lt;5000,"Low Income",
IF(Employee_data[[#This Row],[MonthlyIncome]]&lt;10000,"Medium Income","High Income"))</f>
        <v>High Income</v>
      </c>
      <c r="U637" t="s">
        <v>90</v>
      </c>
      <c r="V637" t="s">
        <v>90</v>
      </c>
      <c r="W637" t="s">
        <v>90</v>
      </c>
      <c r="X637" t="s">
        <v>90</v>
      </c>
      <c r="Y637">
        <v>23457</v>
      </c>
      <c r="Z637">
        <v>1</v>
      </c>
      <c r="AA637" t="s">
        <v>42</v>
      </c>
      <c r="AB637" t="s">
        <v>35</v>
      </c>
      <c r="AC637">
        <v>20</v>
      </c>
      <c r="AD637">
        <v>4</v>
      </c>
      <c r="AE637">
        <v>2</v>
      </c>
      <c r="AF637">
        <v>80</v>
      </c>
      <c r="AG637">
        <v>1</v>
      </c>
      <c r="AH6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637">
        <v>17</v>
      </c>
      <c r="AJ637" t="s">
        <v>76</v>
      </c>
      <c r="AK637">
        <v>2</v>
      </c>
      <c r="AL637" t="s">
        <v>76</v>
      </c>
      <c r="AM637">
        <v>3</v>
      </c>
      <c r="AN637" t="s">
        <v>76</v>
      </c>
      <c r="AO637">
        <v>17</v>
      </c>
      <c r="AP637" t="s">
        <v>76</v>
      </c>
      <c r="AQ637">
        <v>14</v>
      </c>
      <c r="AR637">
        <v>5</v>
      </c>
      <c r="AS637">
        <v>15</v>
      </c>
    </row>
    <row r="638" spans="1:4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 t="str">
        <f>IF(Employee_data[[#This Row],[MonthlyIncome]]&lt;5000,"Low Income",
IF(Employee_data[[#This Row],[MonthlyIncome]]&lt;10000,"Medium Income","High Income"))</f>
        <v>Low Income</v>
      </c>
      <c r="U638" t="s">
        <v>91</v>
      </c>
      <c r="V638" t="s">
        <v>91</v>
      </c>
      <c r="W638" t="s">
        <v>91</v>
      </c>
      <c r="X638" t="s">
        <v>91</v>
      </c>
      <c r="Y638">
        <v>16612</v>
      </c>
      <c r="Z638">
        <v>1</v>
      </c>
      <c r="AA638" t="s">
        <v>42</v>
      </c>
      <c r="AB638" t="s">
        <v>35</v>
      </c>
      <c r="AC638">
        <v>19</v>
      </c>
      <c r="AD638">
        <v>3</v>
      </c>
      <c r="AE638">
        <v>1</v>
      </c>
      <c r="AF638">
        <v>80</v>
      </c>
      <c r="AG638">
        <v>1</v>
      </c>
      <c r="AH6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38">
        <v>10</v>
      </c>
      <c r="AJ638" t="s">
        <v>75</v>
      </c>
      <c r="AK638">
        <v>3</v>
      </c>
      <c r="AL638" t="s">
        <v>75</v>
      </c>
      <c r="AM638">
        <v>2</v>
      </c>
      <c r="AN638" t="s">
        <v>75</v>
      </c>
      <c r="AO638">
        <v>10</v>
      </c>
      <c r="AP638" t="s">
        <v>75</v>
      </c>
      <c r="AQ638">
        <v>2</v>
      </c>
      <c r="AR638">
        <v>7</v>
      </c>
      <c r="AS638">
        <v>8</v>
      </c>
    </row>
    <row r="639" spans="1:4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 t="str">
        <f>IF(Employee_data[[#This Row],[MonthlyIncome]]&lt;5000,"Low Income",
IF(Employee_data[[#This Row],[MonthlyIncome]]&lt;10000,"Medium Income","High Income"))</f>
        <v>Low Income</v>
      </c>
      <c r="U639" t="s">
        <v>91</v>
      </c>
      <c r="V639" t="s">
        <v>91</v>
      </c>
      <c r="W639" t="s">
        <v>91</v>
      </c>
      <c r="X639" t="s">
        <v>91</v>
      </c>
      <c r="Y639">
        <v>9148</v>
      </c>
      <c r="Z639">
        <v>0</v>
      </c>
      <c r="AA639" t="s">
        <v>42</v>
      </c>
      <c r="AB639" t="s">
        <v>43</v>
      </c>
      <c r="AC639">
        <v>12</v>
      </c>
      <c r="AD639">
        <v>3</v>
      </c>
      <c r="AE639">
        <v>2</v>
      </c>
      <c r="AF639">
        <v>80</v>
      </c>
      <c r="AG639">
        <v>1</v>
      </c>
      <c r="AH6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39">
        <v>4</v>
      </c>
      <c r="AJ639" t="s">
        <v>74</v>
      </c>
      <c r="AK639">
        <v>2</v>
      </c>
      <c r="AL639" t="s">
        <v>74</v>
      </c>
      <c r="AM639">
        <v>3</v>
      </c>
      <c r="AN639" t="s">
        <v>74</v>
      </c>
      <c r="AO639">
        <v>3</v>
      </c>
      <c r="AP639" t="s">
        <v>74</v>
      </c>
      <c r="AQ639">
        <v>0</v>
      </c>
      <c r="AR639">
        <v>0</v>
      </c>
      <c r="AS639">
        <v>2</v>
      </c>
    </row>
    <row r="640" spans="1:4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 t="str">
        <f>IF(Employee_data[[#This Row],[MonthlyIncome]]&lt;5000,"Low Income",
IF(Employee_data[[#This Row],[MonthlyIncome]]&lt;10000,"Medium Income","High Income"))</f>
        <v>Low Income</v>
      </c>
      <c r="U640" t="s">
        <v>91</v>
      </c>
      <c r="V640" t="s">
        <v>91</v>
      </c>
      <c r="W640" t="s">
        <v>91</v>
      </c>
      <c r="X640" t="s">
        <v>91</v>
      </c>
      <c r="Y640">
        <v>18154</v>
      </c>
      <c r="Z640">
        <v>1</v>
      </c>
      <c r="AA640" t="s">
        <v>42</v>
      </c>
      <c r="AB640" t="s">
        <v>43</v>
      </c>
      <c r="AC640">
        <v>12</v>
      </c>
      <c r="AD640">
        <v>3</v>
      </c>
      <c r="AE640">
        <v>1</v>
      </c>
      <c r="AF640">
        <v>80</v>
      </c>
      <c r="AG640">
        <v>0</v>
      </c>
      <c r="AH6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40">
        <v>5</v>
      </c>
      <c r="AJ640" t="s">
        <v>78</v>
      </c>
      <c r="AK640">
        <v>1</v>
      </c>
      <c r="AL640" t="s">
        <v>78</v>
      </c>
      <c r="AM640">
        <v>4</v>
      </c>
      <c r="AN640" t="s">
        <v>78</v>
      </c>
      <c r="AO640">
        <v>5</v>
      </c>
      <c r="AP640" t="s">
        <v>78</v>
      </c>
      <c r="AQ640">
        <v>2</v>
      </c>
      <c r="AR640">
        <v>0</v>
      </c>
      <c r="AS640">
        <v>3</v>
      </c>
    </row>
    <row r="641" spans="1:4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 t="str">
        <f>IF(Employee_data[[#This Row],[MonthlyIncome]]&lt;5000,"Low Income",
IF(Employee_data[[#This Row],[MonthlyIncome]]&lt;10000,"Medium Income","High Income"))</f>
        <v>Low Income</v>
      </c>
      <c r="U641" t="s">
        <v>91</v>
      </c>
      <c r="V641" t="s">
        <v>91</v>
      </c>
      <c r="W641" t="s">
        <v>91</v>
      </c>
      <c r="X641" t="s">
        <v>91</v>
      </c>
      <c r="Y641">
        <v>10554</v>
      </c>
      <c r="Z641">
        <v>2</v>
      </c>
      <c r="AA641" t="s">
        <v>42</v>
      </c>
      <c r="AB641" t="s">
        <v>43</v>
      </c>
      <c r="AC641">
        <v>16</v>
      </c>
      <c r="AD641">
        <v>3</v>
      </c>
      <c r="AE641">
        <v>2</v>
      </c>
      <c r="AF641">
        <v>80</v>
      </c>
      <c r="AG641">
        <v>1</v>
      </c>
      <c r="AH6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41">
        <v>7</v>
      </c>
      <c r="AJ641" t="s">
        <v>74</v>
      </c>
      <c r="AK641">
        <v>2</v>
      </c>
      <c r="AL641" t="s">
        <v>74</v>
      </c>
      <c r="AM641">
        <v>3</v>
      </c>
      <c r="AN641" t="s">
        <v>74</v>
      </c>
      <c r="AO641">
        <v>4</v>
      </c>
      <c r="AP641" t="s">
        <v>74</v>
      </c>
      <c r="AQ641">
        <v>2</v>
      </c>
      <c r="AR641">
        <v>0</v>
      </c>
      <c r="AS641">
        <v>2</v>
      </c>
    </row>
    <row r="642" spans="1:4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 t="str">
        <f>IF(Employee_data[[#This Row],[MonthlyIncome]]&lt;5000,"Low Income",
IF(Employee_data[[#This Row],[MonthlyIncome]]&lt;10000,"Medium Income","High Income"))</f>
        <v>Low Income</v>
      </c>
      <c r="U642" t="s">
        <v>91</v>
      </c>
      <c r="V642" t="s">
        <v>91</v>
      </c>
      <c r="W642" t="s">
        <v>91</v>
      </c>
      <c r="X642" t="s">
        <v>91</v>
      </c>
      <c r="Y642">
        <v>10778</v>
      </c>
      <c r="Z642">
        <v>0</v>
      </c>
      <c r="AA642" t="s">
        <v>42</v>
      </c>
      <c r="AB642" t="s">
        <v>43</v>
      </c>
      <c r="AC642">
        <v>17</v>
      </c>
      <c r="AD642">
        <v>3</v>
      </c>
      <c r="AE642">
        <v>4</v>
      </c>
      <c r="AF642">
        <v>80</v>
      </c>
      <c r="AG642">
        <v>0</v>
      </c>
      <c r="AH6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42">
        <v>6</v>
      </c>
      <c r="AJ642" t="s">
        <v>78</v>
      </c>
      <c r="AK642">
        <v>2</v>
      </c>
      <c r="AL642" t="s">
        <v>78</v>
      </c>
      <c r="AM642">
        <v>2</v>
      </c>
      <c r="AN642" t="s">
        <v>78</v>
      </c>
      <c r="AO642">
        <v>5</v>
      </c>
      <c r="AP642" t="s">
        <v>78</v>
      </c>
      <c r="AQ642">
        <v>2</v>
      </c>
      <c r="AR642">
        <v>3</v>
      </c>
      <c r="AS642">
        <v>4</v>
      </c>
    </row>
    <row r="643" spans="1:4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 t="str">
        <f>IF(Employee_data[[#This Row],[MonthlyIncome]]&lt;5000,"Low Income",
IF(Employee_data[[#This Row],[MonthlyIncome]]&lt;10000,"Medium Income","High Income"))</f>
        <v>Medium Income</v>
      </c>
      <c r="U643" t="s">
        <v>92</v>
      </c>
      <c r="V643" t="s">
        <v>92</v>
      </c>
      <c r="W643" t="s">
        <v>92</v>
      </c>
      <c r="X643" t="s">
        <v>92</v>
      </c>
      <c r="Y643">
        <v>8891</v>
      </c>
      <c r="Z643">
        <v>1</v>
      </c>
      <c r="AA643" t="s">
        <v>42</v>
      </c>
      <c r="AB643" t="s">
        <v>43</v>
      </c>
      <c r="AC643">
        <v>14</v>
      </c>
      <c r="AD643">
        <v>3</v>
      </c>
      <c r="AE643">
        <v>4</v>
      </c>
      <c r="AF643">
        <v>80</v>
      </c>
      <c r="AG643">
        <v>1</v>
      </c>
      <c r="AH6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43">
        <v>10</v>
      </c>
      <c r="AJ643" t="s">
        <v>75</v>
      </c>
      <c r="AK643">
        <v>3</v>
      </c>
      <c r="AL643" t="s">
        <v>75</v>
      </c>
      <c r="AM643">
        <v>3</v>
      </c>
      <c r="AN643" t="s">
        <v>75</v>
      </c>
      <c r="AO643">
        <v>10</v>
      </c>
      <c r="AP643" t="s">
        <v>75</v>
      </c>
      <c r="AQ643">
        <v>8</v>
      </c>
      <c r="AR643">
        <v>5</v>
      </c>
      <c r="AS643">
        <v>3</v>
      </c>
    </row>
    <row r="644" spans="1:4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 t="str">
        <f>IF(Employee_data[[#This Row],[MonthlyIncome]]&lt;5000,"Low Income",
IF(Employee_data[[#This Row],[MonthlyIncome]]&lt;10000,"Medium Income","High Income"))</f>
        <v>Low Income</v>
      </c>
      <c r="U644" t="s">
        <v>91</v>
      </c>
      <c r="V644" t="s">
        <v>91</v>
      </c>
      <c r="W644" t="s">
        <v>91</v>
      </c>
      <c r="X644" t="s">
        <v>91</v>
      </c>
      <c r="Y644">
        <v>12102</v>
      </c>
      <c r="Z644">
        <v>0</v>
      </c>
      <c r="AA644" t="s">
        <v>42</v>
      </c>
      <c r="AB644" t="s">
        <v>43</v>
      </c>
      <c r="AC644">
        <v>19</v>
      </c>
      <c r="AD644">
        <v>3</v>
      </c>
      <c r="AE644">
        <v>4</v>
      </c>
      <c r="AF644">
        <v>80</v>
      </c>
      <c r="AG644">
        <v>1</v>
      </c>
      <c r="AH6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44">
        <v>3</v>
      </c>
      <c r="AJ644" t="s">
        <v>74</v>
      </c>
      <c r="AK644">
        <v>3</v>
      </c>
      <c r="AL644" t="s">
        <v>74</v>
      </c>
      <c r="AM644">
        <v>3</v>
      </c>
      <c r="AN644" t="s">
        <v>74</v>
      </c>
      <c r="AO644">
        <v>2</v>
      </c>
      <c r="AP644" t="s">
        <v>74</v>
      </c>
      <c r="AQ644">
        <v>2</v>
      </c>
      <c r="AR644">
        <v>1</v>
      </c>
      <c r="AS644">
        <v>2</v>
      </c>
    </row>
    <row r="645" spans="1:4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 t="str">
        <f>IF(Employee_data[[#This Row],[MonthlyIncome]]&lt;5000,"Low Income",
IF(Employee_data[[#This Row],[MonthlyIncome]]&lt;10000,"Medium Income","High Income"))</f>
        <v>Medium Income</v>
      </c>
      <c r="U645" t="s">
        <v>92</v>
      </c>
      <c r="V645" t="s">
        <v>92</v>
      </c>
      <c r="W645" t="s">
        <v>92</v>
      </c>
      <c r="X645" t="s">
        <v>92</v>
      </c>
      <c r="Y645">
        <v>23726</v>
      </c>
      <c r="Z645">
        <v>2</v>
      </c>
      <c r="AA645" t="s">
        <v>42</v>
      </c>
      <c r="AB645" t="s">
        <v>35</v>
      </c>
      <c r="AC645">
        <v>13</v>
      </c>
      <c r="AD645">
        <v>3</v>
      </c>
      <c r="AE645">
        <v>2</v>
      </c>
      <c r="AF645">
        <v>80</v>
      </c>
      <c r="AG645">
        <v>1</v>
      </c>
      <c r="AH6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45">
        <v>17</v>
      </c>
      <c r="AJ645" t="s">
        <v>78</v>
      </c>
      <c r="AK645">
        <v>1</v>
      </c>
      <c r="AL645" t="s">
        <v>78</v>
      </c>
      <c r="AM645">
        <v>2</v>
      </c>
      <c r="AN645" t="s">
        <v>78</v>
      </c>
      <c r="AO645">
        <v>5</v>
      </c>
      <c r="AP645" t="s">
        <v>78</v>
      </c>
      <c r="AQ645">
        <v>3</v>
      </c>
      <c r="AR645">
        <v>1</v>
      </c>
      <c r="AS645">
        <v>3</v>
      </c>
    </row>
    <row r="646" spans="1:4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 t="str">
        <f>IF(Employee_data[[#This Row],[MonthlyIncome]]&lt;5000,"Low Income",
IF(Employee_data[[#This Row],[MonthlyIncome]]&lt;10000,"Medium Income","High Income"))</f>
        <v>Low Income</v>
      </c>
      <c r="U646" t="s">
        <v>91</v>
      </c>
      <c r="V646" t="s">
        <v>91</v>
      </c>
      <c r="W646" t="s">
        <v>91</v>
      </c>
      <c r="X646" t="s">
        <v>91</v>
      </c>
      <c r="Y646">
        <v>14871</v>
      </c>
      <c r="Z646">
        <v>3</v>
      </c>
      <c r="AA646" t="s">
        <v>42</v>
      </c>
      <c r="AB646" t="s">
        <v>35</v>
      </c>
      <c r="AC646">
        <v>19</v>
      </c>
      <c r="AD646">
        <v>3</v>
      </c>
      <c r="AE646">
        <v>2</v>
      </c>
      <c r="AF646">
        <v>80</v>
      </c>
      <c r="AG646">
        <v>1</v>
      </c>
      <c r="AH6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46">
        <v>8</v>
      </c>
      <c r="AJ646" t="s">
        <v>78</v>
      </c>
      <c r="AK646">
        <v>2</v>
      </c>
      <c r="AL646" t="s">
        <v>78</v>
      </c>
      <c r="AM646">
        <v>3</v>
      </c>
      <c r="AN646" t="s">
        <v>78</v>
      </c>
      <c r="AO646">
        <v>6</v>
      </c>
      <c r="AP646" t="s">
        <v>78</v>
      </c>
      <c r="AQ646">
        <v>4</v>
      </c>
      <c r="AR646">
        <v>0</v>
      </c>
      <c r="AS646">
        <v>2</v>
      </c>
    </row>
    <row r="647" spans="1:4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 t="str">
        <f>IF(Employee_data[[#This Row],[MonthlyIncome]]&lt;5000,"Low Income",
IF(Employee_data[[#This Row],[MonthlyIncome]]&lt;10000,"Medium Income","High Income"))</f>
        <v>Low Income</v>
      </c>
      <c r="U647" t="s">
        <v>91</v>
      </c>
      <c r="V647" t="s">
        <v>91</v>
      </c>
      <c r="W647" t="s">
        <v>91</v>
      </c>
      <c r="X647" t="s">
        <v>91</v>
      </c>
      <c r="Y647">
        <v>23522</v>
      </c>
      <c r="Z647">
        <v>6</v>
      </c>
      <c r="AA647" t="s">
        <v>42</v>
      </c>
      <c r="AB647" t="s">
        <v>35</v>
      </c>
      <c r="AC647">
        <v>19</v>
      </c>
      <c r="AD647">
        <v>3</v>
      </c>
      <c r="AE647">
        <v>3</v>
      </c>
      <c r="AF647">
        <v>80</v>
      </c>
      <c r="AG647">
        <v>3</v>
      </c>
      <c r="AH6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47">
        <v>5</v>
      </c>
      <c r="AJ647" t="s">
        <v>74</v>
      </c>
      <c r="AK647">
        <v>3</v>
      </c>
      <c r="AL647" t="s">
        <v>74</v>
      </c>
      <c r="AM647">
        <v>3</v>
      </c>
      <c r="AN647" t="s">
        <v>74</v>
      </c>
      <c r="AO647">
        <v>3</v>
      </c>
      <c r="AP647" t="s">
        <v>74</v>
      </c>
      <c r="AQ647">
        <v>2</v>
      </c>
      <c r="AR647">
        <v>0</v>
      </c>
      <c r="AS647">
        <v>2</v>
      </c>
    </row>
    <row r="648" spans="1:4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 t="str">
        <f>IF(Employee_data[[#This Row],[MonthlyIncome]]&lt;5000,"Low Income",
IF(Employee_data[[#This Row],[MonthlyIncome]]&lt;10000,"Medium Income","High Income"))</f>
        <v>High Income</v>
      </c>
      <c r="U648" t="s">
        <v>90</v>
      </c>
      <c r="V648" t="s">
        <v>90</v>
      </c>
      <c r="W648" t="s">
        <v>90</v>
      </c>
      <c r="X648" t="s">
        <v>90</v>
      </c>
      <c r="Y648">
        <v>22789</v>
      </c>
      <c r="Z648">
        <v>5</v>
      </c>
      <c r="AA648" t="s">
        <v>42</v>
      </c>
      <c r="AB648" t="s">
        <v>43</v>
      </c>
      <c r="AC648">
        <v>14</v>
      </c>
      <c r="AD648">
        <v>3</v>
      </c>
      <c r="AE648">
        <v>3</v>
      </c>
      <c r="AF648">
        <v>80</v>
      </c>
      <c r="AG648">
        <v>1</v>
      </c>
      <c r="AH6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48">
        <v>28</v>
      </c>
      <c r="AJ648" t="s">
        <v>74</v>
      </c>
      <c r="AK648">
        <v>3</v>
      </c>
      <c r="AL648" t="s">
        <v>74</v>
      </c>
      <c r="AM648">
        <v>3</v>
      </c>
      <c r="AN648" t="s">
        <v>74</v>
      </c>
      <c r="AO648">
        <v>2</v>
      </c>
      <c r="AP648" t="s">
        <v>74</v>
      </c>
      <c r="AQ648">
        <v>0</v>
      </c>
      <c r="AR648">
        <v>2</v>
      </c>
      <c r="AS648">
        <v>2</v>
      </c>
    </row>
    <row r="649" spans="1:4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 t="str">
        <f>IF(Employee_data[[#This Row],[MonthlyIncome]]&lt;5000,"Low Income",
IF(Employee_data[[#This Row],[MonthlyIncome]]&lt;10000,"Medium Income","High Income"))</f>
        <v>High Income</v>
      </c>
      <c r="U649" t="s">
        <v>90</v>
      </c>
      <c r="V649" t="s">
        <v>90</v>
      </c>
      <c r="W649" t="s">
        <v>90</v>
      </c>
      <c r="X649" t="s">
        <v>90</v>
      </c>
      <c r="Y649">
        <v>9129</v>
      </c>
      <c r="Z649">
        <v>3</v>
      </c>
      <c r="AA649" t="s">
        <v>42</v>
      </c>
      <c r="AB649" t="s">
        <v>43</v>
      </c>
      <c r="AC649">
        <v>16</v>
      </c>
      <c r="AD649">
        <v>3</v>
      </c>
      <c r="AE649">
        <v>1</v>
      </c>
      <c r="AF649">
        <v>80</v>
      </c>
      <c r="AG649">
        <v>0</v>
      </c>
      <c r="AH6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49">
        <v>16</v>
      </c>
      <c r="AJ649" t="s">
        <v>75</v>
      </c>
      <c r="AK649">
        <v>2</v>
      </c>
      <c r="AL649" t="s">
        <v>75</v>
      </c>
      <c r="AM649">
        <v>3</v>
      </c>
      <c r="AN649" t="s">
        <v>75</v>
      </c>
      <c r="AO649">
        <v>13</v>
      </c>
      <c r="AP649" t="s">
        <v>75</v>
      </c>
      <c r="AQ649">
        <v>10</v>
      </c>
      <c r="AR649">
        <v>4</v>
      </c>
      <c r="AS649">
        <v>8</v>
      </c>
    </row>
    <row r="650" spans="1:4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 t="str">
        <f>IF(Employee_data[[#This Row],[MonthlyIncome]]&lt;5000,"Low Income",
IF(Employee_data[[#This Row],[MonthlyIncome]]&lt;10000,"Medium Income","High Income"))</f>
        <v>Low Income</v>
      </c>
      <c r="U650" t="s">
        <v>91</v>
      </c>
      <c r="V650" t="s">
        <v>91</v>
      </c>
      <c r="W650" t="s">
        <v>91</v>
      </c>
      <c r="X650" t="s">
        <v>91</v>
      </c>
      <c r="Y650">
        <v>21222</v>
      </c>
      <c r="Z650">
        <v>5</v>
      </c>
      <c r="AA650" t="s">
        <v>42</v>
      </c>
      <c r="AB650" t="s">
        <v>43</v>
      </c>
      <c r="AC650">
        <v>15</v>
      </c>
      <c r="AD650">
        <v>3</v>
      </c>
      <c r="AE650">
        <v>2</v>
      </c>
      <c r="AF650">
        <v>80</v>
      </c>
      <c r="AG650">
        <v>1</v>
      </c>
      <c r="AH6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50">
        <v>10</v>
      </c>
      <c r="AJ650" t="s">
        <v>78</v>
      </c>
      <c r="AK650">
        <v>3</v>
      </c>
      <c r="AL650" t="s">
        <v>78</v>
      </c>
      <c r="AM650">
        <v>3</v>
      </c>
      <c r="AN650" t="s">
        <v>78</v>
      </c>
      <c r="AO650">
        <v>5</v>
      </c>
      <c r="AP650" t="s">
        <v>78</v>
      </c>
      <c r="AQ650">
        <v>4</v>
      </c>
      <c r="AR650">
        <v>0</v>
      </c>
      <c r="AS650">
        <v>0</v>
      </c>
    </row>
    <row r="651" spans="1:4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 t="str">
        <f>IF(Employee_data[[#This Row],[MonthlyIncome]]&lt;5000,"Low Income",
IF(Employee_data[[#This Row],[MonthlyIncome]]&lt;10000,"Medium Income","High Income"))</f>
        <v>High Income</v>
      </c>
      <c r="U651" t="s">
        <v>90</v>
      </c>
      <c r="V651" t="s">
        <v>90</v>
      </c>
      <c r="W651" t="s">
        <v>90</v>
      </c>
      <c r="X651" t="s">
        <v>90</v>
      </c>
      <c r="Y651">
        <v>20206</v>
      </c>
      <c r="Z651">
        <v>6</v>
      </c>
      <c r="AA651" t="s">
        <v>42</v>
      </c>
      <c r="AB651" t="s">
        <v>43</v>
      </c>
      <c r="AC651">
        <v>18</v>
      </c>
      <c r="AD651">
        <v>3</v>
      </c>
      <c r="AE651">
        <v>3</v>
      </c>
      <c r="AF651">
        <v>80</v>
      </c>
      <c r="AG651">
        <v>0</v>
      </c>
      <c r="AH6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51">
        <v>33</v>
      </c>
      <c r="AJ651" t="s">
        <v>75</v>
      </c>
      <c r="AK651">
        <v>0</v>
      </c>
      <c r="AL651" t="s">
        <v>75</v>
      </c>
      <c r="AM651">
        <v>3</v>
      </c>
      <c r="AN651" t="s">
        <v>75</v>
      </c>
      <c r="AO651">
        <v>12</v>
      </c>
      <c r="AP651" t="s">
        <v>75</v>
      </c>
      <c r="AQ651">
        <v>9</v>
      </c>
      <c r="AR651">
        <v>3</v>
      </c>
      <c r="AS651">
        <v>8</v>
      </c>
    </row>
    <row r="652" spans="1:4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 t="str">
        <f>IF(Employee_data[[#This Row],[MonthlyIncome]]&lt;5000,"Low Income",
IF(Employee_data[[#This Row],[MonthlyIncome]]&lt;10000,"Medium Income","High Income"))</f>
        <v>Medium Income</v>
      </c>
      <c r="U652" t="s">
        <v>92</v>
      </c>
      <c r="V652" t="s">
        <v>92</v>
      </c>
      <c r="W652" t="s">
        <v>92</v>
      </c>
      <c r="X652" t="s">
        <v>92</v>
      </c>
      <c r="Y652">
        <v>21782</v>
      </c>
      <c r="Z652">
        <v>4</v>
      </c>
      <c r="AA652" t="s">
        <v>42</v>
      </c>
      <c r="AB652" t="s">
        <v>43</v>
      </c>
      <c r="AC652">
        <v>13</v>
      </c>
      <c r="AD652">
        <v>3</v>
      </c>
      <c r="AE652">
        <v>2</v>
      </c>
      <c r="AF652">
        <v>80</v>
      </c>
      <c r="AG652">
        <v>1</v>
      </c>
      <c r="AH6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52">
        <v>12</v>
      </c>
      <c r="AJ652" t="s">
        <v>78</v>
      </c>
      <c r="AK652">
        <v>2</v>
      </c>
      <c r="AL652" t="s">
        <v>78</v>
      </c>
      <c r="AM652">
        <v>2</v>
      </c>
      <c r="AN652" t="s">
        <v>78</v>
      </c>
      <c r="AO652">
        <v>5</v>
      </c>
      <c r="AP652" t="s">
        <v>78</v>
      </c>
      <c r="AQ652">
        <v>2</v>
      </c>
      <c r="AR652">
        <v>2</v>
      </c>
      <c r="AS652">
        <v>2</v>
      </c>
    </row>
    <row r="653" spans="1:4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 t="str">
        <f>IF(Employee_data[[#This Row],[MonthlyIncome]]&lt;5000,"Low Income",
IF(Employee_data[[#This Row],[MonthlyIncome]]&lt;10000,"Medium Income","High Income"))</f>
        <v>Low Income</v>
      </c>
      <c r="U653" t="s">
        <v>91</v>
      </c>
      <c r="V653" t="s">
        <v>91</v>
      </c>
      <c r="W653" t="s">
        <v>91</v>
      </c>
      <c r="X653" t="s">
        <v>91</v>
      </c>
      <c r="Y653">
        <v>17783</v>
      </c>
      <c r="Z653">
        <v>0</v>
      </c>
      <c r="AA653" t="s">
        <v>42</v>
      </c>
      <c r="AB653" t="s">
        <v>35</v>
      </c>
      <c r="AC653">
        <v>22</v>
      </c>
      <c r="AD653">
        <v>4</v>
      </c>
      <c r="AE653">
        <v>1</v>
      </c>
      <c r="AF653">
        <v>80</v>
      </c>
      <c r="AG653">
        <v>1</v>
      </c>
      <c r="AH6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53">
        <v>8</v>
      </c>
      <c r="AJ653" t="s">
        <v>78</v>
      </c>
      <c r="AK653">
        <v>2</v>
      </c>
      <c r="AL653" t="s">
        <v>78</v>
      </c>
      <c r="AM653">
        <v>3</v>
      </c>
      <c r="AN653" t="s">
        <v>78</v>
      </c>
      <c r="AO653">
        <v>7</v>
      </c>
      <c r="AP653" t="s">
        <v>78</v>
      </c>
      <c r="AQ653">
        <v>6</v>
      </c>
      <c r="AR653">
        <v>7</v>
      </c>
      <c r="AS653">
        <v>7</v>
      </c>
    </row>
    <row r="654" spans="1:4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 t="str">
        <f>IF(Employee_data[[#This Row],[MonthlyIncome]]&lt;5000,"Low Income",
IF(Employee_data[[#This Row],[MonthlyIncome]]&lt;10000,"Medium Income","High Income"))</f>
        <v>Medium Income</v>
      </c>
      <c r="U654" t="s">
        <v>92</v>
      </c>
      <c r="V654" t="s">
        <v>92</v>
      </c>
      <c r="W654" t="s">
        <v>92</v>
      </c>
      <c r="X654" t="s">
        <v>92</v>
      </c>
      <c r="Y654">
        <v>4814</v>
      </c>
      <c r="Z654">
        <v>1</v>
      </c>
      <c r="AA654" t="s">
        <v>42</v>
      </c>
      <c r="AB654" t="s">
        <v>35</v>
      </c>
      <c r="AC654">
        <v>13</v>
      </c>
      <c r="AD654">
        <v>3</v>
      </c>
      <c r="AE654">
        <v>4</v>
      </c>
      <c r="AF654">
        <v>80</v>
      </c>
      <c r="AG654">
        <v>0</v>
      </c>
      <c r="AH6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54">
        <v>10</v>
      </c>
      <c r="AJ654" t="s">
        <v>75</v>
      </c>
      <c r="AK654">
        <v>2</v>
      </c>
      <c r="AL654" t="s">
        <v>75</v>
      </c>
      <c r="AM654">
        <v>3</v>
      </c>
      <c r="AN654" t="s">
        <v>75</v>
      </c>
      <c r="AO654">
        <v>10</v>
      </c>
      <c r="AP654" t="s">
        <v>75</v>
      </c>
      <c r="AQ654">
        <v>0</v>
      </c>
      <c r="AR654">
        <v>0</v>
      </c>
      <c r="AS654">
        <v>9</v>
      </c>
    </row>
    <row r="655" spans="1:4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 t="str">
        <f>IF(Employee_data[[#This Row],[MonthlyIncome]]&lt;5000,"Low Income",
IF(Employee_data[[#This Row],[MonthlyIncome]]&lt;10000,"Medium Income","High Income"))</f>
        <v>High Income</v>
      </c>
      <c r="U655" t="s">
        <v>90</v>
      </c>
      <c r="V655" t="s">
        <v>90</v>
      </c>
      <c r="W655" t="s">
        <v>90</v>
      </c>
      <c r="X655" t="s">
        <v>90</v>
      </c>
      <c r="Y655">
        <v>4544</v>
      </c>
      <c r="Z655">
        <v>1</v>
      </c>
      <c r="AA655" t="s">
        <v>42</v>
      </c>
      <c r="AB655" t="s">
        <v>43</v>
      </c>
      <c r="AC655">
        <v>11</v>
      </c>
      <c r="AD655">
        <v>3</v>
      </c>
      <c r="AE655">
        <v>4</v>
      </c>
      <c r="AF655">
        <v>80</v>
      </c>
      <c r="AG655">
        <v>1</v>
      </c>
      <c r="AH6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655">
        <v>31</v>
      </c>
      <c r="AJ655" t="s">
        <v>77</v>
      </c>
      <c r="AK655">
        <v>3</v>
      </c>
      <c r="AL655" t="s">
        <v>77</v>
      </c>
      <c r="AM655">
        <v>3</v>
      </c>
      <c r="AN655" t="s">
        <v>77</v>
      </c>
      <c r="AO655">
        <v>31</v>
      </c>
      <c r="AP655" t="s">
        <v>77</v>
      </c>
      <c r="AQ655">
        <v>6</v>
      </c>
      <c r="AR655">
        <v>14</v>
      </c>
      <c r="AS655">
        <v>7</v>
      </c>
    </row>
    <row r="656" spans="1:4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 t="str">
        <f>IF(Employee_data[[#This Row],[MonthlyIncome]]&lt;5000,"Low Income",
IF(Employee_data[[#This Row],[MonthlyIncome]]&lt;10000,"Medium Income","High Income"))</f>
        <v>Medium Income</v>
      </c>
      <c r="U656" t="s">
        <v>92</v>
      </c>
      <c r="V656" t="s">
        <v>92</v>
      </c>
      <c r="W656" t="s">
        <v>92</v>
      </c>
      <c r="X656" t="s">
        <v>92</v>
      </c>
      <c r="Y656">
        <v>7790</v>
      </c>
      <c r="Z656">
        <v>8</v>
      </c>
      <c r="AA656" t="s">
        <v>42</v>
      </c>
      <c r="AB656" t="s">
        <v>43</v>
      </c>
      <c r="AC656">
        <v>11</v>
      </c>
      <c r="AD656">
        <v>3</v>
      </c>
      <c r="AE656">
        <v>3</v>
      </c>
      <c r="AF656">
        <v>80</v>
      </c>
      <c r="AG656">
        <v>2</v>
      </c>
      <c r="AH6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56">
        <v>13</v>
      </c>
      <c r="AJ656" t="s">
        <v>78</v>
      </c>
      <c r="AK656">
        <v>2</v>
      </c>
      <c r="AL656" t="s">
        <v>78</v>
      </c>
      <c r="AM656">
        <v>3</v>
      </c>
      <c r="AN656" t="s">
        <v>78</v>
      </c>
      <c r="AO656">
        <v>5</v>
      </c>
      <c r="AP656" t="s">
        <v>78</v>
      </c>
      <c r="AQ656">
        <v>4</v>
      </c>
      <c r="AR656">
        <v>0</v>
      </c>
      <c r="AS656">
        <v>4</v>
      </c>
    </row>
    <row r="657" spans="1:4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 t="str">
        <f>IF(Employee_data[[#This Row],[MonthlyIncome]]&lt;5000,"Low Income",
IF(Employee_data[[#This Row],[MonthlyIncome]]&lt;10000,"Medium Income","High Income"))</f>
        <v>Low Income</v>
      </c>
      <c r="U657" t="s">
        <v>91</v>
      </c>
      <c r="V657" t="s">
        <v>91</v>
      </c>
      <c r="W657" t="s">
        <v>91</v>
      </c>
      <c r="X657" t="s">
        <v>91</v>
      </c>
      <c r="Y657">
        <v>22650</v>
      </c>
      <c r="Z657">
        <v>3</v>
      </c>
      <c r="AA657" t="s">
        <v>42</v>
      </c>
      <c r="AB657" t="s">
        <v>35</v>
      </c>
      <c r="AC657">
        <v>11</v>
      </c>
      <c r="AD657">
        <v>3</v>
      </c>
      <c r="AE657">
        <v>3</v>
      </c>
      <c r="AF657">
        <v>80</v>
      </c>
      <c r="AG657">
        <v>1</v>
      </c>
      <c r="AH6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57">
        <v>7</v>
      </c>
      <c r="AJ657" t="s">
        <v>74</v>
      </c>
      <c r="AK657">
        <v>4</v>
      </c>
      <c r="AL657" t="s">
        <v>74</v>
      </c>
      <c r="AM657">
        <v>4</v>
      </c>
      <c r="AN657" t="s">
        <v>74</v>
      </c>
      <c r="AO657">
        <v>4</v>
      </c>
      <c r="AP657" t="s">
        <v>74</v>
      </c>
      <c r="AQ657">
        <v>3</v>
      </c>
      <c r="AR657">
        <v>0</v>
      </c>
      <c r="AS657">
        <v>3</v>
      </c>
    </row>
    <row r="658" spans="1:4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 t="str">
        <f>IF(Employee_data[[#This Row],[MonthlyIncome]]&lt;5000,"Low Income",
IF(Employee_data[[#This Row],[MonthlyIncome]]&lt;10000,"Medium Income","High Income"))</f>
        <v>Low Income</v>
      </c>
      <c r="U658" t="s">
        <v>91</v>
      </c>
      <c r="V658" t="s">
        <v>91</v>
      </c>
      <c r="W658" t="s">
        <v>91</v>
      </c>
      <c r="X658" t="s">
        <v>91</v>
      </c>
      <c r="Y658">
        <v>18016</v>
      </c>
      <c r="Z658">
        <v>1</v>
      </c>
      <c r="AA658" t="s">
        <v>42</v>
      </c>
      <c r="AB658" t="s">
        <v>35</v>
      </c>
      <c r="AC658">
        <v>24</v>
      </c>
      <c r="AD658">
        <v>4</v>
      </c>
      <c r="AE658">
        <v>3</v>
      </c>
      <c r="AF658">
        <v>80</v>
      </c>
      <c r="AG658">
        <v>0</v>
      </c>
      <c r="AH6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58">
        <v>1</v>
      </c>
      <c r="AJ658" t="s">
        <v>74</v>
      </c>
      <c r="AK658">
        <v>2</v>
      </c>
      <c r="AL658" t="s">
        <v>74</v>
      </c>
      <c r="AM658">
        <v>1</v>
      </c>
      <c r="AN658" t="s">
        <v>74</v>
      </c>
      <c r="AO658">
        <v>1</v>
      </c>
      <c r="AP658" t="s">
        <v>74</v>
      </c>
      <c r="AQ658">
        <v>0</v>
      </c>
      <c r="AR658">
        <v>0</v>
      </c>
      <c r="AS658">
        <v>1</v>
      </c>
    </row>
    <row r="659" spans="1:4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 t="str">
        <f>IF(Employee_data[[#This Row],[MonthlyIncome]]&lt;5000,"Low Income",
IF(Employee_data[[#This Row],[MonthlyIncome]]&lt;10000,"Medium Income","High Income"))</f>
        <v>Low Income</v>
      </c>
      <c r="U659" t="s">
        <v>91</v>
      </c>
      <c r="V659" t="s">
        <v>91</v>
      </c>
      <c r="W659" t="s">
        <v>91</v>
      </c>
      <c r="X659" t="s">
        <v>91</v>
      </c>
      <c r="Y659">
        <v>6054</v>
      </c>
      <c r="Z659">
        <v>6</v>
      </c>
      <c r="AA659" t="s">
        <v>42</v>
      </c>
      <c r="AB659" t="s">
        <v>43</v>
      </c>
      <c r="AC659">
        <v>14</v>
      </c>
      <c r="AD659">
        <v>3</v>
      </c>
      <c r="AE659">
        <v>3</v>
      </c>
      <c r="AF659">
        <v>80</v>
      </c>
      <c r="AG659">
        <v>3</v>
      </c>
      <c r="AH6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59">
        <v>8</v>
      </c>
      <c r="AJ659" t="s">
        <v>74</v>
      </c>
      <c r="AK659">
        <v>5</v>
      </c>
      <c r="AL659" t="s">
        <v>74</v>
      </c>
      <c r="AM659">
        <v>3</v>
      </c>
      <c r="AN659" t="s">
        <v>74</v>
      </c>
      <c r="AO659">
        <v>4</v>
      </c>
      <c r="AP659" t="s">
        <v>74</v>
      </c>
      <c r="AQ659">
        <v>3</v>
      </c>
      <c r="AR659">
        <v>0</v>
      </c>
      <c r="AS659">
        <v>3</v>
      </c>
    </row>
    <row r="660" spans="1:4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 t="str">
        <f>IF(Employee_data[[#This Row],[MonthlyIncome]]&lt;5000,"Low Income",
IF(Employee_data[[#This Row],[MonthlyIncome]]&lt;10000,"Medium Income","High Income"))</f>
        <v>Low Income</v>
      </c>
      <c r="U660" t="s">
        <v>91</v>
      </c>
      <c r="V660" t="s">
        <v>91</v>
      </c>
      <c r="W660" t="s">
        <v>91</v>
      </c>
      <c r="X660" t="s">
        <v>91</v>
      </c>
      <c r="Y660">
        <v>7508</v>
      </c>
      <c r="Z660">
        <v>1</v>
      </c>
      <c r="AA660" t="s">
        <v>42</v>
      </c>
      <c r="AB660" t="s">
        <v>35</v>
      </c>
      <c r="AC660">
        <v>13</v>
      </c>
      <c r="AD660">
        <v>3</v>
      </c>
      <c r="AE660">
        <v>4</v>
      </c>
      <c r="AF660">
        <v>80</v>
      </c>
      <c r="AG660">
        <v>0</v>
      </c>
      <c r="AH6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60">
        <v>8</v>
      </c>
      <c r="AJ660" t="s">
        <v>78</v>
      </c>
      <c r="AK660">
        <v>0</v>
      </c>
      <c r="AL660" t="s">
        <v>78</v>
      </c>
      <c r="AM660">
        <v>3</v>
      </c>
      <c r="AN660" t="s">
        <v>78</v>
      </c>
      <c r="AO660">
        <v>8</v>
      </c>
      <c r="AP660" t="s">
        <v>78</v>
      </c>
      <c r="AQ660">
        <v>7</v>
      </c>
      <c r="AR660">
        <v>7</v>
      </c>
      <c r="AS660">
        <v>1</v>
      </c>
    </row>
    <row r="661" spans="1:4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 t="str">
        <f>IF(Employee_data[[#This Row],[MonthlyIncome]]&lt;5000,"Low Income",
IF(Employee_data[[#This Row],[MonthlyIncome]]&lt;10000,"Medium Income","High Income"))</f>
        <v>Low Income</v>
      </c>
      <c r="U661" t="s">
        <v>91</v>
      </c>
      <c r="V661" t="s">
        <v>91</v>
      </c>
      <c r="W661" t="s">
        <v>91</v>
      </c>
      <c r="X661" t="s">
        <v>91</v>
      </c>
      <c r="Y661">
        <v>24252</v>
      </c>
      <c r="Z661">
        <v>1</v>
      </c>
      <c r="AA661" t="s">
        <v>42</v>
      </c>
      <c r="AB661" t="s">
        <v>43</v>
      </c>
      <c r="AC661">
        <v>14</v>
      </c>
      <c r="AD661">
        <v>3</v>
      </c>
      <c r="AE661">
        <v>2</v>
      </c>
      <c r="AF661">
        <v>80</v>
      </c>
      <c r="AG661">
        <v>0</v>
      </c>
      <c r="AH6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61">
        <v>4</v>
      </c>
      <c r="AJ661" t="s">
        <v>74</v>
      </c>
      <c r="AK661">
        <v>3</v>
      </c>
      <c r="AL661" t="s">
        <v>74</v>
      </c>
      <c r="AM661">
        <v>3</v>
      </c>
      <c r="AN661" t="s">
        <v>74</v>
      </c>
      <c r="AO661">
        <v>4</v>
      </c>
      <c r="AP661" t="s">
        <v>74</v>
      </c>
      <c r="AQ661">
        <v>2</v>
      </c>
      <c r="AR661">
        <v>0</v>
      </c>
      <c r="AS661">
        <v>2</v>
      </c>
    </row>
    <row r="662" spans="1:4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 t="str">
        <f>IF(Employee_data[[#This Row],[MonthlyIncome]]&lt;5000,"Low Income",
IF(Employee_data[[#This Row],[MonthlyIncome]]&lt;10000,"Medium Income","High Income"))</f>
        <v>Low Income</v>
      </c>
      <c r="U662" t="s">
        <v>91</v>
      </c>
      <c r="V662" t="s">
        <v>91</v>
      </c>
      <c r="W662" t="s">
        <v>91</v>
      </c>
      <c r="X662" t="s">
        <v>91</v>
      </c>
      <c r="Y662">
        <v>13384</v>
      </c>
      <c r="Z662">
        <v>9</v>
      </c>
      <c r="AA662" t="s">
        <v>42</v>
      </c>
      <c r="AB662" t="s">
        <v>35</v>
      </c>
      <c r="AC662">
        <v>14</v>
      </c>
      <c r="AD662">
        <v>3</v>
      </c>
      <c r="AE662">
        <v>4</v>
      </c>
      <c r="AF662">
        <v>80</v>
      </c>
      <c r="AG662">
        <v>1</v>
      </c>
      <c r="AH6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62">
        <v>3</v>
      </c>
      <c r="AJ662" t="s">
        <v>74</v>
      </c>
      <c r="AK662">
        <v>3</v>
      </c>
      <c r="AL662" t="s">
        <v>74</v>
      </c>
      <c r="AM662">
        <v>2</v>
      </c>
      <c r="AN662" t="s">
        <v>74</v>
      </c>
      <c r="AO662">
        <v>1</v>
      </c>
      <c r="AP662" t="s">
        <v>74</v>
      </c>
      <c r="AQ662">
        <v>0</v>
      </c>
      <c r="AR662">
        <v>0</v>
      </c>
      <c r="AS662">
        <v>0</v>
      </c>
    </row>
    <row r="663" spans="1:4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 t="str">
        <f>IF(Employee_data[[#This Row],[MonthlyIncome]]&lt;5000,"Low Income",
IF(Employee_data[[#This Row],[MonthlyIncome]]&lt;10000,"Medium Income","High Income"))</f>
        <v>Low Income</v>
      </c>
      <c r="U663" t="s">
        <v>91</v>
      </c>
      <c r="V663" t="s">
        <v>91</v>
      </c>
      <c r="W663" t="s">
        <v>91</v>
      </c>
      <c r="X663" t="s">
        <v>91</v>
      </c>
      <c r="Y663">
        <v>23814</v>
      </c>
      <c r="Z663">
        <v>4</v>
      </c>
      <c r="AA663" t="s">
        <v>42</v>
      </c>
      <c r="AB663" t="s">
        <v>43</v>
      </c>
      <c r="AC663">
        <v>21</v>
      </c>
      <c r="AD663">
        <v>4</v>
      </c>
      <c r="AE663">
        <v>3</v>
      </c>
      <c r="AF663">
        <v>80</v>
      </c>
      <c r="AG663">
        <v>1</v>
      </c>
      <c r="AH6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63">
        <v>4</v>
      </c>
      <c r="AJ663" t="s">
        <v>74</v>
      </c>
      <c r="AK663">
        <v>2</v>
      </c>
      <c r="AL663" t="s">
        <v>74</v>
      </c>
      <c r="AM663">
        <v>4</v>
      </c>
      <c r="AN663" t="s">
        <v>74</v>
      </c>
      <c r="AO663">
        <v>1</v>
      </c>
      <c r="AP663" t="s">
        <v>74</v>
      </c>
      <c r="AQ663">
        <v>0</v>
      </c>
      <c r="AR663">
        <v>0</v>
      </c>
      <c r="AS663">
        <v>0</v>
      </c>
    </row>
    <row r="664" spans="1:4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 t="str">
        <f>IF(Employee_data[[#This Row],[MonthlyIncome]]&lt;5000,"Low Income",
IF(Employee_data[[#This Row],[MonthlyIncome]]&lt;10000,"Medium Income","High Income"))</f>
        <v>Low Income</v>
      </c>
      <c r="U664" t="s">
        <v>91</v>
      </c>
      <c r="V664" t="s">
        <v>91</v>
      </c>
      <c r="W664" t="s">
        <v>91</v>
      </c>
      <c r="X664" t="s">
        <v>91</v>
      </c>
      <c r="Y664">
        <v>22052</v>
      </c>
      <c r="Z664">
        <v>1</v>
      </c>
      <c r="AA664" t="s">
        <v>42</v>
      </c>
      <c r="AB664" t="s">
        <v>43</v>
      </c>
      <c r="AC664">
        <v>13</v>
      </c>
      <c r="AD664">
        <v>3</v>
      </c>
      <c r="AE664">
        <v>4</v>
      </c>
      <c r="AF664">
        <v>80</v>
      </c>
      <c r="AG664">
        <v>0</v>
      </c>
      <c r="AH6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64">
        <v>2</v>
      </c>
      <c r="AJ664" t="s">
        <v>74</v>
      </c>
      <c r="AK664">
        <v>3</v>
      </c>
      <c r="AL664" t="s">
        <v>74</v>
      </c>
      <c r="AM664">
        <v>2</v>
      </c>
      <c r="AN664" t="s">
        <v>74</v>
      </c>
      <c r="AO664">
        <v>2</v>
      </c>
      <c r="AP664" t="s">
        <v>74</v>
      </c>
      <c r="AQ664">
        <v>2</v>
      </c>
      <c r="AR664">
        <v>0</v>
      </c>
      <c r="AS664">
        <v>2</v>
      </c>
    </row>
    <row r="665" spans="1:4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 t="str">
        <f>IF(Employee_data[[#This Row],[MonthlyIncome]]&lt;5000,"Low Income",
IF(Employee_data[[#This Row],[MonthlyIncome]]&lt;10000,"Medium Income","High Income"))</f>
        <v>Low Income</v>
      </c>
      <c r="U665" t="s">
        <v>91</v>
      </c>
      <c r="V665" t="s">
        <v>91</v>
      </c>
      <c r="W665" t="s">
        <v>91</v>
      </c>
      <c r="X665" t="s">
        <v>91</v>
      </c>
      <c r="Y665">
        <v>8870</v>
      </c>
      <c r="Z665">
        <v>1</v>
      </c>
      <c r="AA665" t="s">
        <v>42</v>
      </c>
      <c r="AB665" t="s">
        <v>43</v>
      </c>
      <c r="AC665">
        <v>19</v>
      </c>
      <c r="AD665">
        <v>3</v>
      </c>
      <c r="AE665">
        <v>1</v>
      </c>
      <c r="AF665">
        <v>80</v>
      </c>
      <c r="AG665">
        <v>0</v>
      </c>
      <c r="AH6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65">
        <v>1</v>
      </c>
      <c r="AJ665" t="s">
        <v>74</v>
      </c>
      <c r="AK665">
        <v>3</v>
      </c>
      <c r="AL665" t="s">
        <v>74</v>
      </c>
      <c r="AM665">
        <v>2</v>
      </c>
      <c r="AN665" t="s">
        <v>74</v>
      </c>
      <c r="AO665">
        <v>1</v>
      </c>
      <c r="AP665" t="s">
        <v>74</v>
      </c>
      <c r="AQ665">
        <v>0</v>
      </c>
      <c r="AR665">
        <v>0</v>
      </c>
      <c r="AS665">
        <v>0</v>
      </c>
    </row>
    <row r="666" spans="1:4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 t="str">
        <f>IF(Employee_data[[#This Row],[MonthlyIncome]]&lt;5000,"Low Income",
IF(Employee_data[[#This Row],[MonthlyIncome]]&lt;10000,"Medium Income","High Income"))</f>
        <v>Medium Income</v>
      </c>
      <c r="U666" t="s">
        <v>92</v>
      </c>
      <c r="V666" t="s">
        <v>92</v>
      </c>
      <c r="W666" t="s">
        <v>92</v>
      </c>
      <c r="X666" t="s">
        <v>92</v>
      </c>
      <c r="Y666">
        <v>4821</v>
      </c>
      <c r="Z666">
        <v>0</v>
      </c>
      <c r="AA666" t="s">
        <v>42</v>
      </c>
      <c r="AB666" t="s">
        <v>35</v>
      </c>
      <c r="AC666">
        <v>17</v>
      </c>
      <c r="AD666">
        <v>3</v>
      </c>
      <c r="AE666">
        <v>1</v>
      </c>
      <c r="AF666">
        <v>80</v>
      </c>
      <c r="AG666">
        <v>1</v>
      </c>
      <c r="AH6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666">
        <v>17</v>
      </c>
      <c r="AJ666" t="s">
        <v>76</v>
      </c>
      <c r="AK666">
        <v>2</v>
      </c>
      <c r="AL666" t="s">
        <v>76</v>
      </c>
      <c r="AM666">
        <v>2</v>
      </c>
      <c r="AN666" t="s">
        <v>76</v>
      </c>
      <c r="AO666">
        <v>16</v>
      </c>
      <c r="AP666" t="s">
        <v>76</v>
      </c>
      <c r="AQ666">
        <v>8</v>
      </c>
      <c r="AR666">
        <v>4</v>
      </c>
      <c r="AS666">
        <v>11</v>
      </c>
    </row>
    <row r="667" spans="1:4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 t="str">
        <f>IF(Employee_data[[#This Row],[MonthlyIncome]]&lt;5000,"Low Income",
IF(Employee_data[[#This Row],[MonthlyIncome]]&lt;10000,"Medium Income","High Income"))</f>
        <v>Low Income</v>
      </c>
      <c r="U667" t="s">
        <v>91</v>
      </c>
      <c r="V667" t="s">
        <v>91</v>
      </c>
      <c r="W667" t="s">
        <v>91</v>
      </c>
      <c r="X667" t="s">
        <v>91</v>
      </c>
      <c r="Y667">
        <v>13137</v>
      </c>
      <c r="Z667">
        <v>1</v>
      </c>
      <c r="AA667" t="s">
        <v>42</v>
      </c>
      <c r="AB667" t="s">
        <v>35</v>
      </c>
      <c r="AC667">
        <v>18</v>
      </c>
      <c r="AD667">
        <v>3</v>
      </c>
      <c r="AE667">
        <v>1</v>
      </c>
      <c r="AF667">
        <v>80</v>
      </c>
      <c r="AG667">
        <v>0</v>
      </c>
      <c r="AH6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67">
        <v>3</v>
      </c>
      <c r="AJ667" t="s">
        <v>74</v>
      </c>
      <c r="AK667">
        <v>3</v>
      </c>
      <c r="AL667" t="s">
        <v>74</v>
      </c>
      <c r="AM667">
        <v>2</v>
      </c>
      <c r="AN667" t="s">
        <v>74</v>
      </c>
      <c r="AO667">
        <v>3</v>
      </c>
      <c r="AP667" t="s">
        <v>74</v>
      </c>
      <c r="AQ667">
        <v>2</v>
      </c>
      <c r="AR667">
        <v>1</v>
      </c>
      <c r="AS667">
        <v>2</v>
      </c>
    </row>
    <row r="668" spans="1:4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 t="str">
        <f>IF(Employee_data[[#This Row],[MonthlyIncome]]&lt;5000,"Low Income",
IF(Employee_data[[#This Row],[MonthlyIncome]]&lt;10000,"Medium Income","High Income"))</f>
        <v>Low Income</v>
      </c>
      <c r="U668" t="s">
        <v>91</v>
      </c>
      <c r="V668" t="s">
        <v>91</v>
      </c>
      <c r="W668" t="s">
        <v>91</v>
      </c>
      <c r="X668" t="s">
        <v>91</v>
      </c>
      <c r="Y668">
        <v>10022</v>
      </c>
      <c r="Z668">
        <v>0</v>
      </c>
      <c r="AA668" t="s">
        <v>42</v>
      </c>
      <c r="AB668" t="s">
        <v>35</v>
      </c>
      <c r="AC668">
        <v>19</v>
      </c>
      <c r="AD668">
        <v>3</v>
      </c>
      <c r="AE668">
        <v>1</v>
      </c>
      <c r="AF668">
        <v>80</v>
      </c>
      <c r="AG668">
        <v>1</v>
      </c>
      <c r="AH6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68">
        <v>4</v>
      </c>
      <c r="AJ668" t="s">
        <v>74</v>
      </c>
      <c r="AK668">
        <v>3</v>
      </c>
      <c r="AL668" t="s">
        <v>74</v>
      </c>
      <c r="AM668">
        <v>4</v>
      </c>
      <c r="AN668" t="s">
        <v>74</v>
      </c>
      <c r="AO668">
        <v>3</v>
      </c>
      <c r="AP668" t="s">
        <v>74</v>
      </c>
      <c r="AQ668">
        <v>2</v>
      </c>
      <c r="AR668">
        <v>0</v>
      </c>
      <c r="AS668">
        <v>2</v>
      </c>
    </row>
    <row r="669" spans="1:4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 t="str">
        <f>IF(Employee_data[[#This Row],[MonthlyIncome]]&lt;5000,"Low Income",
IF(Employee_data[[#This Row],[MonthlyIncome]]&lt;10000,"Medium Income","High Income"))</f>
        <v>Low Income</v>
      </c>
      <c r="U669" t="s">
        <v>91</v>
      </c>
      <c r="V669" t="s">
        <v>91</v>
      </c>
      <c r="W669" t="s">
        <v>91</v>
      </c>
      <c r="X669" t="s">
        <v>91</v>
      </c>
      <c r="Y669">
        <v>17725</v>
      </c>
      <c r="Z669">
        <v>4</v>
      </c>
      <c r="AA669" t="s">
        <v>42</v>
      </c>
      <c r="AB669" t="s">
        <v>35</v>
      </c>
      <c r="AC669">
        <v>13</v>
      </c>
      <c r="AD669">
        <v>3</v>
      </c>
      <c r="AE669">
        <v>3</v>
      </c>
      <c r="AF669">
        <v>80</v>
      </c>
      <c r="AG669">
        <v>1</v>
      </c>
      <c r="AH6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69">
        <v>10</v>
      </c>
      <c r="AJ669" t="s">
        <v>78</v>
      </c>
      <c r="AK669">
        <v>1</v>
      </c>
      <c r="AL669" t="s">
        <v>78</v>
      </c>
      <c r="AM669">
        <v>2</v>
      </c>
      <c r="AN669" t="s">
        <v>78</v>
      </c>
      <c r="AO669">
        <v>7</v>
      </c>
      <c r="AP669" t="s">
        <v>78</v>
      </c>
      <c r="AQ669">
        <v>7</v>
      </c>
      <c r="AR669">
        <v>1</v>
      </c>
      <c r="AS669">
        <v>0</v>
      </c>
    </row>
    <row r="670" spans="1:4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 t="str">
        <f>IF(Employee_data[[#This Row],[MonthlyIncome]]&lt;5000,"Low Income",
IF(Employee_data[[#This Row],[MonthlyIncome]]&lt;10000,"Medium Income","High Income"))</f>
        <v>Low Income</v>
      </c>
      <c r="U670" t="s">
        <v>91</v>
      </c>
      <c r="V670" t="s">
        <v>91</v>
      </c>
      <c r="W670" t="s">
        <v>91</v>
      </c>
      <c r="X670" t="s">
        <v>91</v>
      </c>
      <c r="Y670">
        <v>9834</v>
      </c>
      <c r="Z670">
        <v>5</v>
      </c>
      <c r="AA670" t="s">
        <v>42</v>
      </c>
      <c r="AB670" t="s">
        <v>43</v>
      </c>
      <c r="AC670">
        <v>18</v>
      </c>
      <c r="AD670">
        <v>3</v>
      </c>
      <c r="AE670">
        <v>2</v>
      </c>
      <c r="AF670">
        <v>80</v>
      </c>
      <c r="AG670">
        <v>1</v>
      </c>
      <c r="AH6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70">
        <v>6</v>
      </c>
      <c r="AJ670" t="s">
        <v>74</v>
      </c>
      <c r="AK670">
        <v>2</v>
      </c>
      <c r="AL670" t="s">
        <v>74</v>
      </c>
      <c r="AM670">
        <v>3</v>
      </c>
      <c r="AN670" t="s">
        <v>74</v>
      </c>
      <c r="AO670">
        <v>2</v>
      </c>
      <c r="AP670" t="s">
        <v>74</v>
      </c>
      <c r="AQ670">
        <v>2</v>
      </c>
      <c r="AR670">
        <v>2</v>
      </c>
      <c r="AS670">
        <v>2</v>
      </c>
    </row>
    <row r="671" spans="1:4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 t="str">
        <f>IF(Employee_data[[#This Row],[MonthlyIncome]]&lt;5000,"Low Income",
IF(Employee_data[[#This Row],[MonthlyIncome]]&lt;10000,"Medium Income","High Income"))</f>
        <v>Low Income</v>
      </c>
      <c r="U671" t="s">
        <v>91</v>
      </c>
      <c r="V671" t="s">
        <v>91</v>
      </c>
      <c r="W671" t="s">
        <v>91</v>
      </c>
      <c r="X671" t="s">
        <v>91</v>
      </c>
      <c r="Y671">
        <v>4303</v>
      </c>
      <c r="Z671">
        <v>7</v>
      </c>
      <c r="AA671" t="s">
        <v>42</v>
      </c>
      <c r="AB671" t="s">
        <v>35</v>
      </c>
      <c r="AC671">
        <v>21</v>
      </c>
      <c r="AD671">
        <v>4</v>
      </c>
      <c r="AE671">
        <v>4</v>
      </c>
      <c r="AF671">
        <v>80</v>
      </c>
      <c r="AG671">
        <v>0</v>
      </c>
      <c r="AH6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71">
        <v>8</v>
      </c>
      <c r="AJ671" t="s">
        <v>74</v>
      </c>
      <c r="AK671">
        <v>2</v>
      </c>
      <c r="AL671" t="s">
        <v>74</v>
      </c>
      <c r="AM671">
        <v>1</v>
      </c>
      <c r="AN671" t="s">
        <v>74</v>
      </c>
      <c r="AO671">
        <v>2</v>
      </c>
      <c r="AP671" t="s">
        <v>74</v>
      </c>
      <c r="AQ671">
        <v>2</v>
      </c>
      <c r="AR671">
        <v>2</v>
      </c>
      <c r="AS671">
        <v>2</v>
      </c>
    </row>
    <row r="672" spans="1:4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 t="str">
        <f>IF(Employee_data[[#This Row],[MonthlyIncome]]&lt;5000,"Low Income",
IF(Employee_data[[#This Row],[MonthlyIncome]]&lt;10000,"Medium Income","High Income"))</f>
        <v>Low Income</v>
      </c>
      <c r="U672" t="s">
        <v>91</v>
      </c>
      <c r="V672" t="s">
        <v>91</v>
      </c>
      <c r="W672" t="s">
        <v>91</v>
      </c>
      <c r="X672" t="s">
        <v>91</v>
      </c>
      <c r="Y672">
        <v>17808</v>
      </c>
      <c r="Z672">
        <v>1</v>
      </c>
      <c r="AA672" t="s">
        <v>42</v>
      </c>
      <c r="AB672" t="s">
        <v>43</v>
      </c>
      <c r="AC672">
        <v>19</v>
      </c>
      <c r="AD672">
        <v>3</v>
      </c>
      <c r="AE672">
        <v>3</v>
      </c>
      <c r="AF672">
        <v>80</v>
      </c>
      <c r="AG672">
        <v>0</v>
      </c>
      <c r="AH6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72">
        <v>1</v>
      </c>
      <c r="AJ672" t="s">
        <v>74</v>
      </c>
      <c r="AK672">
        <v>2</v>
      </c>
      <c r="AL672" t="s">
        <v>74</v>
      </c>
      <c r="AM672">
        <v>3</v>
      </c>
      <c r="AN672" t="s">
        <v>74</v>
      </c>
      <c r="AO672">
        <v>1</v>
      </c>
      <c r="AP672" t="s">
        <v>74</v>
      </c>
      <c r="AQ672">
        <v>1</v>
      </c>
      <c r="AR672">
        <v>0</v>
      </c>
      <c r="AS672">
        <v>0</v>
      </c>
    </row>
    <row r="673" spans="1:4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 t="str">
        <f>IF(Employee_data[[#This Row],[MonthlyIncome]]&lt;5000,"Low Income",
IF(Employee_data[[#This Row],[MonthlyIncome]]&lt;10000,"Medium Income","High Income"))</f>
        <v>Low Income</v>
      </c>
      <c r="U673" t="s">
        <v>91</v>
      </c>
      <c r="V673" t="s">
        <v>91</v>
      </c>
      <c r="W673" t="s">
        <v>91</v>
      </c>
      <c r="X673" t="s">
        <v>91</v>
      </c>
      <c r="Y673">
        <v>6896</v>
      </c>
      <c r="Z673">
        <v>1</v>
      </c>
      <c r="AA673" t="s">
        <v>42</v>
      </c>
      <c r="AB673" t="s">
        <v>43</v>
      </c>
      <c r="AC673">
        <v>14</v>
      </c>
      <c r="AD673">
        <v>3</v>
      </c>
      <c r="AE673">
        <v>2</v>
      </c>
      <c r="AF673">
        <v>80</v>
      </c>
      <c r="AG673">
        <v>2</v>
      </c>
      <c r="AH6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73">
        <v>1</v>
      </c>
      <c r="AJ673" t="s">
        <v>74</v>
      </c>
      <c r="AK673">
        <v>3</v>
      </c>
      <c r="AL673" t="s">
        <v>74</v>
      </c>
      <c r="AM673">
        <v>3</v>
      </c>
      <c r="AN673" t="s">
        <v>74</v>
      </c>
      <c r="AO673">
        <v>1</v>
      </c>
      <c r="AP673" t="s">
        <v>74</v>
      </c>
      <c r="AQ673">
        <v>0</v>
      </c>
      <c r="AR673">
        <v>1</v>
      </c>
      <c r="AS673">
        <v>0</v>
      </c>
    </row>
    <row r="674" spans="1:4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 t="str">
        <f>IF(Employee_data[[#This Row],[MonthlyIncome]]&lt;5000,"Low Income",
IF(Employee_data[[#This Row],[MonthlyIncome]]&lt;10000,"Medium Income","High Income"))</f>
        <v>Medium Income</v>
      </c>
      <c r="U674" t="s">
        <v>92</v>
      </c>
      <c r="V674" t="s">
        <v>92</v>
      </c>
      <c r="W674" t="s">
        <v>92</v>
      </c>
      <c r="X674" t="s">
        <v>92</v>
      </c>
      <c r="Y674">
        <v>7824</v>
      </c>
      <c r="Z674">
        <v>7</v>
      </c>
      <c r="AA674" t="s">
        <v>42</v>
      </c>
      <c r="AB674" t="s">
        <v>43</v>
      </c>
      <c r="AC674">
        <v>17</v>
      </c>
      <c r="AD674">
        <v>3</v>
      </c>
      <c r="AE674">
        <v>1</v>
      </c>
      <c r="AF674">
        <v>80</v>
      </c>
      <c r="AG674">
        <v>0</v>
      </c>
      <c r="AH6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74">
        <v>10</v>
      </c>
      <c r="AJ674" t="s">
        <v>78</v>
      </c>
      <c r="AK674">
        <v>6</v>
      </c>
      <c r="AL674" t="s">
        <v>78</v>
      </c>
      <c r="AM674">
        <v>3</v>
      </c>
      <c r="AN674" t="s">
        <v>78</v>
      </c>
      <c r="AO674">
        <v>5</v>
      </c>
      <c r="AP674" t="s">
        <v>78</v>
      </c>
      <c r="AQ674">
        <v>4</v>
      </c>
      <c r="AR674">
        <v>0</v>
      </c>
      <c r="AS674">
        <v>3</v>
      </c>
    </row>
    <row r="675" spans="1:4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 t="str">
        <f>IF(Employee_data[[#This Row],[MonthlyIncome]]&lt;5000,"Low Income",
IF(Employee_data[[#This Row],[MonthlyIncome]]&lt;10000,"Medium Income","High Income"))</f>
        <v>Low Income</v>
      </c>
      <c r="U675" t="s">
        <v>91</v>
      </c>
      <c r="V675" t="s">
        <v>91</v>
      </c>
      <c r="W675" t="s">
        <v>91</v>
      </c>
      <c r="X675" t="s">
        <v>91</v>
      </c>
      <c r="Y675">
        <v>3339</v>
      </c>
      <c r="Z675">
        <v>3</v>
      </c>
      <c r="AA675" t="s">
        <v>42</v>
      </c>
      <c r="AB675" t="s">
        <v>35</v>
      </c>
      <c r="AC675">
        <v>11</v>
      </c>
      <c r="AD675">
        <v>3</v>
      </c>
      <c r="AE675">
        <v>2</v>
      </c>
      <c r="AF675">
        <v>80</v>
      </c>
      <c r="AG675">
        <v>0</v>
      </c>
      <c r="AH6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75">
        <v>6</v>
      </c>
      <c r="AJ675" t="s">
        <v>74</v>
      </c>
      <c r="AK675">
        <v>1</v>
      </c>
      <c r="AL675" t="s">
        <v>74</v>
      </c>
      <c r="AM675">
        <v>3</v>
      </c>
      <c r="AN675" t="s">
        <v>74</v>
      </c>
      <c r="AO675">
        <v>3</v>
      </c>
      <c r="AP675" t="s">
        <v>74</v>
      </c>
      <c r="AQ675">
        <v>2</v>
      </c>
      <c r="AR675">
        <v>0</v>
      </c>
      <c r="AS675">
        <v>2</v>
      </c>
    </row>
    <row r="676" spans="1:4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 t="str">
        <f>IF(Employee_data[[#This Row],[MonthlyIncome]]&lt;5000,"Low Income",
IF(Employee_data[[#This Row],[MonthlyIncome]]&lt;10000,"Medium Income","High Income"))</f>
        <v>High Income</v>
      </c>
      <c r="U676" t="s">
        <v>90</v>
      </c>
      <c r="V676" t="s">
        <v>90</v>
      </c>
      <c r="W676" t="s">
        <v>90</v>
      </c>
      <c r="X676" t="s">
        <v>90</v>
      </c>
      <c r="Y676">
        <v>9255</v>
      </c>
      <c r="Z676">
        <v>2</v>
      </c>
      <c r="AA676" t="s">
        <v>42</v>
      </c>
      <c r="AB676" t="s">
        <v>35</v>
      </c>
      <c r="AC676">
        <v>13</v>
      </c>
      <c r="AD676">
        <v>3</v>
      </c>
      <c r="AE676">
        <v>4</v>
      </c>
      <c r="AF676">
        <v>80</v>
      </c>
      <c r="AG676">
        <v>1</v>
      </c>
      <c r="AH6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76">
        <v>24</v>
      </c>
      <c r="AJ676" t="s">
        <v>78</v>
      </c>
      <c r="AK676">
        <v>3</v>
      </c>
      <c r="AL676" t="s">
        <v>78</v>
      </c>
      <c r="AM676">
        <v>3</v>
      </c>
      <c r="AN676" t="s">
        <v>78</v>
      </c>
      <c r="AO676">
        <v>6</v>
      </c>
      <c r="AP676" t="s">
        <v>78</v>
      </c>
      <c r="AQ676">
        <v>0</v>
      </c>
      <c r="AR676">
        <v>0</v>
      </c>
      <c r="AS676">
        <v>4</v>
      </c>
    </row>
    <row r="677" spans="1:4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 t="str">
        <f>IF(Employee_data[[#This Row],[MonthlyIncome]]&lt;5000,"Low Income",
IF(Employee_data[[#This Row],[MonthlyIncome]]&lt;10000,"Medium Income","High Income"))</f>
        <v>Low Income</v>
      </c>
      <c r="U677" t="s">
        <v>91</v>
      </c>
      <c r="V677" t="s">
        <v>91</v>
      </c>
      <c r="W677" t="s">
        <v>91</v>
      </c>
      <c r="X677" t="s">
        <v>91</v>
      </c>
      <c r="Y677">
        <v>11737</v>
      </c>
      <c r="Z677">
        <v>3</v>
      </c>
      <c r="AA677" t="s">
        <v>42</v>
      </c>
      <c r="AB677" t="s">
        <v>43</v>
      </c>
      <c r="AC677">
        <v>15</v>
      </c>
      <c r="AD677">
        <v>3</v>
      </c>
      <c r="AE677">
        <v>2</v>
      </c>
      <c r="AF677">
        <v>80</v>
      </c>
      <c r="AG677">
        <v>0</v>
      </c>
      <c r="AH6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77">
        <v>13</v>
      </c>
      <c r="AJ677" t="s">
        <v>78</v>
      </c>
      <c r="AK677">
        <v>2</v>
      </c>
      <c r="AL677" t="s">
        <v>78</v>
      </c>
      <c r="AM677">
        <v>4</v>
      </c>
      <c r="AN677" t="s">
        <v>78</v>
      </c>
      <c r="AO677">
        <v>7</v>
      </c>
      <c r="AP677" t="s">
        <v>78</v>
      </c>
      <c r="AQ677">
        <v>7</v>
      </c>
      <c r="AR677">
        <v>5</v>
      </c>
      <c r="AS677">
        <v>2</v>
      </c>
    </row>
    <row r="678" spans="1:4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 t="str">
        <f>IF(Employee_data[[#This Row],[MonthlyIncome]]&lt;5000,"Low Income",
IF(Employee_data[[#This Row],[MonthlyIncome]]&lt;10000,"Medium Income","High Income"))</f>
        <v>Low Income</v>
      </c>
      <c r="U678" t="s">
        <v>91</v>
      </c>
      <c r="V678" t="s">
        <v>91</v>
      </c>
      <c r="W678" t="s">
        <v>91</v>
      </c>
      <c r="X678" t="s">
        <v>91</v>
      </c>
      <c r="Y678">
        <v>19170</v>
      </c>
      <c r="Z678">
        <v>1</v>
      </c>
      <c r="AA678" t="s">
        <v>42</v>
      </c>
      <c r="AB678" t="s">
        <v>35</v>
      </c>
      <c r="AC678">
        <v>25</v>
      </c>
      <c r="AD678">
        <v>4</v>
      </c>
      <c r="AE678">
        <v>4</v>
      </c>
      <c r="AF678">
        <v>80</v>
      </c>
      <c r="AG678">
        <v>1</v>
      </c>
      <c r="AH6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78">
        <v>10</v>
      </c>
      <c r="AJ678" t="s">
        <v>75</v>
      </c>
      <c r="AK678">
        <v>2</v>
      </c>
      <c r="AL678" t="s">
        <v>75</v>
      </c>
      <c r="AM678">
        <v>1</v>
      </c>
      <c r="AN678" t="s">
        <v>75</v>
      </c>
      <c r="AO678">
        <v>10</v>
      </c>
      <c r="AP678" t="s">
        <v>75</v>
      </c>
      <c r="AQ678">
        <v>6</v>
      </c>
      <c r="AR678">
        <v>0</v>
      </c>
      <c r="AS678">
        <v>7</v>
      </c>
    </row>
    <row r="679" spans="1:4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 t="str">
        <f>IF(Employee_data[[#This Row],[MonthlyIncome]]&lt;5000,"Low Income",
IF(Employee_data[[#This Row],[MonthlyIncome]]&lt;10000,"Medium Income","High Income"))</f>
        <v>Medium Income</v>
      </c>
      <c r="U679" t="s">
        <v>92</v>
      </c>
      <c r="V679" t="s">
        <v>92</v>
      </c>
      <c r="W679" t="s">
        <v>92</v>
      </c>
      <c r="X679" t="s">
        <v>92</v>
      </c>
      <c r="Y679">
        <v>22477</v>
      </c>
      <c r="Z679">
        <v>4</v>
      </c>
      <c r="AA679" t="s">
        <v>42</v>
      </c>
      <c r="AB679" t="s">
        <v>43</v>
      </c>
      <c r="AC679">
        <v>11</v>
      </c>
      <c r="AD679">
        <v>3</v>
      </c>
      <c r="AE679">
        <v>3</v>
      </c>
      <c r="AF679">
        <v>80</v>
      </c>
      <c r="AG679">
        <v>1</v>
      </c>
      <c r="AH6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679">
        <v>29</v>
      </c>
      <c r="AJ679" t="s">
        <v>77</v>
      </c>
      <c r="AK679">
        <v>3</v>
      </c>
      <c r="AL679" t="s">
        <v>77</v>
      </c>
      <c r="AM679">
        <v>2</v>
      </c>
      <c r="AN679" t="s">
        <v>77</v>
      </c>
      <c r="AO679">
        <v>26</v>
      </c>
      <c r="AP679" t="s">
        <v>77</v>
      </c>
      <c r="AQ679">
        <v>9</v>
      </c>
      <c r="AR679">
        <v>1</v>
      </c>
      <c r="AS679">
        <v>7</v>
      </c>
    </row>
    <row r="680" spans="1:4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 t="str">
        <f>IF(Employee_data[[#This Row],[MonthlyIncome]]&lt;5000,"Low Income",
IF(Employee_data[[#This Row],[MonthlyIncome]]&lt;10000,"Medium Income","High Income"))</f>
        <v>Low Income</v>
      </c>
      <c r="U680" t="s">
        <v>91</v>
      </c>
      <c r="V680" t="s">
        <v>91</v>
      </c>
      <c r="W680" t="s">
        <v>91</v>
      </c>
      <c r="X680" t="s">
        <v>91</v>
      </c>
      <c r="Y680">
        <v>5543</v>
      </c>
      <c r="Z680">
        <v>4</v>
      </c>
      <c r="AA680" t="s">
        <v>42</v>
      </c>
      <c r="AB680" t="s">
        <v>43</v>
      </c>
      <c r="AC680">
        <v>17</v>
      </c>
      <c r="AD680">
        <v>3</v>
      </c>
      <c r="AE680">
        <v>1</v>
      </c>
      <c r="AF680">
        <v>80</v>
      </c>
      <c r="AG680">
        <v>2</v>
      </c>
      <c r="AH6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80">
        <v>13</v>
      </c>
      <c r="AJ680" t="s">
        <v>74</v>
      </c>
      <c r="AK680">
        <v>2</v>
      </c>
      <c r="AL680" t="s">
        <v>74</v>
      </c>
      <c r="AM680">
        <v>2</v>
      </c>
      <c r="AN680" t="s">
        <v>74</v>
      </c>
      <c r="AO680">
        <v>0</v>
      </c>
      <c r="AP680" t="s">
        <v>74</v>
      </c>
      <c r="AQ680">
        <v>0</v>
      </c>
      <c r="AR680">
        <v>0</v>
      </c>
      <c r="AS680">
        <v>0</v>
      </c>
    </row>
    <row r="681" spans="1:4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 t="str">
        <f>IF(Employee_data[[#This Row],[MonthlyIncome]]&lt;5000,"Low Income",
IF(Employee_data[[#This Row],[MonthlyIncome]]&lt;10000,"Medium Income","High Income"))</f>
        <v>Medium Income</v>
      </c>
      <c r="U681" t="s">
        <v>92</v>
      </c>
      <c r="V681" t="s">
        <v>92</v>
      </c>
      <c r="W681" t="s">
        <v>92</v>
      </c>
      <c r="X681" t="s">
        <v>92</v>
      </c>
      <c r="Y681">
        <v>24406</v>
      </c>
      <c r="Z681">
        <v>1</v>
      </c>
      <c r="AA681" t="s">
        <v>42</v>
      </c>
      <c r="AB681" t="s">
        <v>43</v>
      </c>
      <c r="AC681">
        <v>13</v>
      </c>
      <c r="AD681">
        <v>3</v>
      </c>
      <c r="AE681">
        <v>4</v>
      </c>
      <c r="AF681">
        <v>80</v>
      </c>
      <c r="AG681">
        <v>1</v>
      </c>
      <c r="AH6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81">
        <v>9</v>
      </c>
      <c r="AJ681" t="s">
        <v>78</v>
      </c>
      <c r="AK681">
        <v>2</v>
      </c>
      <c r="AL681" t="s">
        <v>78</v>
      </c>
      <c r="AM681">
        <v>2</v>
      </c>
      <c r="AN681" t="s">
        <v>78</v>
      </c>
      <c r="AO681">
        <v>9</v>
      </c>
      <c r="AP681" t="s">
        <v>78</v>
      </c>
      <c r="AQ681">
        <v>8</v>
      </c>
      <c r="AR681">
        <v>0</v>
      </c>
      <c r="AS681">
        <v>0</v>
      </c>
    </row>
    <row r="682" spans="1:4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 t="str">
        <f>IF(Employee_data[[#This Row],[MonthlyIncome]]&lt;5000,"Low Income",
IF(Employee_data[[#This Row],[MonthlyIncome]]&lt;10000,"Medium Income","High Income"))</f>
        <v>Low Income</v>
      </c>
      <c r="U682" t="s">
        <v>91</v>
      </c>
      <c r="V682" t="s">
        <v>91</v>
      </c>
      <c r="W682" t="s">
        <v>91</v>
      </c>
      <c r="X682" t="s">
        <v>91</v>
      </c>
      <c r="Y682">
        <v>23293</v>
      </c>
      <c r="Z682">
        <v>2</v>
      </c>
      <c r="AA682" t="s">
        <v>42</v>
      </c>
      <c r="AB682" t="s">
        <v>43</v>
      </c>
      <c r="AC682">
        <v>18</v>
      </c>
      <c r="AD682">
        <v>3</v>
      </c>
      <c r="AE682">
        <v>3</v>
      </c>
      <c r="AF682">
        <v>80</v>
      </c>
      <c r="AG682">
        <v>0</v>
      </c>
      <c r="AH6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82">
        <v>8</v>
      </c>
      <c r="AJ682" t="s">
        <v>78</v>
      </c>
      <c r="AK682">
        <v>6</v>
      </c>
      <c r="AL682" t="s">
        <v>78</v>
      </c>
      <c r="AM682">
        <v>3</v>
      </c>
      <c r="AN682" t="s">
        <v>78</v>
      </c>
      <c r="AO682">
        <v>6</v>
      </c>
      <c r="AP682" t="s">
        <v>78</v>
      </c>
      <c r="AQ682">
        <v>2</v>
      </c>
      <c r="AR682">
        <v>0</v>
      </c>
      <c r="AS682">
        <v>1</v>
      </c>
    </row>
    <row r="683" spans="1:4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 t="str">
        <f>IF(Employee_data[[#This Row],[MonthlyIncome]]&lt;5000,"Low Income",
IF(Employee_data[[#This Row],[MonthlyIncome]]&lt;10000,"Medium Income","High Income"))</f>
        <v>High Income</v>
      </c>
      <c r="U683" t="s">
        <v>90</v>
      </c>
      <c r="V683" t="s">
        <v>90</v>
      </c>
      <c r="W683" t="s">
        <v>90</v>
      </c>
      <c r="X683" t="s">
        <v>90</v>
      </c>
      <c r="Y683">
        <v>16292</v>
      </c>
      <c r="Z683">
        <v>1</v>
      </c>
      <c r="AA683" t="s">
        <v>42</v>
      </c>
      <c r="AB683" t="s">
        <v>43</v>
      </c>
      <c r="AC683">
        <v>13</v>
      </c>
      <c r="AD683">
        <v>3</v>
      </c>
      <c r="AE683">
        <v>2</v>
      </c>
      <c r="AF683">
        <v>80</v>
      </c>
      <c r="AG683">
        <v>1</v>
      </c>
      <c r="AH6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683">
        <v>15</v>
      </c>
      <c r="AJ683" t="s">
        <v>76</v>
      </c>
      <c r="AK683">
        <v>3</v>
      </c>
      <c r="AL683" t="s">
        <v>76</v>
      </c>
      <c r="AM683">
        <v>3</v>
      </c>
      <c r="AN683" t="s">
        <v>76</v>
      </c>
      <c r="AO683">
        <v>15</v>
      </c>
      <c r="AP683" t="s">
        <v>76</v>
      </c>
      <c r="AQ683">
        <v>12</v>
      </c>
      <c r="AR683">
        <v>5</v>
      </c>
      <c r="AS683">
        <v>11</v>
      </c>
    </row>
    <row r="684" spans="1:4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 t="str">
        <f>IF(Employee_data[[#This Row],[MonthlyIncome]]&lt;5000,"Low Income",
IF(Employee_data[[#This Row],[MonthlyIncome]]&lt;10000,"Medium Income","High Income"))</f>
        <v>Low Income</v>
      </c>
      <c r="U684" t="s">
        <v>91</v>
      </c>
      <c r="V684" t="s">
        <v>91</v>
      </c>
      <c r="W684" t="s">
        <v>91</v>
      </c>
      <c r="X684" t="s">
        <v>91</v>
      </c>
      <c r="Y684">
        <v>3974</v>
      </c>
      <c r="Z684">
        <v>6</v>
      </c>
      <c r="AA684" t="s">
        <v>42</v>
      </c>
      <c r="AB684" t="s">
        <v>43</v>
      </c>
      <c r="AC684">
        <v>20</v>
      </c>
      <c r="AD684">
        <v>4</v>
      </c>
      <c r="AE684">
        <v>3</v>
      </c>
      <c r="AF684">
        <v>80</v>
      </c>
      <c r="AG684">
        <v>0</v>
      </c>
      <c r="AH6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84">
        <v>5</v>
      </c>
      <c r="AJ684" t="s">
        <v>74</v>
      </c>
      <c r="AK684">
        <v>3</v>
      </c>
      <c r="AL684" t="s">
        <v>74</v>
      </c>
      <c r="AM684">
        <v>3</v>
      </c>
      <c r="AN684" t="s">
        <v>74</v>
      </c>
      <c r="AO684">
        <v>3</v>
      </c>
      <c r="AP684" t="s">
        <v>74</v>
      </c>
      <c r="AQ684">
        <v>0</v>
      </c>
      <c r="AR684">
        <v>0</v>
      </c>
      <c r="AS684">
        <v>2</v>
      </c>
    </row>
    <row r="685" spans="1:4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 t="str">
        <f>IF(Employee_data[[#This Row],[MonthlyIncome]]&lt;5000,"Low Income",
IF(Employee_data[[#This Row],[MonthlyIncome]]&lt;10000,"Medium Income","High Income"))</f>
        <v>Low Income</v>
      </c>
      <c r="U685" t="s">
        <v>91</v>
      </c>
      <c r="V685" t="s">
        <v>91</v>
      </c>
      <c r="W685" t="s">
        <v>91</v>
      </c>
      <c r="X685" t="s">
        <v>91</v>
      </c>
      <c r="Y685">
        <v>18798</v>
      </c>
      <c r="Z685">
        <v>1</v>
      </c>
      <c r="AA685" t="s">
        <v>42</v>
      </c>
      <c r="AB685" t="s">
        <v>35</v>
      </c>
      <c r="AC685">
        <v>18</v>
      </c>
      <c r="AD685">
        <v>3</v>
      </c>
      <c r="AE685">
        <v>3</v>
      </c>
      <c r="AF685">
        <v>80</v>
      </c>
      <c r="AG685">
        <v>3</v>
      </c>
      <c r="AH6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85">
        <v>1</v>
      </c>
      <c r="AJ685" t="s">
        <v>74</v>
      </c>
      <c r="AK685">
        <v>2</v>
      </c>
      <c r="AL685" t="s">
        <v>74</v>
      </c>
      <c r="AM685">
        <v>3</v>
      </c>
      <c r="AN685" t="s">
        <v>74</v>
      </c>
      <c r="AO685">
        <v>1</v>
      </c>
      <c r="AP685" t="s">
        <v>74</v>
      </c>
      <c r="AQ685">
        <v>0</v>
      </c>
      <c r="AR685">
        <v>0</v>
      </c>
      <c r="AS685">
        <v>0</v>
      </c>
    </row>
    <row r="686" spans="1:4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 t="str">
        <f>IF(Employee_data[[#This Row],[MonthlyIncome]]&lt;5000,"Low Income",
IF(Employee_data[[#This Row],[MonthlyIncome]]&lt;10000,"Medium Income","High Income"))</f>
        <v>Medium Income</v>
      </c>
      <c r="U686" t="s">
        <v>92</v>
      </c>
      <c r="V686" t="s">
        <v>92</v>
      </c>
      <c r="W686" t="s">
        <v>92</v>
      </c>
      <c r="X686" t="s">
        <v>92</v>
      </c>
      <c r="Y686">
        <v>20652</v>
      </c>
      <c r="Z686">
        <v>2</v>
      </c>
      <c r="AA686" t="s">
        <v>42</v>
      </c>
      <c r="AB686" t="s">
        <v>43</v>
      </c>
      <c r="AC686">
        <v>12</v>
      </c>
      <c r="AD686">
        <v>3</v>
      </c>
      <c r="AE686">
        <v>2</v>
      </c>
      <c r="AF686">
        <v>80</v>
      </c>
      <c r="AG686">
        <v>1</v>
      </c>
      <c r="AH6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86">
        <v>11</v>
      </c>
      <c r="AJ686" t="s">
        <v>74</v>
      </c>
      <c r="AK686">
        <v>2</v>
      </c>
      <c r="AL686" t="s">
        <v>74</v>
      </c>
      <c r="AM686">
        <v>2</v>
      </c>
      <c r="AN686" t="s">
        <v>74</v>
      </c>
      <c r="AO686">
        <v>1</v>
      </c>
      <c r="AP686" t="s">
        <v>74</v>
      </c>
      <c r="AQ686">
        <v>0</v>
      </c>
      <c r="AR686">
        <v>0</v>
      </c>
      <c r="AS686">
        <v>0</v>
      </c>
    </row>
    <row r="687" spans="1:4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 t="str">
        <f>IF(Employee_data[[#This Row],[MonthlyIncome]]&lt;5000,"Low Income",
IF(Employee_data[[#This Row],[MonthlyIncome]]&lt;10000,"Medium Income","High Income"))</f>
        <v>Low Income</v>
      </c>
      <c r="U687" t="s">
        <v>91</v>
      </c>
      <c r="V687" t="s">
        <v>91</v>
      </c>
      <c r="W687" t="s">
        <v>91</v>
      </c>
      <c r="X687" t="s">
        <v>91</v>
      </c>
      <c r="Y687">
        <v>11148</v>
      </c>
      <c r="Z687">
        <v>1</v>
      </c>
      <c r="AA687" t="s">
        <v>42</v>
      </c>
      <c r="AB687" t="s">
        <v>43</v>
      </c>
      <c r="AC687">
        <v>12</v>
      </c>
      <c r="AD687">
        <v>3</v>
      </c>
      <c r="AE687">
        <v>2</v>
      </c>
      <c r="AF687">
        <v>80</v>
      </c>
      <c r="AG687">
        <v>0</v>
      </c>
      <c r="AH6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87">
        <v>7</v>
      </c>
      <c r="AJ687" t="s">
        <v>78</v>
      </c>
      <c r="AK687">
        <v>2</v>
      </c>
      <c r="AL687" t="s">
        <v>78</v>
      </c>
      <c r="AM687">
        <v>3</v>
      </c>
      <c r="AN687" t="s">
        <v>78</v>
      </c>
      <c r="AO687">
        <v>7</v>
      </c>
      <c r="AP687" t="s">
        <v>78</v>
      </c>
      <c r="AQ687">
        <v>7</v>
      </c>
      <c r="AR687">
        <v>0</v>
      </c>
      <c r="AS687">
        <v>7</v>
      </c>
    </row>
    <row r="688" spans="1:4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 t="str">
        <f>IF(Employee_data[[#This Row],[MonthlyIncome]]&lt;5000,"Low Income",
IF(Employee_data[[#This Row],[MonthlyIncome]]&lt;10000,"Medium Income","High Income"))</f>
        <v>Low Income</v>
      </c>
      <c r="U688" t="s">
        <v>91</v>
      </c>
      <c r="V688" t="s">
        <v>91</v>
      </c>
      <c r="W688" t="s">
        <v>91</v>
      </c>
      <c r="X688" t="s">
        <v>91</v>
      </c>
      <c r="Y688">
        <v>3119</v>
      </c>
      <c r="Z688">
        <v>2</v>
      </c>
      <c r="AA688" t="s">
        <v>42</v>
      </c>
      <c r="AB688" t="s">
        <v>35</v>
      </c>
      <c r="AC688">
        <v>13</v>
      </c>
      <c r="AD688">
        <v>3</v>
      </c>
      <c r="AE688">
        <v>3</v>
      </c>
      <c r="AF688">
        <v>80</v>
      </c>
      <c r="AG688">
        <v>0</v>
      </c>
      <c r="AH6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688">
        <v>20</v>
      </c>
      <c r="AJ688" t="s">
        <v>76</v>
      </c>
      <c r="AK688">
        <v>3</v>
      </c>
      <c r="AL688" t="s">
        <v>76</v>
      </c>
      <c r="AM688">
        <v>3</v>
      </c>
      <c r="AN688" t="s">
        <v>76</v>
      </c>
      <c r="AO688">
        <v>18</v>
      </c>
      <c r="AP688" t="s">
        <v>76</v>
      </c>
      <c r="AQ688">
        <v>13</v>
      </c>
      <c r="AR688">
        <v>2</v>
      </c>
      <c r="AS688">
        <v>17</v>
      </c>
    </row>
    <row r="689" spans="1:4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 t="str">
        <f>IF(Employee_data[[#This Row],[MonthlyIncome]]&lt;5000,"Low Income",
IF(Employee_data[[#This Row],[MonthlyIncome]]&lt;10000,"Medium Income","High Income"))</f>
        <v>Low Income</v>
      </c>
      <c r="U689" t="s">
        <v>91</v>
      </c>
      <c r="V689" t="s">
        <v>91</v>
      </c>
      <c r="W689" t="s">
        <v>91</v>
      </c>
      <c r="X689" t="s">
        <v>91</v>
      </c>
      <c r="Y689">
        <v>12287</v>
      </c>
      <c r="Z689">
        <v>4</v>
      </c>
      <c r="AA689" t="s">
        <v>42</v>
      </c>
      <c r="AB689" t="s">
        <v>43</v>
      </c>
      <c r="AC689">
        <v>21</v>
      </c>
      <c r="AD689">
        <v>4</v>
      </c>
      <c r="AE689">
        <v>3</v>
      </c>
      <c r="AF689">
        <v>80</v>
      </c>
      <c r="AG689">
        <v>0</v>
      </c>
      <c r="AH6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89">
        <v>16</v>
      </c>
      <c r="AJ689" t="s">
        <v>75</v>
      </c>
      <c r="AK689">
        <v>6</v>
      </c>
      <c r="AL689" t="s">
        <v>75</v>
      </c>
      <c r="AM689">
        <v>3</v>
      </c>
      <c r="AN689" t="s">
        <v>75</v>
      </c>
      <c r="AO689">
        <v>11</v>
      </c>
      <c r="AP689" t="s">
        <v>75</v>
      </c>
      <c r="AQ689">
        <v>8</v>
      </c>
      <c r="AR689">
        <v>3</v>
      </c>
      <c r="AS689">
        <v>9</v>
      </c>
    </row>
    <row r="690" spans="1:4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 t="str">
        <f>IF(Employee_data[[#This Row],[MonthlyIncome]]&lt;5000,"Low Income",
IF(Employee_data[[#This Row],[MonthlyIncome]]&lt;10000,"Medium Income","High Income"))</f>
        <v>Low Income</v>
      </c>
      <c r="U690" t="s">
        <v>91</v>
      </c>
      <c r="V690" t="s">
        <v>91</v>
      </c>
      <c r="W690" t="s">
        <v>91</v>
      </c>
      <c r="X690" t="s">
        <v>91</v>
      </c>
      <c r="Y690">
        <v>9947</v>
      </c>
      <c r="Z690">
        <v>1</v>
      </c>
      <c r="AA690" t="s">
        <v>42</v>
      </c>
      <c r="AB690" t="s">
        <v>35</v>
      </c>
      <c r="AC690">
        <v>13</v>
      </c>
      <c r="AD690">
        <v>3</v>
      </c>
      <c r="AE690">
        <v>2</v>
      </c>
      <c r="AF690">
        <v>80</v>
      </c>
      <c r="AG690">
        <v>0</v>
      </c>
      <c r="AH6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90">
        <v>1</v>
      </c>
      <c r="AJ690" t="s">
        <v>74</v>
      </c>
      <c r="AK690">
        <v>3</v>
      </c>
      <c r="AL690" t="s">
        <v>74</v>
      </c>
      <c r="AM690">
        <v>4</v>
      </c>
      <c r="AN690" t="s">
        <v>74</v>
      </c>
      <c r="AO690">
        <v>1</v>
      </c>
      <c r="AP690" t="s">
        <v>74</v>
      </c>
      <c r="AQ690">
        <v>0</v>
      </c>
      <c r="AR690">
        <v>0</v>
      </c>
      <c r="AS690">
        <v>0</v>
      </c>
    </row>
    <row r="691" spans="1:4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 t="str">
        <f>IF(Employee_data[[#This Row],[MonthlyIncome]]&lt;5000,"Low Income",
IF(Employee_data[[#This Row],[MonthlyIncome]]&lt;10000,"Medium Income","High Income"))</f>
        <v>Low Income</v>
      </c>
      <c r="U691" t="s">
        <v>91</v>
      </c>
      <c r="V691" t="s">
        <v>91</v>
      </c>
      <c r="W691" t="s">
        <v>91</v>
      </c>
      <c r="X691" t="s">
        <v>91</v>
      </c>
      <c r="Y691">
        <v>13008</v>
      </c>
      <c r="Z691">
        <v>1</v>
      </c>
      <c r="AA691" t="s">
        <v>42</v>
      </c>
      <c r="AB691" t="s">
        <v>43</v>
      </c>
      <c r="AC691">
        <v>19</v>
      </c>
      <c r="AD691">
        <v>3</v>
      </c>
      <c r="AE691">
        <v>2</v>
      </c>
      <c r="AF691">
        <v>80</v>
      </c>
      <c r="AG691">
        <v>0</v>
      </c>
      <c r="AH6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91">
        <v>1</v>
      </c>
      <c r="AJ691" t="s">
        <v>74</v>
      </c>
      <c r="AK691">
        <v>2</v>
      </c>
      <c r="AL691" t="s">
        <v>74</v>
      </c>
      <c r="AM691">
        <v>3</v>
      </c>
      <c r="AN691" t="s">
        <v>74</v>
      </c>
      <c r="AO691">
        <v>1</v>
      </c>
      <c r="AP691" t="s">
        <v>74</v>
      </c>
      <c r="AQ691">
        <v>0</v>
      </c>
      <c r="AR691">
        <v>0</v>
      </c>
      <c r="AS691">
        <v>0</v>
      </c>
    </row>
    <row r="692" spans="1:4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 t="str">
        <f>IF(Employee_data[[#This Row],[MonthlyIncome]]&lt;5000,"Low Income",
IF(Employee_data[[#This Row],[MonthlyIncome]]&lt;10000,"Medium Income","High Income"))</f>
        <v>Medium Income</v>
      </c>
      <c r="U692" t="s">
        <v>92</v>
      </c>
      <c r="V692" t="s">
        <v>92</v>
      </c>
      <c r="W692" t="s">
        <v>92</v>
      </c>
      <c r="X692" t="s">
        <v>92</v>
      </c>
      <c r="Y692">
        <v>17369</v>
      </c>
      <c r="Z692">
        <v>0</v>
      </c>
      <c r="AA692" t="s">
        <v>42</v>
      </c>
      <c r="AB692" t="s">
        <v>35</v>
      </c>
      <c r="AC692">
        <v>11</v>
      </c>
      <c r="AD692">
        <v>3</v>
      </c>
      <c r="AE692">
        <v>3</v>
      </c>
      <c r="AF692">
        <v>80</v>
      </c>
      <c r="AG692">
        <v>2</v>
      </c>
      <c r="AH6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92">
        <v>10</v>
      </c>
      <c r="AJ692" t="s">
        <v>78</v>
      </c>
      <c r="AK692">
        <v>2</v>
      </c>
      <c r="AL692" t="s">
        <v>78</v>
      </c>
      <c r="AM692">
        <v>1</v>
      </c>
      <c r="AN692" t="s">
        <v>78</v>
      </c>
      <c r="AO692">
        <v>9</v>
      </c>
      <c r="AP692" t="s">
        <v>78</v>
      </c>
      <c r="AQ692">
        <v>7</v>
      </c>
      <c r="AR692">
        <v>8</v>
      </c>
      <c r="AS692">
        <v>5</v>
      </c>
    </row>
    <row r="693" spans="1:4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 t="str">
        <f>IF(Employee_data[[#This Row],[MonthlyIncome]]&lt;5000,"Low Income",
IF(Employee_data[[#This Row],[MonthlyIncome]]&lt;10000,"Medium Income","High Income"))</f>
        <v>Low Income</v>
      </c>
      <c r="U693" t="s">
        <v>91</v>
      </c>
      <c r="V693" t="s">
        <v>91</v>
      </c>
      <c r="W693" t="s">
        <v>91</v>
      </c>
      <c r="X693" t="s">
        <v>91</v>
      </c>
      <c r="Y693">
        <v>25063</v>
      </c>
      <c r="Z693">
        <v>8</v>
      </c>
      <c r="AA693" t="s">
        <v>42</v>
      </c>
      <c r="AB693" t="s">
        <v>35</v>
      </c>
      <c r="AC693">
        <v>14</v>
      </c>
      <c r="AD693">
        <v>3</v>
      </c>
      <c r="AE693">
        <v>4</v>
      </c>
      <c r="AF693">
        <v>80</v>
      </c>
      <c r="AG693">
        <v>1</v>
      </c>
      <c r="AH6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93">
        <v>3</v>
      </c>
      <c r="AJ693" t="s">
        <v>74</v>
      </c>
      <c r="AK693">
        <v>2</v>
      </c>
      <c r="AL693" t="s">
        <v>74</v>
      </c>
      <c r="AM693">
        <v>3</v>
      </c>
      <c r="AN693" t="s">
        <v>74</v>
      </c>
      <c r="AO693">
        <v>1</v>
      </c>
      <c r="AP693" t="s">
        <v>74</v>
      </c>
      <c r="AQ693">
        <v>1</v>
      </c>
      <c r="AR693">
        <v>0</v>
      </c>
      <c r="AS693">
        <v>0</v>
      </c>
    </row>
    <row r="694" spans="1:4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 t="str">
        <f>IF(Employee_data[[#This Row],[MonthlyIncome]]&lt;5000,"Low Income",
IF(Employee_data[[#This Row],[MonthlyIncome]]&lt;10000,"Medium Income","High Income"))</f>
        <v>Medium Income</v>
      </c>
      <c r="U694" t="s">
        <v>92</v>
      </c>
      <c r="V694" t="s">
        <v>92</v>
      </c>
      <c r="W694" t="s">
        <v>92</v>
      </c>
      <c r="X694" t="s">
        <v>92</v>
      </c>
      <c r="Y694">
        <v>13554</v>
      </c>
      <c r="Z694">
        <v>1</v>
      </c>
      <c r="AA694" t="s">
        <v>42</v>
      </c>
      <c r="AB694" t="s">
        <v>43</v>
      </c>
      <c r="AC694">
        <v>12</v>
      </c>
      <c r="AD694">
        <v>3</v>
      </c>
      <c r="AE694">
        <v>3</v>
      </c>
      <c r="AF694">
        <v>80</v>
      </c>
      <c r="AG694">
        <v>1</v>
      </c>
      <c r="AH6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94">
        <v>8</v>
      </c>
      <c r="AJ694" t="s">
        <v>78</v>
      </c>
      <c r="AK694">
        <v>2</v>
      </c>
      <c r="AL694" t="s">
        <v>78</v>
      </c>
      <c r="AM694">
        <v>4</v>
      </c>
      <c r="AN694" t="s">
        <v>78</v>
      </c>
      <c r="AO694">
        <v>8</v>
      </c>
      <c r="AP694" t="s">
        <v>78</v>
      </c>
      <c r="AQ694">
        <v>7</v>
      </c>
      <c r="AR694">
        <v>6</v>
      </c>
      <c r="AS694">
        <v>3</v>
      </c>
    </row>
    <row r="695" spans="1:4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 t="str">
        <f>IF(Employee_data[[#This Row],[MonthlyIncome]]&lt;5000,"Low Income",
IF(Employee_data[[#This Row],[MonthlyIncome]]&lt;10000,"Medium Income","High Income"))</f>
        <v>High Income</v>
      </c>
      <c r="U695" t="s">
        <v>90</v>
      </c>
      <c r="V695" t="s">
        <v>90</v>
      </c>
      <c r="W695" t="s">
        <v>90</v>
      </c>
      <c r="X695" t="s">
        <v>90</v>
      </c>
      <c r="Y695">
        <v>5518</v>
      </c>
      <c r="Z695">
        <v>1</v>
      </c>
      <c r="AA695" t="s">
        <v>42</v>
      </c>
      <c r="AB695" t="s">
        <v>35</v>
      </c>
      <c r="AC695">
        <v>11</v>
      </c>
      <c r="AD695">
        <v>3</v>
      </c>
      <c r="AE695">
        <v>1</v>
      </c>
      <c r="AF695">
        <v>80</v>
      </c>
      <c r="AG695">
        <v>1</v>
      </c>
      <c r="AH6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695">
        <v>16</v>
      </c>
      <c r="AJ695" t="s">
        <v>76</v>
      </c>
      <c r="AK695">
        <v>6</v>
      </c>
      <c r="AL695" t="s">
        <v>76</v>
      </c>
      <c r="AM695">
        <v>3</v>
      </c>
      <c r="AN695" t="s">
        <v>76</v>
      </c>
      <c r="AO695">
        <v>16</v>
      </c>
      <c r="AP695" t="s">
        <v>76</v>
      </c>
      <c r="AQ695">
        <v>7</v>
      </c>
      <c r="AR695">
        <v>3</v>
      </c>
      <c r="AS695">
        <v>7</v>
      </c>
    </row>
    <row r="696" spans="1:4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 t="str">
        <f>IF(Employee_data[[#This Row],[MonthlyIncome]]&lt;5000,"Low Income",
IF(Employee_data[[#This Row],[MonthlyIncome]]&lt;10000,"Medium Income","High Income"))</f>
        <v>Medium Income</v>
      </c>
      <c r="U696" t="s">
        <v>92</v>
      </c>
      <c r="V696" t="s">
        <v>92</v>
      </c>
      <c r="W696" t="s">
        <v>92</v>
      </c>
      <c r="X696" t="s">
        <v>92</v>
      </c>
      <c r="Y696">
        <v>12291</v>
      </c>
      <c r="Z696">
        <v>0</v>
      </c>
      <c r="AA696" t="s">
        <v>42</v>
      </c>
      <c r="AB696" t="s">
        <v>43</v>
      </c>
      <c r="AC696">
        <v>14</v>
      </c>
      <c r="AD696">
        <v>3</v>
      </c>
      <c r="AE696">
        <v>1</v>
      </c>
      <c r="AF696">
        <v>80</v>
      </c>
      <c r="AG696">
        <v>0</v>
      </c>
      <c r="AH6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96">
        <v>6</v>
      </c>
      <c r="AJ696" t="s">
        <v>78</v>
      </c>
      <c r="AK696">
        <v>3</v>
      </c>
      <c r="AL696" t="s">
        <v>78</v>
      </c>
      <c r="AM696">
        <v>3</v>
      </c>
      <c r="AN696" t="s">
        <v>78</v>
      </c>
      <c r="AO696">
        <v>5</v>
      </c>
      <c r="AP696" t="s">
        <v>78</v>
      </c>
      <c r="AQ696">
        <v>0</v>
      </c>
      <c r="AR696">
        <v>1</v>
      </c>
      <c r="AS696">
        <v>4</v>
      </c>
    </row>
    <row r="697" spans="1:4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 t="str">
        <f>IF(Employee_data[[#This Row],[MonthlyIncome]]&lt;5000,"Low Income",
IF(Employee_data[[#This Row],[MonthlyIncome]]&lt;10000,"Medium Income","High Income"))</f>
        <v>High Income</v>
      </c>
      <c r="U697" t="s">
        <v>90</v>
      </c>
      <c r="V697" t="s">
        <v>90</v>
      </c>
      <c r="W697" t="s">
        <v>90</v>
      </c>
      <c r="X697" t="s">
        <v>90</v>
      </c>
      <c r="Y697">
        <v>14922</v>
      </c>
      <c r="Z697">
        <v>5</v>
      </c>
      <c r="AA697" t="s">
        <v>42</v>
      </c>
      <c r="AB697" t="s">
        <v>43</v>
      </c>
      <c r="AC697">
        <v>11</v>
      </c>
      <c r="AD697">
        <v>3</v>
      </c>
      <c r="AE697">
        <v>3</v>
      </c>
      <c r="AF697">
        <v>80</v>
      </c>
      <c r="AG697">
        <v>0</v>
      </c>
      <c r="AH6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697">
        <v>17</v>
      </c>
      <c r="AJ697" t="s">
        <v>75</v>
      </c>
      <c r="AK697">
        <v>2</v>
      </c>
      <c r="AL697" t="s">
        <v>75</v>
      </c>
      <c r="AM697">
        <v>1</v>
      </c>
      <c r="AN697" t="s">
        <v>75</v>
      </c>
      <c r="AO697">
        <v>14</v>
      </c>
      <c r="AP697" t="s">
        <v>75</v>
      </c>
      <c r="AQ697">
        <v>1</v>
      </c>
      <c r="AR697">
        <v>11</v>
      </c>
      <c r="AS697">
        <v>7</v>
      </c>
    </row>
    <row r="698" spans="1:4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 t="str">
        <f>IF(Employee_data[[#This Row],[MonthlyIncome]]&lt;5000,"Low Income",
IF(Employee_data[[#This Row],[MonthlyIncome]]&lt;10000,"Medium Income","High Income"))</f>
        <v>Low Income</v>
      </c>
      <c r="U698" t="s">
        <v>91</v>
      </c>
      <c r="V698" t="s">
        <v>91</v>
      </c>
      <c r="W698" t="s">
        <v>91</v>
      </c>
      <c r="X698" t="s">
        <v>91</v>
      </c>
      <c r="Y698">
        <v>23163</v>
      </c>
      <c r="Z698">
        <v>1</v>
      </c>
      <c r="AA698" t="s">
        <v>42</v>
      </c>
      <c r="AB698" t="s">
        <v>43</v>
      </c>
      <c r="AC698">
        <v>12</v>
      </c>
      <c r="AD698">
        <v>3</v>
      </c>
      <c r="AE698">
        <v>2</v>
      </c>
      <c r="AF698">
        <v>80</v>
      </c>
      <c r="AG698">
        <v>0</v>
      </c>
      <c r="AH6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698">
        <v>9</v>
      </c>
      <c r="AJ698" t="s">
        <v>78</v>
      </c>
      <c r="AK698">
        <v>5</v>
      </c>
      <c r="AL698" t="s">
        <v>78</v>
      </c>
      <c r="AM698">
        <v>2</v>
      </c>
      <c r="AN698" t="s">
        <v>78</v>
      </c>
      <c r="AO698">
        <v>9</v>
      </c>
      <c r="AP698" t="s">
        <v>78</v>
      </c>
      <c r="AQ698">
        <v>7</v>
      </c>
      <c r="AR698">
        <v>0</v>
      </c>
      <c r="AS698">
        <v>8</v>
      </c>
    </row>
    <row r="699" spans="1:4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 t="str">
        <f>IF(Employee_data[[#This Row],[MonthlyIncome]]&lt;5000,"Low Income",
IF(Employee_data[[#This Row],[MonthlyIncome]]&lt;10000,"Medium Income","High Income"))</f>
        <v>Low Income</v>
      </c>
      <c r="U699" t="s">
        <v>91</v>
      </c>
      <c r="V699" t="s">
        <v>91</v>
      </c>
      <c r="W699" t="s">
        <v>91</v>
      </c>
      <c r="X699" t="s">
        <v>91</v>
      </c>
      <c r="Y699">
        <v>18203</v>
      </c>
      <c r="Z699">
        <v>1</v>
      </c>
      <c r="AA699" t="s">
        <v>42</v>
      </c>
      <c r="AB699" t="s">
        <v>43</v>
      </c>
      <c r="AC699">
        <v>15</v>
      </c>
      <c r="AD699">
        <v>3</v>
      </c>
      <c r="AE699">
        <v>2</v>
      </c>
      <c r="AF699">
        <v>80</v>
      </c>
      <c r="AG699">
        <v>1</v>
      </c>
      <c r="AH6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699">
        <v>3</v>
      </c>
      <c r="AJ699" t="s">
        <v>74</v>
      </c>
      <c r="AK699">
        <v>5</v>
      </c>
      <c r="AL699" t="s">
        <v>74</v>
      </c>
      <c r="AM699">
        <v>3</v>
      </c>
      <c r="AN699" t="s">
        <v>74</v>
      </c>
      <c r="AO699">
        <v>3</v>
      </c>
      <c r="AP699" t="s">
        <v>74</v>
      </c>
      <c r="AQ699">
        <v>1</v>
      </c>
      <c r="AR699">
        <v>0</v>
      </c>
      <c r="AS699">
        <v>2</v>
      </c>
    </row>
    <row r="700" spans="1:4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 t="str">
        <f>IF(Employee_data[[#This Row],[MonthlyIncome]]&lt;5000,"Low Income",
IF(Employee_data[[#This Row],[MonthlyIncome]]&lt;10000,"Medium Income","High Income"))</f>
        <v>Low Income</v>
      </c>
      <c r="U700" t="s">
        <v>91</v>
      </c>
      <c r="V700" t="s">
        <v>91</v>
      </c>
      <c r="W700" t="s">
        <v>91</v>
      </c>
      <c r="X700" t="s">
        <v>91</v>
      </c>
      <c r="Y700">
        <v>6179</v>
      </c>
      <c r="Z700">
        <v>1</v>
      </c>
      <c r="AA700" t="s">
        <v>42</v>
      </c>
      <c r="AB700" t="s">
        <v>43</v>
      </c>
      <c r="AC700">
        <v>16</v>
      </c>
      <c r="AD700">
        <v>3</v>
      </c>
      <c r="AE700">
        <v>2</v>
      </c>
      <c r="AF700">
        <v>80</v>
      </c>
      <c r="AG700">
        <v>0</v>
      </c>
      <c r="AH7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00">
        <v>5</v>
      </c>
      <c r="AJ700" t="s">
        <v>78</v>
      </c>
      <c r="AK700">
        <v>3</v>
      </c>
      <c r="AL700" t="s">
        <v>78</v>
      </c>
      <c r="AM700">
        <v>3</v>
      </c>
      <c r="AN700" t="s">
        <v>78</v>
      </c>
      <c r="AO700">
        <v>5</v>
      </c>
      <c r="AP700" t="s">
        <v>78</v>
      </c>
      <c r="AQ700">
        <v>2</v>
      </c>
      <c r="AR700">
        <v>1</v>
      </c>
      <c r="AS700">
        <v>0</v>
      </c>
    </row>
    <row r="701" spans="1:4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 t="str">
        <f>IF(Employee_data[[#This Row],[MonthlyIncome]]&lt;5000,"Low Income",
IF(Employee_data[[#This Row],[MonthlyIncome]]&lt;10000,"Medium Income","High Income"))</f>
        <v>High Income</v>
      </c>
      <c r="U701" t="s">
        <v>90</v>
      </c>
      <c r="V701" t="s">
        <v>90</v>
      </c>
      <c r="W701" t="s">
        <v>90</v>
      </c>
      <c r="X701" t="s">
        <v>90</v>
      </c>
      <c r="Y701">
        <v>13829</v>
      </c>
      <c r="Z701">
        <v>2</v>
      </c>
      <c r="AA701" t="s">
        <v>42</v>
      </c>
      <c r="AB701" t="s">
        <v>43</v>
      </c>
      <c r="AC701">
        <v>15</v>
      </c>
      <c r="AD701">
        <v>3</v>
      </c>
      <c r="AE701">
        <v>2</v>
      </c>
      <c r="AF701">
        <v>80</v>
      </c>
      <c r="AG701">
        <v>1</v>
      </c>
      <c r="AH7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01">
        <v>26</v>
      </c>
      <c r="AJ701" t="s">
        <v>78</v>
      </c>
      <c r="AK701">
        <v>2</v>
      </c>
      <c r="AL701" t="s">
        <v>78</v>
      </c>
      <c r="AM701">
        <v>2</v>
      </c>
      <c r="AN701" t="s">
        <v>78</v>
      </c>
      <c r="AO701">
        <v>9</v>
      </c>
      <c r="AP701" t="s">
        <v>78</v>
      </c>
      <c r="AQ701">
        <v>8</v>
      </c>
      <c r="AR701">
        <v>7</v>
      </c>
      <c r="AS701">
        <v>8</v>
      </c>
    </row>
    <row r="702" spans="1:4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 t="str">
        <f>IF(Employee_data[[#This Row],[MonthlyIncome]]&lt;5000,"Low Income",
IF(Employee_data[[#This Row],[MonthlyIncome]]&lt;10000,"Medium Income","High Income"))</f>
        <v>Low Income</v>
      </c>
      <c r="U702" t="s">
        <v>91</v>
      </c>
      <c r="V702" t="s">
        <v>91</v>
      </c>
      <c r="W702" t="s">
        <v>91</v>
      </c>
      <c r="X702" t="s">
        <v>91</v>
      </c>
      <c r="Y702">
        <v>26227</v>
      </c>
      <c r="Z702">
        <v>4</v>
      </c>
      <c r="AA702" t="s">
        <v>42</v>
      </c>
      <c r="AB702" t="s">
        <v>43</v>
      </c>
      <c r="AC702">
        <v>24</v>
      </c>
      <c r="AD702">
        <v>4</v>
      </c>
      <c r="AE702">
        <v>1</v>
      </c>
      <c r="AF702">
        <v>80</v>
      </c>
      <c r="AG702">
        <v>0</v>
      </c>
      <c r="AH7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02">
        <v>7</v>
      </c>
      <c r="AJ702" t="s">
        <v>74</v>
      </c>
      <c r="AK702">
        <v>4</v>
      </c>
      <c r="AL702" t="s">
        <v>74</v>
      </c>
      <c r="AM702">
        <v>3</v>
      </c>
      <c r="AN702" t="s">
        <v>74</v>
      </c>
      <c r="AO702">
        <v>1</v>
      </c>
      <c r="AP702" t="s">
        <v>74</v>
      </c>
      <c r="AQ702">
        <v>0</v>
      </c>
      <c r="AR702">
        <v>0</v>
      </c>
      <c r="AS702">
        <v>0</v>
      </c>
    </row>
    <row r="703" spans="1:4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 t="str">
        <f>IF(Employee_data[[#This Row],[MonthlyIncome]]&lt;5000,"Low Income",
IF(Employee_data[[#This Row],[MonthlyIncome]]&lt;10000,"Medium Income","High Income"))</f>
        <v>High Income</v>
      </c>
      <c r="U703" t="s">
        <v>90</v>
      </c>
      <c r="V703" t="s">
        <v>90</v>
      </c>
      <c r="W703" t="s">
        <v>90</v>
      </c>
      <c r="X703" t="s">
        <v>90</v>
      </c>
      <c r="Y703">
        <v>13938</v>
      </c>
      <c r="Z703">
        <v>6</v>
      </c>
      <c r="AA703" t="s">
        <v>42</v>
      </c>
      <c r="AB703" t="s">
        <v>43</v>
      </c>
      <c r="AC703">
        <v>13</v>
      </c>
      <c r="AD703">
        <v>3</v>
      </c>
      <c r="AE703">
        <v>3</v>
      </c>
      <c r="AF703">
        <v>80</v>
      </c>
      <c r="AG703">
        <v>1</v>
      </c>
      <c r="AH7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03">
        <v>22</v>
      </c>
      <c r="AJ703" t="s">
        <v>76</v>
      </c>
      <c r="AK703">
        <v>3</v>
      </c>
      <c r="AL703" t="s">
        <v>76</v>
      </c>
      <c r="AM703">
        <v>4</v>
      </c>
      <c r="AN703" t="s">
        <v>76</v>
      </c>
      <c r="AO703">
        <v>17</v>
      </c>
      <c r="AP703" t="s">
        <v>76</v>
      </c>
      <c r="AQ703">
        <v>13</v>
      </c>
      <c r="AR703">
        <v>15</v>
      </c>
      <c r="AS703">
        <v>2</v>
      </c>
    </row>
    <row r="704" spans="1:4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 t="str">
        <f>IF(Employee_data[[#This Row],[MonthlyIncome]]&lt;5000,"Low Income",
IF(Employee_data[[#This Row],[MonthlyIncome]]&lt;10000,"Medium Income","High Income"))</f>
        <v>Medium Income</v>
      </c>
      <c r="U704" t="s">
        <v>92</v>
      </c>
      <c r="V704" t="s">
        <v>92</v>
      </c>
      <c r="W704" t="s">
        <v>92</v>
      </c>
      <c r="X704" t="s">
        <v>92</v>
      </c>
      <c r="Y704">
        <v>9977</v>
      </c>
      <c r="Z704">
        <v>5</v>
      </c>
      <c r="AA704" t="s">
        <v>42</v>
      </c>
      <c r="AB704" t="s">
        <v>43</v>
      </c>
      <c r="AC704">
        <v>11</v>
      </c>
      <c r="AD704">
        <v>3</v>
      </c>
      <c r="AE704">
        <v>1</v>
      </c>
      <c r="AF704">
        <v>80</v>
      </c>
      <c r="AG704">
        <v>1</v>
      </c>
      <c r="AH7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04">
        <v>10</v>
      </c>
      <c r="AJ704" t="s">
        <v>78</v>
      </c>
      <c r="AK704">
        <v>2</v>
      </c>
      <c r="AL704" t="s">
        <v>78</v>
      </c>
      <c r="AM704">
        <v>4</v>
      </c>
      <c r="AN704" t="s">
        <v>78</v>
      </c>
      <c r="AO704">
        <v>8</v>
      </c>
      <c r="AP704" t="s">
        <v>78</v>
      </c>
      <c r="AQ704">
        <v>4</v>
      </c>
      <c r="AR704">
        <v>7</v>
      </c>
      <c r="AS704">
        <v>7</v>
      </c>
    </row>
    <row r="705" spans="1:4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 t="str">
        <f>IF(Employee_data[[#This Row],[MonthlyIncome]]&lt;5000,"Low Income",
IF(Employee_data[[#This Row],[MonthlyIncome]]&lt;10000,"Medium Income","High Income"))</f>
        <v>Medium Income</v>
      </c>
      <c r="U705" t="s">
        <v>92</v>
      </c>
      <c r="V705" t="s">
        <v>92</v>
      </c>
      <c r="W705" t="s">
        <v>92</v>
      </c>
      <c r="X705" t="s">
        <v>92</v>
      </c>
      <c r="Y705">
        <v>19899</v>
      </c>
      <c r="Z705">
        <v>1</v>
      </c>
      <c r="AA705" t="s">
        <v>42</v>
      </c>
      <c r="AB705" t="s">
        <v>35</v>
      </c>
      <c r="AC705">
        <v>13</v>
      </c>
      <c r="AD705">
        <v>3</v>
      </c>
      <c r="AE705">
        <v>2</v>
      </c>
      <c r="AF705">
        <v>80</v>
      </c>
      <c r="AG705">
        <v>0</v>
      </c>
      <c r="AH7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05">
        <v>6</v>
      </c>
      <c r="AJ705" t="s">
        <v>78</v>
      </c>
      <c r="AK705">
        <v>1</v>
      </c>
      <c r="AL705" t="s">
        <v>78</v>
      </c>
      <c r="AM705">
        <v>3</v>
      </c>
      <c r="AN705" t="s">
        <v>78</v>
      </c>
      <c r="AO705">
        <v>5</v>
      </c>
      <c r="AP705" t="s">
        <v>78</v>
      </c>
      <c r="AQ705">
        <v>3</v>
      </c>
      <c r="AR705">
        <v>1</v>
      </c>
      <c r="AS705">
        <v>3</v>
      </c>
    </row>
    <row r="706" spans="1:4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 t="str">
        <f>IF(Employee_data[[#This Row],[MonthlyIncome]]&lt;5000,"Low Income",
IF(Employee_data[[#This Row],[MonthlyIncome]]&lt;10000,"Medium Income","High Income"))</f>
        <v>Medium Income</v>
      </c>
      <c r="U706" t="s">
        <v>92</v>
      </c>
      <c r="V706" t="s">
        <v>92</v>
      </c>
      <c r="W706" t="s">
        <v>92</v>
      </c>
      <c r="X706" t="s">
        <v>92</v>
      </c>
      <c r="Y706">
        <v>6812</v>
      </c>
      <c r="Z706">
        <v>6</v>
      </c>
      <c r="AA706" t="s">
        <v>42</v>
      </c>
      <c r="AB706" t="s">
        <v>43</v>
      </c>
      <c r="AC706">
        <v>13</v>
      </c>
      <c r="AD706">
        <v>3</v>
      </c>
      <c r="AE706">
        <v>2</v>
      </c>
      <c r="AF706">
        <v>80</v>
      </c>
      <c r="AG706">
        <v>1</v>
      </c>
      <c r="AH7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06">
        <v>12</v>
      </c>
      <c r="AJ706" t="s">
        <v>75</v>
      </c>
      <c r="AK706">
        <v>2</v>
      </c>
      <c r="AL706" t="s">
        <v>75</v>
      </c>
      <c r="AM706">
        <v>3</v>
      </c>
      <c r="AN706" t="s">
        <v>75</v>
      </c>
      <c r="AO706">
        <v>10</v>
      </c>
      <c r="AP706" t="s">
        <v>75</v>
      </c>
      <c r="AQ706">
        <v>9</v>
      </c>
      <c r="AR706">
        <v>0</v>
      </c>
      <c r="AS706">
        <v>8</v>
      </c>
    </row>
    <row r="707" spans="1:4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 t="str">
        <f>IF(Employee_data[[#This Row],[MonthlyIncome]]&lt;5000,"Low Income",
IF(Employee_data[[#This Row],[MonthlyIncome]]&lt;10000,"Medium Income","High Income"))</f>
        <v>Medium Income</v>
      </c>
      <c r="U707" t="s">
        <v>92</v>
      </c>
      <c r="V707" t="s">
        <v>92</v>
      </c>
      <c r="W707" t="s">
        <v>92</v>
      </c>
      <c r="X707" t="s">
        <v>92</v>
      </c>
      <c r="Y707">
        <v>2560</v>
      </c>
      <c r="Z707">
        <v>0</v>
      </c>
      <c r="AA707" t="s">
        <v>42</v>
      </c>
      <c r="AB707" t="s">
        <v>43</v>
      </c>
      <c r="AC707">
        <v>18</v>
      </c>
      <c r="AD707">
        <v>3</v>
      </c>
      <c r="AE707">
        <v>4</v>
      </c>
      <c r="AF707">
        <v>80</v>
      </c>
      <c r="AG707">
        <v>0</v>
      </c>
      <c r="AH7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07">
        <v>9</v>
      </c>
      <c r="AJ707" t="s">
        <v>78</v>
      </c>
      <c r="AK707">
        <v>3</v>
      </c>
      <c r="AL707" t="s">
        <v>78</v>
      </c>
      <c r="AM707">
        <v>3</v>
      </c>
      <c r="AN707" t="s">
        <v>78</v>
      </c>
      <c r="AO707">
        <v>8</v>
      </c>
      <c r="AP707" t="s">
        <v>78</v>
      </c>
      <c r="AQ707">
        <v>7</v>
      </c>
      <c r="AR707">
        <v>0</v>
      </c>
      <c r="AS707">
        <v>7</v>
      </c>
    </row>
    <row r="708" spans="1:4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 t="str">
        <f>IF(Employee_data[[#This Row],[MonthlyIncome]]&lt;5000,"Low Income",
IF(Employee_data[[#This Row],[MonthlyIncome]]&lt;10000,"Medium Income","High Income"))</f>
        <v>High Income</v>
      </c>
      <c r="U708" t="s">
        <v>90</v>
      </c>
      <c r="V708" t="s">
        <v>90</v>
      </c>
      <c r="W708" t="s">
        <v>90</v>
      </c>
      <c r="X708" t="s">
        <v>90</v>
      </c>
      <c r="Y708">
        <v>17071</v>
      </c>
      <c r="Z708">
        <v>4</v>
      </c>
      <c r="AA708" t="s">
        <v>42</v>
      </c>
      <c r="AB708" t="s">
        <v>35</v>
      </c>
      <c r="AC708">
        <v>16</v>
      </c>
      <c r="AD708">
        <v>3</v>
      </c>
      <c r="AE708">
        <v>4</v>
      </c>
      <c r="AF708">
        <v>80</v>
      </c>
      <c r="AG708">
        <v>0</v>
      </c>
      <c r="AH7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08">
        <v>22</v>
      </c>
      <c r="AJ708" t="s">
        <v>74</v>
      </c>
      <c r="AK708">
        <v>2</v>
      </c>
      <c r="AL708" t="s">
        <v>74</v>
      </c>
      <c r="AM708">
        <v>2</v>
      </c>
      <c r="AN708" t="s">
        <v>74</v>
      </c>
      <c r="AO708">
        <v>1</v>
      </c>
      <c r="AP708" t="s">
        <v>74</v>
      </c>
      <c r="AQ708">
        <v>0</v>
      </c>
      <c r="AR708">
        <v>0</v>
      </c>
      <c r="AS708">
        <v>0</v>
      </c>
    </row>
    <row r="709" spans="1:4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 t="str">
        <f>IF(Employee_data[[#This Row],[MonthlyIncome]]&lt;5000,"Low Income",
IF(Employee_data[[#This Row],[MonthlyIncome]]&lt;10000,"Medium Income","High Income"))</f>
        <v>Medium Income</v>
      </c>
      <c r="U709" t="s">
        <v>92</v>
      </c>
      <c r="V709" t="s">
        <v>92</v>
      </c>
      <c r="W709" t="s">
        <v>92</v>
      </c>
      <c r="X709" t="s">
        <v>92</v>
      </c>
      <c r="Y709">
        <v>6759</v>
      </c>
      <c r="Z709">
        <v>1</v>
      </c>
      <c r="AA709" t="s">
        <v>42</v>
      </c>
      <c r="AB709" t="s">
        <v>35</v>
      </c>
      <c r="AC709">
        <v>19</v>
      </c>
      <c r="AD709">
        <v>3</v>
      </c>
      <c r="AE709">
        <v>3</v>
      </c>
      <c r="AF709">
        <v>80</v>
      </c>
      <c r="AG709">
        <v>0</v>
      </c>
      <c r="AH7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09">
        <v>20</v>
      </c>
      <c r="AJ709" t="s">
        <v>76</v>
      </c>
      <c r="AK709">
        <v>3</v>
      </c>
      <c r="AL709" t="s">
        <v>76</v>
      </c>
      <c r="AM709">
        <v>4</v>
      </c>
      <c r="AN709" t="s">
        <v>76</v>
      </c>
      <c r="AO709">
        <v>19</v>
      </c>
      <c r="AP709" t="s">
        <v>76</v>
      </c>
      <c r="AQ709">
        <v>10</v>
      </c>
      <c r="AR709">
        <v>2</v>
      </c>
      <c r="AS709">
        <v>7</v>
      </c>
    </row>
    <row r="710" spans="1:4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 t="str">
        <f>IF(Employee_data[[#This Row],[MonthlyIncome]]&lt;5000,"Low Income",
IF(Employee_data[[#This Row],[MonthlyIncome]]&lt;10000,"Medium Income","High Income"))</f>
        <v>Medium Income</v>
      </c>
      <c r="U710" t="s">
        <v>92</v>
      </c>
      <c r="V710" t="s">
        <v>92</v>
      </c>
      <c r="W710" t="s">
        <v>92</v>
      </c>
      <c r="X710" t="s">
        <v>92</v>
      </c>
      <c r="Y710">
        <v>25952</v>
      </c>
      <c r="Z710">
        <v>4</v>
      </c>
      <c r="AA710" t="s">
        <v>42</v>
      </c>
      <c r="AB710" t="s">
        <v>43</v>
      </c>
      <c r="AC710">
        <v>13</v>
      </c>
      <c r="AD710">
        <v>3</v>
      </c>
      <c r="AE710">
        <v>4</v>
      </c>
      <c r="AF710">
        <v>80</v>
      </c>
      <c r="AG710">
        <v>2</v>
      </c>
      <c r="AH7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10">
        <v>12</v>
      </c>
      <c r="AJ710" t="s">
        <v>78</v>
      </c>
      <c r="AK710">
        <v>3</v>
      </c>
      <c r="AL710" t="s">
        <v>78</v>
      </c>
      <c r="AM710">
        <v>3</v>
      </c>
      <c r="AN710" t="s">
        <v>78</v>
      </c>
      <c r="AO710">
        <v>7</v>
      </c>
      <c r="AP710" t="s">
        <v>78</v>
      </c>
      <c r="AQ710">
        <v>7</v>
      </c>
      <c r="AR710">
        <v>0</v>
      </c>
      <c r="AS710">
        <v>7</v>
      </c>
    </row>
    <row r="711" spans="1:4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 t="str">
        <f>IF(Employee_data[[#This Row],[MonthlyIncome]]&lt;5000,"Low Income",
IF(Employee_data[[#This Row],[MonthlyIncome]]&lt;10000,"Medium Income","High Income"))</f>
        <v>Low Income</v>
      </c>
      <c r="U711" t="s">
        <v>91</v>
      </c>
      <c r="V711" t="s">
        <v>91</v>
      </c>
      <c r="W711" t="s">
        <v>91</v>
      </c>
      <c r="X711" t="s">
        <v>91</v>
      </c>
      <c r="Y711">
        <v>10322</v>
      </c>
      <c r="Z711">
        <v>0</v>
      </c>
      <c r="AA711" t="s">
        <v>42</v>
      </c>
      <c r="AB711" t="s">
        <v>35</v>
      </c>
      <c r="AC711">
        <v>22</v>
      </c>
      <c r="AD711">
        <v>4</v>
      </c>
      <c r="AE711">
        <v>1</v>
      </c>
      <c r="AF711">
        <v>80</v>
      </c>
      <c r="AG711">
        <v>0</v>
      </c>
      <c r="AH7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11">
        <v>4</v>
      </c>
      <c r="AJ711" t="s">
        <v>74</v>
      </c>
      <c r="AK711">
        <v>0</v>
      </c>
      <c r="AL711" t="s">
        <v>74</v>
      </c>
      <c r="AM711">
        <v>3</v>
      </c>
      <c r="AN711" t="s">
        <v>74</v>
      </c>
      <c r="AO711">
        <v>3</v>
      </c>
      <c r="AP711" t="s">
        <v>74</v>
      </c>
      <c r="AQ711">
        <v>2</v>
      </c>
      <c r="AR711">
        <v>1</v>
      </c>
      <c r="AS711">
        <v>2</v>
      </c>
    </row>
    <row r="712" spans="1:4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 t="str">
        <f>IF(Employee_data[[#This Row],[MonthlyIncome]]&lt;5000,"Low Income",
IF(Employee_data[[#This Row],[MonthlyIncome]]&lt;10000,"Medium Income","High Income"))</f>
        <v>High Income</v>
      </c>
      <c r="U712" t="s">
        <v>90</v>
      </c>
      <c r="V712" t="s">
        <v>90</v>
      </c>
      <c r="W712" t="s">
        <v>90</v>
      </c>
      <c r="X712" t="s">
        <v>90</v>
      </c>
      <c r="Y712">
        <v>20489</v>
      </c>
      <c r="Z712">
        <v>1</v>
      </c>
      <c r="AA712" t="s">
        <v>42</v>
      </c>
      <c r="AB712" t="s">
        <v>43</v>
      </c>
      <c r="AC712">
        <v>11</v>
      </c>
      <c r="AD712">
        <v>3</v>
      </c>
      <c r="AE712">
        <v>4</v>
      </c>
      <c r="AF712">
        <v>80</v>
      </c>
      <c r="AG712">
        <v>0</v>
      </c>
      <c r="AH7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12">
        <v>10</v>
      </c>
      <c r="AJ712" t="s">
        <v>75</v>
      </c>
      <c r="AK712">
        <v>2</v>
      </c>
      <c r="AL712" t="s">
        <v>75</v>
      </c>
      <c r="AM712">
        <v>3</v>
      </c>
      <c r="AN712" t="s">
        <v>75</v>
      </c>
      <c r="AO712">
        <v>10</v>
      </c>
      <c r="AP712" t="s">
        <v>75</v>
      </c>
      <c r="AQ712">
        <v>8</v>
      </c>
      <c r="AR712">
        <v>6</v>
      </c>
      <c r="AS712">
        <v>0</v>
      </c>
    </row>
    <row r="713" spans="1:4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 t="str">
        <f>IF(Employee_data[[#This Row],[MonthlyIncome]]&lt;5000,"Low Income",
IF(Employee_data[[#This Row],[MonthlyIncome]]&lt;10000,"Medium Income","High Income"))</f>
        <v>Low Income</v>
      </c>
      <c r="U713" t="s">
        <v>91</v>
      </c>
      <c r="V713" t="s">
        <v>91</v>
      </c>
      <c r="W713" t="s">
        <v>91</v>
      </c>
      <c r="X713" t="s">
        <v>91</v>
      </c>
      <c r="Y713">
        <v>11479</v>
      </c>
      <c r="Z713">
        <v>6</v>
      </c>
      <c r="AA713" t="s">
        <v>42</v>
      </c>
      <c r="AB713" t="s">
        <v>35</v>
      </c>
      <c r="AC713">
        <v>20</v>
      </c>
      <c r="AD713">
        <v>4</v>
      </c>
      <c r="AE713">
        <v>3</v>
      </c>
      <c r="AF713">
        <v>80</v>
      </c>
      <c r="AG713">
        <v>0</v>
      </c>
      <c r="AH7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13">
        <v>3</v>
      </c>
      <c r="AJ713" t="s">
        <v>74</v>
      </c>
      <c r="AK713">
        <v>5</v>
      </c>
      <c r="AL713" t="s">
        <v>74</v>
      </c>
      <c r="AM713">
        <v>3</v>
      </c>
      <c r="AN713" t="s">
        <v>74</v>
      </c>
      <c r="AO713">
        <v>0</v>
      </c>
      <c r="AP713" t="s">
        <v>74</v>
      </c>
      <c r="AQ713">
        <v>0</v>
      </c>
      <c r="AR713">
        <v>0</v>
      </c>
      <c r="AS713">
        <v>0</v>
      </c>
    </row>
    <row r="714" spans="1:4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 t="str">
        <f>IF(Employee_data[[#This Row],[MonthlyIncome]]&lt;5000,"Low Income",
IF(Employee_data[[#This Row],[MonthlyIncome]]&lt;10000,"Medium Income","High Income"))</f>
        <v>Low Income</v>
      </c>
      <c r="U714" t="s">
        <v>91</v>
      </c>
      <c r="V714" t="s">
        <v>91</v>
      </c>
      <c r="W714" t="s">
        <v>91</v>
      </c>
      <c r="X714" t="s">
        <v>91</v>
      </c>
      <c r="Y714">
        <v>17241</v>
      </c>
      <c r="Z714">
        <v>3</v>
      </c>
      <c r="AA714" t="s">
        <v>42</v>
      </c>
      <c r="AB714" t="s">
        <v>43</v>
      </c>
      <c r="AC714">
        <v>18</v>
      </c>
      <c r="AD714">
        <v>3</v>
      </c>
      <c r="AE714">
        <v>1</v>
      </c>
      <c r="AF714">
        <v>80</v>
      </c>
      <c r="AG714">
        <v>0</v>
      </c>
      <c r="AH7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14">
        <v>5</v>
      </c>
      <c r="AJ714" t="s">
        <v>74</v>
      </c>
      <c r="AK714">
        <v>4</v>
      </c>
      <c r="AL714" t="s">
        <v>74</v>
      </c>
      <c r="AM714">
        <v>3</v>
      </c>
      <c r="AN714" t="s">
        <v>74</v>
      </c>
      <c r="AO714">
        <v>3</v>
      </c>
      <c r="AP714" t="s">
        <v>74</v>
      </c>
      <c r="AQ714">
        <v>2</v>
      </c>
      <c r="AR714">
        <v>0</v>
      </c>
      <c r="AS714">
        <v>2</v>
      </c>
    </row>
    <row r="715" spans="1:4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 t="str">
        <f>IF(Employee_data[[#This Row],[MonthlyIncome]]&lt;5000,"Low Income",
IF(Employee_data[[#This Row],[MonthlyIncome]]&lt;10000,"Medium Income","High Income"))</f>
        <v>Low Income</v>
      </c>
      <c r="U715" t="s">
        <v>91</v>
      </c>
      <c r="V715" t="s">
        <v>91</v>
      </c>
      <c r="W715" t="s">
        <v>91</v>
      </c>
      <c r="X715" t="s">
        <v>91</v>
      </c>
      <c r="Y715">
        <v>11005</v>
      </c>
      <c r="Z715">
        <v>3</v>
      </c>
      <c r="AA715" t="s">
        <v>42</v>
      </c>
      <c r="AB715" t="s">
        <v>43</v>
      </c>
      <c r="AC715">
        <v>14</v>
      </c>
      <c r="AD715">
        <v>3</v>
      </c>
      <c r="AE715">
        <v>4</v>
      </c>
      <c r="AF715">
        <v>80</v>
      </c>
      <c r="AG715">
        <v>2</v>
      </c>
      <c r="AH7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15">
        <v>8</v>
      </c>
      <c r="AJ715" t="s">
        <v>78</v>
      </c>
      <c r="AK715">
        <v>2</v>
      </c>
      <c r="AL715" t="s">
        <v>78</v>
      </c>
      <c r="AM715">
        <v>3</v>
      </c>
      <c r="AN715" t="s">
        <v>78</v>
      </c>
      <c r="AO715">
        <v>5</v>
      </c>
      <c r="AP715" t="s">
        <v>78</v>
      </c>
      <c r="AQ715">
        <v>3</v>
      </c>
      <c r="AR715">
        <v>0</v>
      </c>
      <c r="AS715">
        <v>2</v>
      </c>
    </row>
    <row r="716" spans="1:4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 t="str">
        <f>IF(Employee_data[[#This Row],[MonthlyIncome]]&lt;5000,"Low Income",
IF(Employee_data[[#This Row],[MonthlyIncome]]&lt;10000,"Medium Income","High Income"))</f>
        <v>High Income</v>
      </c>
      <c r="U716" t="s">
        <v>90</v>
      </c>
      <c r="V716" t="s">
        <v>90</v>
      </c>
      <c r="W716" t="s">
        <v>90</v>
      </c>
      <c r="X716" t="s">
        <v>90</v>
      </c>
      <c r="Y716">
        <v>6615</v>
      </c>
      <c r="Z716">
        <v>9</v>
      </c>
      <c r="AA716" t="s">
        <v>42</v>
      </c>
      <c r="AB716" t="s">
        <v>43</v>
      </c>
      <c r="AC716">
        <v>22</v>
      </c>
      <c r="AD716">
        <v>4</v>
      </c>
      <c r="AE716">
        <v>3</v>
      </c>
      <c r="AF716">
        <v>80</v>
      </c>
      <c r="AG716">
        <v>1</v>
      </c>
      <c r="AH7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16">
        <v>32</v>
      </c>
      <c r="AJ716" t="s">
        <v>78</v>
      </c>
      <c r="AK716">
        <v>1</v>
      </c>
      <c r="AL716" t="s">
        <v>78</v>
      </c>
      <c r="AM716">
        <v>2</v>
      </c>
      <c r="AN716" t="s">
        <v>78</v>
      </c>
      <c r="AO716">
        <v>5</v>
      </c>
      <c r="AP716" t="s">
        <v>78</v>
      </c>
      <c r="AQ716">
        <v>4</v>
      </c>
      <c r="AR716">
        <v>1</v>
      </c>
      <c r="AS716">
        <v>3</v>
      </c>
    </row>
    <row r="717" spans="1:4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 t="str">
        <f>IF(Employee_data[[#This Row],[MonthlyIncome]]&lt;5000,"Low Income",
IF(Employee_data[[#This Row],[MonthlyIncome]]&lt;10000,"Medium Income","High Income"))</f>
        <v>Medium Income</v>
      </c>
      <c r="U717" t="s">
        <v>92</v>
      </c>
      <c r="V717" t="s">
        <v>92</v>
      </c>
      <c r="W717" t="s">
        <v>92</v>
      </c>
      <c r="X717" t="s">
        <v>92</v>
      </c>
      <c r="Y717">
        <v>20161</v>
      </c>
      <c r="Z717">
        <v>1</v>
      </c>
      <c r="AA717" t="s">
        <v>42</v>
      </c>
      <c r="AB717" t="s">
        <v>35</v>
      </c>
      <c r="AC717">
        <v>13</v>
      </c>
      <c r="AD717">
        <v>3</v>
      </c>
      <c r="AE717">
        <v>1</v>
      </c>
      <c r="AF717">
        <v>80</v>
      </c>
      <c r="AG717">
        <v>1</v>
      </c>
      <c r="AH7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17">
        <v>6</v>
      </c>
      <c r="AJ717" t="s">
        <v>78</v>
      </c>
      <c r="AK717">
        <v>2</v>
      </c>
      <c r="AL717" t="s">
        <v>78</v>
      </c>
      <c r="AM717">
        <v>3</v>
      </c>
      <c r="AN717" t="s">
        <v>78</v>
      </c>
      <c r="AO717">
        <v>6</v>
      </c>
      <c r="AP717" t="s">
        <v>78</v>
      </c>
      <c r="AQ717">
        <v>5</v>
      </c>
      <c r="AR717">
        <v>1</v>
      </c>
      <c r="AS717">
        <v>2</v>
      </c>
    </row>
    <row r="718" spans="1:4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 t="str">
        <f>IF(Employee_data[[#This Row],[MonthlyIncome]]&lt;5000,"Low Income",
IF(Employee_data[[#This Row],[MonthlyIncome]]&lt;10000,"Medium Income","High Income"))</f>
        <v>High Income</v>
      </c>
      <c r="U718" t="s">
        <v>90</v>
      </c>
      <c r="V718" t="s">
        <v>90</v>
      </c>
      <c r="W718" t="s">
        <v>90</v>
      </c>
      <c r="X718" t="s">
        <v>90</v>
      </c>
      <c r="Y718">
        <v>3735</v>
      </c>
      <c r="Z718">
        <v>2</v>
      </c>
      <c r="AA718" t="s">
        <v>42</v>
      </c>
      <c r="AB718" t="s">
        <v>43</v>
      </c>
      <c r="AC718">
        <v>17</v>
      </c>
      <c r="AD718">
        <v>3</v>
      </c>
      <c r="AE718">
        <v>2</v>
      </c>
      <c r="AF718">
        <v>80</v>
      </c>
      <c r="AG718">
        <v>1</v>
      </c>
      <c r="AH7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18">
        <v>21</v>
      </c>
      <c r="AJ718" t="s">
        <v>76</v>
      </c>
      <c r="AK718">
        <v>2</v>
      </c>
      <c r="AL718" t="s">
        <v>76</v>
      </c>
      <c r="AM718">
        <v>4</v>
      </c>
      <c r="AN718" t="s">
        <v>76</v>
      </c>
      <c r="AO718">
        <v>18</v>
      </c>
      <c r="AP718" t="s">
        <v>76</v>
      </c>
      <c r="AQ718">
        <v>16</v>
      </c>
      <c r="AR718">
        <v>0</v>
      </c>
      <c r="AS718">
        <v>11</v>
      </c>
    </row>
    <row r="719" spans="1:4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 t="str">
        <f>IF(Employee_data[[#This Row],[MonthlyIncome]]&lt;5000,"Low Income",
IF(Employee_data[[#This Row],[MonthlyIncome]]&lt;10000,"Medium Income","High Income"))</f>
        <v>Low Income</v>
      </c>
      <c r="U719" t="s">
        <v>91</v>
      </c>
      <c r="V719" t="s">
        <v>91</v>
      </c>
      <c r="W719" t="s">
        <v>91</v>
      </c>
      <c r="X719" t="s">
        <v>91</v>
      </c>
      <c r="Y719">
        <v>12086</v>
      </c>
      <c r="Z719">
        <v>9</v>
      </c>
      <c r="AA719" t="s">
        <v>42</v>
      </c>
      <c r="AB719" t="s">
        <v>43</v>
      </c>
      <c r="AC719">
        <v>14</v>
      </c>
      <c r="AD719">
        <v>3</v>
      </c>
      <c r="AE719">
        <v>2</v>
      </c>
      <c r="AF719">
        <v>80</v>
      </c>
      <c r="AG719">
        <v>1</v>
      </c>
      <c r="AH7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19">
        <v>4</v>
      </c>
      <c r="AJ719" t="s">
        <v>74</v>
      </c>
      <c r="AK719">
        <v>2</v>
      </c>
      <c r="AL719" t="s">
        <v>74</v>
      </c>
      <c r="AM719">
        <v>3</v>
      </c>
      <c r="AN719" t="s">
        <v>74</v>
      </c>
      <c r="AO719">
        <v>2</v>
      </c>
      <c r="AP719" t="s">
        <v>74</v>
      </c>
      <c r="AQ719">
        <v>2</v>
      </c>
      <c r="AR719">
        <v>2</v>
      </c>
      <c r="AS719">
        <v>2</v>
      </c>
    </row>
    <row r="720" spans="1:4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 t="str">
        <f>IF(Employee_data[[#This Row],[MonthlyIncome]]&lt;5000,"Low Income",
IF(Employee_data[[#This Row],[MonthlyIncome]]&lt;10000,"Medium Income","High Income"))</f>
        <v>Low Income</v>
      </c>
      <c r="U720" t="s">
        <v>91</v>
      </c>
      <c r="V720" t="s">
        <v>91</v>
      </c>
      <c r="W720" t="s">
        <v>91</v>
      </c>
      <c r="X720" t="s">
        <v>91</v>
      </c>
      <c r="Y720">
        <v>14039</v>
      </c>
      <c r="Z720">
        <v>1</v>
      </c>
      <c r="AA720" t="s">
        <v>42</v>
      </c>
      <c r="AB720" t="s">
        <v>35</v>
      </c>
      <c r="AC720">
        <v>15</v>
      </c>
      <c r="AD720">
        <v>3</v>
      </c>
      <c r="AE720">
        <v>3</v>
      </c>
      <c r="AF720">
        <v>80</v>
      </c>
      <c r="AG720">
        <v>1</v>
      </c>
      <c r="AH7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20">
        <v>9</v>
      </c>
      <c r="AJ720" t="s">
        <v>78</v>
      </c>
      <c r="AK720">
        <v>2</v>
      </c>
      <c r="AL720" t="s">
        <v>78</v>
      </c>
      <c r="AM720">
        <v>3</v>
      </c>
      <c r="AN720" t="s">
        <v>78</v>
      </c>
      <c r="AO720">
        <v>9</v>
      </c>
      <c r="AP720" t="s">
        <v>78</v>
      </c>
      <c r="AQ720">
        <v>8</v>
      </c>
      <c r="AR720">
        <v>0</v>
      </c>
      <c r="AS720">
        <v>8</v>
      </c>
    </row>
    <row r="721" spans="1:4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 t="str">
        <f>IF(Employee_data[[#This Row],[MonthlyIncome]]&lt;5000,"Low Income",
IF(Employee_data[[#This Row],[MonthlyIncome]]&lt;10000,"Medium Income","High Income"))</f>
        <v>Low Income</v>
      </c>
      <c r="U721" t="s">
        <v>91</v>
      </c>
      <c r="V721" t="s">
        <v>91</v>
      </c>
      <c r="W721" t="s">
        <v>91</v>
      </c>
      <c r="X721" t="s">
        <v>91</v>
      </c>
      <c r="Y721">
        <v>8571</v>
      </c>
      <c r="Z721">
        <v>1</v>
      </c>
      <c r="AA721" t="s">
        <v>42</v>
      </c>
      <c r="AB721" t="s">
        <v>35</v>
      </c>
      <c r="AC721">
        <v>17</v>
      </c>
      <c r="AD721">
        <v>3</v>
      </c>
      <c r="AE721">
        <v>3</v>
      </c>
      <c r="AF721">
        <v>80</v>
      </c>
      <c r="AG721">
        <v>0</v>
      </c>
      <c r="AH7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21">
        <v>9</v>
      </c>
      <c r="AJ721" t="s">
        <v>78</v>
      </c>
      <c r="AK721">
        <v>0</v>
      </c>
      <c r="AL721" t="s">
        <v>78</v>
      </c>
      <c r="AM721">
        <v>3</v>
      </c>
      <c r="AN721" t="s">
        <v>78</v>
      </c>
      <c r="AO721">
        <v>9</v>
      </c>
      <c r="AP721" t="s">
        <v>78</v>
      </c>
      <c r="AQ721">
        <v>0</v>
      </c>
      <c r="AR721">
        <v>0</v>
      </c>
      <c r="AS721">
        <v>7</v>
      </c>
    </row>
    <row r="722" spans="1:4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 t="str">
        <f>IF(Employee_data[[#This Row],[MonthlyIncome]]&lt;5000,"Low Income",
IF(Employee_data[[#This Row],[MonthlyIncome]]&lt;10000,"Medium Income","High Income"))</f>
        <v>Low Income</v>
      </c>
      <c r="U722" t="s">
        <v>91</v>
      </c>
      <c r="V722" t="s">
        <v>91</v>
      </c>
      <c r="W722" t="s">
        <v>91</v>
      </c>
      <c r="X722" t="s">
        <v>91</v>
      </c>
      <c r="Y722">
        <v>11539</v>
      </c>
      <c r="Z722">
        <v>4</v>
      </c>
      <c r="AA722" t="s">
        <v>42</v>
      </c>
      <c r="AB722" t="s">
        <v>35</v>
      </c>
      <c r="AC722">
        <v>11</v>
      </c>
      <c r="AD722">
        <v>3</v>
      </c>
      <c r="AE722">
        <v>2</v>
      </c>
      <c r="AF722">
        <v>80</v>
      </c>
      <c r="AG722">
        <v>0</v>
      </c>
      <c r="AH7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22">
        <v>7</v>
      </c>
      <c r="AJ722" t="s">
        <v>78</v>
      </c>
      <c r="AK722">
        <v>2</v>
      </c>
      <c r="AL722" t="s">
        <v>78</v>
      </c>
      <c r="AM722">
        <v>3</v>
      </c>
      <c r="AN722" t="s">
        <v>78</v>
      </c>
      <c r="AO722">
        <v>5</v>
      </c>
      <c r="AP722" t="s">
        <v>78</v>
      </c>
      <c r="AQ722">
        <v>2</v>
      </c>
      <c r="AR722">
        <v>0</v>
      </c>
      <c r="AS722">
        <v>1</v>
      </c>
    </row>
    <row r="723" spans="1:4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 t="str">
        <f>IF(Employee_data[[#This Row],[MonthlyIncome]]&lt;5000,"Low Income",
IF(Employee_data[[#This Row],[MonthlyIncome]]&lt;10000,"Medium Income","High Income"))</f>
        <v>High Income</v>
      </c>
      <c r="U723" t="s">
        <v>90</v>
      </c>
      <c r="V723" t="s">
        <v>90</v>
      </c>
      <c r="W723" t="s">
        <v>90</v>
      </c>
      <c r="X723" t="s">
        <v>90</v>
      </c>
      <c r="Y723">
        <v>4161</v>
      </c>
      <c r="Z723">
        <v>3</v>
      </c>
      <c r="AA723" t="s">
        <v>42</v>
      </c>
      <c r="AB723" t="s">
        <v>35</v>
      </c>
      <c r="AC723">
        <v>18</v>
      </c>
      <c r="AD723">
        <v>3</v>
      </c>
      <c r="AE723">
        <v>4</v>
      </c>
      <c r="AF723">
        <v>80</v>
      </c>
      <c r="AG723">
        <v>1</v>
      </c>
      <c r="AH7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23">
        <v>22</v>
      </c>
      <c r="AJ723" t="s">
        <v>75</v>
      </c>
      <c r="AK723">
        <v>2</v>
      </c>
      <c r="AL723" t="s">
        <v>75</v>
      </c>
      <c r="AM723">
        <v>3</v>
      </c>
      <c r="AN723" t="s">
        <v>75</v>
      </c>
      <c r="AO723">
        <v>12</v>
      </c>
      <c r="AP723" t="s">
        <v>75</v>
      </c>
      <c r="AQ723">
        <v>11</v>
      </c>
      <c r="AR723">
        <v>1</v>
      </c>
      <c r="AS723">
        <v>5</v>
      </c>
    </row>
    <row r="724" spans="1:4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 t="str">
        <f>IF(Employee_data[[#This Row],[MonthlyIncome]]&lt;5000,"Low Income",
IF(Employee_data[[#This Row],[MonthlyIncome]]&lt;10000,"Medium Income","High Income"))</f>
        <v>Low Income</v>
      </c>
      <c r="U724" t="s">
        <v>91</v>
      </c>
      <c r="V724" t="s">
        <v>91</v>
      </c>
      <c r="W724" t="s">
        <v>91</v>
      </c>
      <c r="X724" t="s">
        <v>91</v>
      </c>
      <c r="Y724">
        <v>12127</v>
      </c>
      <c r="Z724">
        <v>0</v>
      </c>
      <c r="AA724" t="s">
        <v>42</v>
      </c>
      <c r="AB724" t="s">
        <v>43</v>
      </c>
      <c r="AC724">
        <v>17</v>
      </c>
      <c r="AD724">
        <v>3</v>
      </c>
      <c r="AE724">
        <v>2</v>
      </c>
      <c r="AF724">
        <v>80</v>
      </c>
      <c r="AG724">
        <v>1</v>
      </c>
      <c r="AH7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24">
        <v>3</v>
      </c>
      <c r="AJ724" t="s">
        <v>74</v>
      </c>
      <c r="AK724">
        <v>0</v>
      </c>
      <c r="AL724" t="s">
        <v>74</v>
      </c>
      <c r="AM724">
        <v>2</v>
      </c>
      <c r="AN724" t="s">
        <v>74</v>
      </c>
      <c r="AO724">
        <v>2</v>
      </c>
      <c r="AP724" t="s">
        <v>74</v>
      </c>
      <c r="AQ724">
        <v>1</v>
      </c>
      <c r="AR724">
        <v>0</v>
      </c>
      <c r="AS724">
        <v>2</v>
      </c>
    </row>
    <row r="725" spans="1:4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 t="str">
        <f>IF(Employee_data[[#This Row],[MonthlyIncome]]&lt;5000,"Low Income",
IF(Employee_data[[#This Row],[MonthlyIncome]]&lt;10000,"Medium Income","High Income"))</f>
        <v>High Income</v>
      </c>
      <c r="U725" t="s">
        <v>90</v>
      </c>
      <c r="V725" t="s">
        <v>90</v>
      </c>
      <c r="W725" t="s">
        <v>90</v>
      </c>
      <c r="X725" t="s">
        <v>90</v>
      </c>
      <c r="Y725">
        <v>24208</v>
      </c>
      <c r="Z725">
        <v>6</v>
      </c>
      <c r="AA725" t="s">
        <v>42</v>
      </c>
      <c r="AB725" t="s">
        <v>43</v>
      </c>
      <c r="AC725">
        <v>13</v>
      </c>
      <c r="AD725">
        <v>3</v>
      </c>
      <c r="AE725">
        <v>2</v>
      </c>
      <c r="AF725">
        <v>80</v>
      </c>
      <c r="AG725">
        <v>1</v>
      </c>
      <c r="AH7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25">
        <v>13</v>
      </c>
      <c r="AJ725" t="s">
        <v>78</v>
      </c>
      <c r="AK725">
        <v>3</v>
      </c>
      <c r="AL725" t="s">
        <v>78</v>
      </c>
      <c r="AM725">
        <v>3</v>
      </c>
      <c r="AN725" t="s">
        <v>78</v>
      </c>
      <c r="AO725">
        <v>8</v>
      </c>
      <c r="AP725" t="s">
        <v>78</v>
      </c>
      <c r="AQ725">
        <v>7</v>
      </c>
      <c r="AR725">
        <v>0</v>
      </c>
      <c r="AS725">
        <v>7</v>
      </c>
    </row>
    <row r="726" spans="1:4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 t="str">
        <f>IF(Employee_data[[#This Row],[MonthlyIncome]]&lt;5000,"Low Income",
IF(Employee_data[[#This Row],[MonthlyIncome]]&lt;10000,"Medium Income","High Income"))</f>
        <v>Low Income</v>
      </c>
      <c r="U726" t="s">
        <v>91</v>
      </c>
      <c r="V726" t="s">
        <v>91</v>
      </c>
      <c r="W726" t="s">
        <v>91</v>
      </c>
      <c r="X726" t="s">
        <v>91</v>
      </c>
      <c r="Y726">
        <v>24117</v>
      </c>
      <c r="Z726">
        <v>1</v>
      </c>
      <c r="AA726" t="s">
        <v>42</v>
      </c>
      <c r="AB726" t="s">
        <v>43</v>
      </c>
      <c r="AC726">
        <v>15</v>
      </c>
      <c r="AD726">
        <v>3</v>
      </c>
      <c r="AE726">
        <v>2</v>
      </c>
      <c r="AF726">
        <v>80</v>
      </c>
      <c r="AG726">
        <v>2</v>
      </c>
      <c r="AH7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26">
        <v>5</v>
      </c>
      <c r="AJ726" t="s">
        <v>74</v>
      </c>
      <c r="AK726">
        <v>6</v>
      </c>
      <c r="AL726" t="s">
        <v>74</v>
      </c>
      <c r="AM726">
        <v>3</v>
      </c>
      <c r="AN726" t="s">
        <v>74</v>
      </c>
      <c r="AO726">
        <v>4</v>
      </c>
      <c r="AP726" t="s">
        <v>74</v>
      </c>
      <c r="AQ726">
        <v>2</v>
      </c>
      <c r="AR726">
        <v>3</v>
      </c>
      <c r="AS726">
        <v>2</v>
      </c>
    </row>
    <row r="727" spans="1:4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 t="str">
        <f>IF(Employee_data[[#This Row],[MonthlyIncome]]&lt;5000,"Low Income",
IF(Employee_data[[#This Row],[MonthlyIncome]]&lt;10000,"Medium Income","High Income"))</f>
        <v>Low Income</v>
      </c>
      <c r="U727" t="s">
        <v>91</v>
      </c>
      <c r="V727" t="s">
        <v>91</v>
      </c>
      <c r="W727" t="s">
        <v>91</v>
      </c>
      <c r="X727" t="s">
        <v>91</v>
      </c>
      <c r="Y727">
        <v>10074</v>
      </c>
      <c r="Z727">
        <v>1</v>
      </c>
      <c r="AA727" t="s">
        <v>42</v>
      </c>
      <c r="AB727" t="s">
        <v>35</v>
      </c>
      <c r="AC727">
        <v>24</v>
      </c>
      <c r="AD727">
        <v>4</v>
      </c>
      <c r="AE727">
        <v>4</v>
      </c>
      <c r="AF727">
        <v>80</v>
      </c>
      <c r="AG727">
        <v>1</v>
      </c>
      <c r="AH7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27">
        <v>5</v>
      </c>
      <c r="AJ727" t="s">
        <v>74</v>
      </c>
      <c r="AK727">
        <v>2</v>
      </c>
      <c r="AL727" t="s">
        <v>74</v>
      </c>
      <c r="AM727">
        <v>1</v>
      </c>
      <c r="AN727" t="s">
        <v>74</v>
      </c>
      <c r="AO727">
        <v>4</v>
      </c>
      <c r="AP727" t="s">
        <v>74</v>
      </c>
      <c r="AQ727">
        <v>2</v>
      </c>
      <c r="AR727">
        <v>0</v>
      </c>
      <c r="AS727">
        <v>2</v>
      </c>
    </row>
    <row r="728" spans="1:4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 t="str">
        <f>IF(Employee_data[[#This Row],[MonthlyIncome]]&lt;5000,"Low Income",
IF(Employee_data[[#This Row],[MonthlyIncome]]&lt;10000,"Medium Income","High Income"))</f>
        <v>Low Income</v>
      </c>
      <c r="U728" t="s">
        <v>91</v>
      </c>
      <c r="V728" t="s">
        <v>91</v>
      </c>
      <c r="W728" t="s">
        <v>91</v>
      </c>
      <c r="X728" t="s">
        <v>91</v>
      </c>
      <c r="Y728">
        <v>11275</v>
      </c>
      <c r="Z728">
        <v>1</v>
      </c>
      <c r="AA728" t="s">
        <v>42</v>
      </c>
      <c r="AB728" t="s">
        <v>43</v>
      </c>
      <c r="AC728">
        <v>12</v>
      </c>
      <c r="AD728">
        <v>3</v>
      </c>
      <c r="AE728">
        <v>3</v>
      </c>
      <c r="AF728">
        <v>80</v>
      </c>
      <c r="AG728">
        <v>1</v>
      </c>
      <c r="AH7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28">
        <v>4</v>
      </c>
      <c r="AJ728" t="s">
        <v>74</v>
      </c>
      <c r="AK728">
        <v>1</v>
      </c>
      <c r="AL728" t="s">
        <v>74</v>
      </c>
      <c r="AM728">
        <v>3</v>
      </c>
      <c r="AN728" t="s">
        <v>74</v>
      </c>
      <c r="AO728">
        <v>4</v>
      </c>
      <c r="AP728" t="s">
        <v>74</v>
      </c>
      <c r="AQ728">
        <v>3</v>
      </c>
      <c r="AR728">
        <v>0</v>
      </c>
      <c r="AS728">
        <v>3</v>
      </c>
    </row>
    <row r="729" spans="1:4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 t="str">
        <f>IF(Employee_data[[#This Row],[MonthlyIncome]]&lt;5000,"Low Income",
IF(Employee_data[[#This Row],[MonthlyIncome]]&lt;10000,"Medium Income","High Income"))</f>
        <v>Low Income</v>
      </c>
      <c r="U729" t="s">
        <v>91</v>
      </c>
      <c r="V729" t="s">
        <v>91</v>
      </c>
      <c r="W729" t="s">
        <v>91</v>
      </c>
      <c r="X729" t="s">
        <v>91</v>
      </c>
      <c r="Y729">
        <v>13493</v>
      </c>
      <c r="Z729">
        <v>1</v>
      </c>
      <c r="AA729" t="s">
        <v>42</v>
      </c>
      <c r="AB729" t="s">
        <v>43</v>
      </c>
      <c r="AC729">
        <v>15</v>
      </c>
      <c r="AD729">
        <v>3</v>
      </c>
      <c r="AE729">
        <v>4</v>
      </c>
      <c r="AF729">
        <v>80</v>
      </c>
      <c r="AG729">
        <v>0</v>
      </c>
      <c r="AH7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29">
        <v>0</v>
      </c>
      <c r="AJ729" t="s">
        <v>74</v>
      </c>
      <c r="AK729">
        <v>2</v>
      </c>
      <c r="AL729" t="s">
        <v>74</v>
      </c>
      <c r="AM729">
        <v>3</v>
      </c>
      <c r="AN729" t="s">
        <v>74</v>
      </c>
      <c r="AO729">
        <v>0</v>
      </c>
      <c r="AP729" t="s">
        <v>74</v>
      </c>
      <c r="AQ729">
        <v>0</v>
      </c>
      <c r="AR729">
        <v>0</v>
      </c>
      <c r="AS729">
        <v>0</v>
      </c>
    </row>
    <row r="730" spans="1:4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 t="str">
        <f>IF(Employee_data[[#This Row],[MonthlyIncome]]&lt;5000,"Low Income",
IF(Employee_data[[#This Row],[MonthlyIncome]]&lt;10000,"Medium Income","High Income"))</f>
        <v>High Income</v>
      </c>
      <c r="U730" t="s">
        <v>90</v>
      </c>
      <c r="V730" t="s">
        <v>90</v>
      </c>
      <c r="W730" t="s">
        <v>90</v>
      </c>
      <c r="X730" t="s">
        <v>90</v>
      </c>
      <c r="Y730">
        <v>13943</v>
      </c>
      <c r="Z730">
        <v>8</v>
      </c>
      <c r="AA730" t="s">
        <v>42</v>
      </c>
      <c r="AB730" t="s">
        <v>43</v>
      </c>
      <c r="AC730">
        <v>11</v>
      </c>
      <c r="AD730">
        <v>3</v>
      </c>
      <c r="AE730">
        <v>3</v>
      </c>
      <c r="AF730">
        <v>80</v>
      </c>
      <c r="AG730">
        <v>1</v>
      </c>
      <c r="AH7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30">
        <v>22</v>
      </c>
      <c r="AJ730" t="s">
        <v>75</v>
      </c>
      <c r="AK730">
        <v>2</v>
      </c>
      <c r="AL730" t="s">
        <v>75</v>
      </c>
      <c r="AM730">
        <v>3</v>
      </c>
      <c r="AN730" t="s">
        <v>75</v>
      </c>
      <c r="AO730">
        <v>10</v>
      </c>
      <c r="AP730" t="s">
        <v>75</v>
      </c>
      <c r="AQ730">
        <v>7</v>
      </c>
      <c r="AR730">
        <v>0</v>
      </c>
      <c r="AS730">
        <v>8</v>
      </c>
    </row>
    <row r="731" spans="1:4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 t="str">
        <f>IF(Employee_data[[#This Row],[MonthlyIncome]]&lt;5000,"Low Income",
IF(Employee_data[[#This Row],[MonthlyIncome]]&lt;10000,"Medium Income","High Income"))</f>
        <v>High Income</v>
      </c>
      <c r="U731" t="s">
        <v>90</v>
      </c>
      <c r="V731" t="s">
        <v>90</v>
      </c>
      <c r="W731" t="s">
        <v>90</v>
      </c>
      <c r="X731" t="s">
        <v>90</v>
      </c>
      <c r="Y731">
        <v>6975</v>
      </c>
      <c r="Z731">
        <v>1</v>
      </c>
      <c r="AA731" t="s">
        <v>42</v>
      </c>
      <c r="AB731" t="s">
        <v>35</v>
      </c>
      <c r="AC731">
        <v>11</v>
      </c>
      <c r="AD731">
        <v>3</v>
      </c>
      <c r="AE731">
        <v>3</v>
      </c>
      <c r="AF731">
        <v>80</v>
      </c>
      <c r="AG731">
        <v>1</v>
      </c>
      <c r="AH7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31">
        <v>16</v>
      </c>
      <c r="AJ731" t="s">
        <v>76</v>
      </c>
      <c r="AK731">
        <v>3</v>
      </c>
      <c r="AL731" t="s">
        <v>76</v>
      </c>
      <c r="AM731">
        <v>2</v>
      </c>
      <c r="AN731" t="s">
        <v>76</v>
      </c>
      <c r="AO731">
        <v>16</v>
      </c>
      <c r="AP731" t="s">
        <v>76</v>
      </c>
      <c r="AQ731">
        <v>10</v>
      </c>
      <c r="AR731">
        <v>10</v>
      </c>
      <c r="AS731">
        <v>1</v>
      </c>
    </row>
    <row r="732" spans="1:4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 t="str">
        <f>IF(Employee_data[[#This Row],[MonthlyIncome]]&lt;5000,"Low Income",
IF(Employee_data[[#This Row],[MonthlyIncome]]&lt;10000,"Medium Income","High Income"))</f>
        <v>High Income</v>
      </c>
      <c r="U732" t="s">
        <v>90</v>
      </c>
      <c r="V732" t="s">
        <v>90</v>
      </c>
      <c r="W732" t="s">
        <v>90</v>
      </c>
      <c r="X732" t="s">
        <v>90</v>
      </c>
      <c r="Y732">
        <v>17802</v>
      </c>
      <c r="Z732">
        <v>0</v>
      </c>
      <c r="AA732" t="s">
        <v>42</v>
      </c>
      <c r="AB732" t="s">
        <v>35</v>
      </c>
      <c r="AC732">
        <v>12</v>
      </c>
      <c r="AD732">
        <v>3</v>
      </c>
      <c r="AE732">
        <v>3</v>
      </c>
      <c r="AF732">
        <v>80</v>
      </c>
      <c r="AG732">
        <v>3</v>
      </c>
      <c r="AH7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32">
        <v>9</v>
      </c>
      <c r="AJ732" t="s">
        <v>78</v>
      </c>
      <c r="AK732">
        <v>4</v>
      </c>
      <c r="AL732" t="s">
        <v>78</v>
      </c>
      <c r="AM732">
        <v>2</v>
      </c>
      <c r="AN732" t="s">
        <v>78</v>
      </c>
      <c r="AO732">
        <v>8</v>
      </c>
      <c r="AP732" t="s">
        <v>78</v>
      </c>
      <c r="AQ732">
        <v>7</v>
      </c>
      <c r="AR732">
        <v>1</v>
      </c>
      <c r="AS732">
        <v>7</v>
      </c>
    </row>
    <row r="733" spans="1:4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 t="str">
        <f>IF(Employee_data[[#This Row],[MonthlyIncome]]&lt;5000,"Low Income",
IF(Employee_data[[#This Row],[MonthlyIncome]]&lt;10000,"Medium Income","High Income"))</f>
        <v>Low Income</v>
      </c>
      <c r="U733" t="s">
        <v>91</v>
      </c>
      <c r="V733" t="s">
        <v>91</v>
      </c>
      <c r="W733" t="s">
        <v>91</v>
      </c>
      <c r="X733" t="s">
        <v>91</v>
      </c>
      <c r="Y733">
        <v>18275</v>
      </c>
      <c r="Z733">
        <v>1</v>
      </c>
      <c r="AA733" t="s">
        <v>42</v>
      </c>
      <c r="AB733" t="s">
        <v>35</v>
      </c>
      <c r="AC733">
        <v>15</v>
      </c>
      <c r="AD733">
        <v>3</v>
      </c>
      <c r="AE733">
        <v>1</v>
      </c>
      <c r="AF733">
        <v>80</v>
      </c>
      <c r="AG733">
        <v>0</v>
      </c>
      <c r="AH7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33">
        <v>1</v>
      </c>
      <c r="AJ733" t="s">
        <v>74</v>
      </c>
      <c r="AK733">
        <v>2</v>
      </c>
      <c r="AL733" t="s">
        <v>74</v>
      </c>
      <c r="AM733">
        <v>3</v>
      </c>
      <c r="AN733" t="s">
        <v>74</v>
      </c>
      <c r="AO733">
        <v>1</v>
      </c>
      <c r="AP733" t="s">
        <v>74</v>
      </c>
      <c r="AQ733">
        <v>0</v>
      </c>
      <c r="AR733">
        <v>0</v>
      </c>
      <c r="AS733">
        <v>0</v>
      </c>
    </row>
    <row r="734" spans="1:4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 t="str">
        <f>IF(Employee_data[[#This Row],[MonthlyIncome]]&lt;5000,"Low Income",
IF(Employee_data[[#This Row],[MonthlyIncome]]&lt;10000,"Medium Income","High Income"))</f>
        <v>Low Income</v>
      </c>
      <c r="U734" t="s">
        <v>91</v>
      </c>
      <c r="V734" t="s">
        <v>91</v>
      </c>
      <c r="W734" t="s">
        <v>91</v>
      </c>
      <c r="X734" t="s">
        <v>91</v>
      </c>
      <c r="Y734">
        <v>25725</v>
      </c>
      <c r="Z734">
        <v>0</v>
      </c>
      <c r="AA734" t="s">
        <v>42</v>
      </c>
      <c r="AB734" t="s">
        <v>43</v>
      </c>
      <c r="AC734">
        <v>17</v>
      </c>
      <c r="AD734">
        <v>3</v>
      </c>
      <c r="AE734">
        <v>1</v>
      </c>
      <c r="AF734">
        <v>80</v>
      </c>
      <c r="AG734">
        <v>0</v>
      </c>
      <c r="AH7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34">
        <v>4</v>
      </c>
      <c r="AJ734" t="s">
        <v>74</v>
      </c>
      <c r="AK734">
        <v>3</v>
      </c>
      <c r="AL734" t="s">
        <v>74</v>
      </c>
      <c r="AM734">
        <v>3</v>
      </c>
      <c r="AN734" t="s">
        <v>74</v>
      </c>
      <c r="AO734">
        <v>3</v>
      </c>
      <c r="AP734" t="s">
        <v>74</v>
      </c>
      <c r="AQ734">
        <v>2</v>
      </c>
      <c r="AR734">
        <v>1</v>
      </c>
      <c r="AS734">
        <v>2</v>
      </c>
    </row>
    <row r="735" spans="1:4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 t="str">
        <f>IF(Employee_data[[#This Row],[MonthlyIncome]]&lt;5000,"Low Income",
IF(Employee_data[[#This Row],[MonthlyIncome]]&lt;10000,"Medium Income","High Income"))</f>
        <v>Medium Income</v>
      </c>
      <c r="U735" t="s">
        <v>92</v>
      </c>
      <c r="V735" t="s">
        <v>92</v>
      </c>
      <c r="W735" t="s">
        <v>92</v>
      </c>
      <c r="X735" t="s">
        <v>92</v>
      </c>
      <c r="Y735">
        <v>3334</v>
      </c>
      <c r="Z735">
        <v>1</v>
      </c>
      <c r="AA735" t="s">
        <v>42</v>
      </c>
      <c r="AB735" t="s">
        <v>43</v>
      </c>
      <c r="AC735">
        <v>12</v>
      </c>
      <c r="AD735">
        <v>3</v>
      </c>
      <c r="AE735">
        <v>2</v>
      </c>
      <c r="AF735">
        <v>80</v>
      </c>
      <c r="AG735">
        <v>0</v>
      </c>
      <c r="AH7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35">
        <v>8</v>
      </c>
      <c r="AJ735" t="s">
        <v>78</v>
      </c>
      <c r="AK735">
        <v>2</v>
      </c>
      <c r="AL735" t="s">
        <v>78</v>
      </c>
      <c r="AM735">
        <v>3</v>
      </c>
      <c r="AN735" t="s">
        <v>78</v>
      </c>
      <c r="AO735">
        <v>8</v>
      </c>
      <c r="AP735" t="s">
        <v>78</v>
      </c>
      <c r="AQ735">
        <v>7</v>
      </c>
      <c r="AR735">
        <v>1</v>
      </c>
      <c r="AS735">
        <v>3</v>
      </c>
    </row>
    <row r="736" spans="1:4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 t="str">
        <f>IF(Employee_data[[#This Row],[MonthlyIncome]]&lt;5000,"Low Income",
IF(Employee_data[[#This Row],[MonthlyIncome]]&lt;10000,"Medium Income","High Income"))</f>
        <v>Low Income</v>
      </c>
      <c r="U736" t="s">
        <v>91</v>
      </c>
      <c r="V736" t="s">
        <v>91</v>
      </c>
      <c r="W736" t="s">
        <v>91</v>
      </c>
      <c r="X736" t="s">
        <v>91</v>
      </c>
      <c r="Y736">
        <v>6881</v>
      </c>
      <c r="Z736">
        <v>1</v>
      </c>
      <c r="AA736" t="s">
        <v>42</v>
      </c>
      <c r="AB736" t="s">
        <v>43</v>
      </c>
      <c r="AC736">
        <v>15</v>
      </c>
      <c r="AD736">
        <v>3</v>
      </c>
      <c r="AE736">
        <v>1</v>
      </c>
      <c r="AF736">
        <v>80</v>
      </c>
      <c r="AG736">
        <v>1</v>
      </c>
      <c r="AH7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36">
        <v>4</v>
      </c>
      <c r="AJ736" t="s">
        <v>74</v>
      </c>
      <c r="AK736">
        <v>3</v>
      </c>
      <c r="AL736" t="s">
        <v>74</v>
      </c>
      <c r="AM736">
        <v>2</v>
      </c>
      <c r="AN736" t="s">
        <v>74</v>
      </c>
      <c r="AO736">
        <v>4</v>
      </c>
      <c r="AP736" t="s">
        <v>74</v>
      </c>
      <c r="AQ736">
        <v>3</v>
      </c>
      <c r="AR736">
        <v>1</v>
      </c>
      <c r="AS736">
        <v>1</v>
      </c>
    </row>
    <row r="737" spans="1:4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 t="str">
        <f>IF(Employee_data[[#This Row],[MonthlyIncome]]&lt;5000,"Low Income",
IF(Employee_data[[#This Row],[MonthlyIncome]]&lt;10000,"Medium Income","High Income"))</f>
        <v>Low Income</v>
      </c>
      <c r="U737" t="s">
        <v>91</v>
      </c>
      <c r="V737" t="s">
        <v>91</v>
      </c>
      <c r="W737" t="s">
        <v>91</v>
      </c>
      <c r="X737" t="s">
        <v>91</v>
      </c>
      <c r="Y737">
        <v>13119</v>
      </c>
      <c r="Z737">
        <v>2</v>
      </c>
      <c r="AA737" t="s">
        <v>42</v>
      </c>
      <c r="AB737" t="s">
        <v>43</v>
      </c>
      <c r="AC737">
        <v>13</v>
      </c>
      <c r="AD737">
        <v>3</v>
      </c>
      <c r="AE737">
        <v>4</v>
      </c>
      <c r="AF737">
        <v>80</v>
      </c>
      <c r="AG737">
        <v>0</v>
      </c>
      <c r="AH7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37">
        <v>19</v>
      </c>
      <c r="AJ737" t="s">
        <v>74</v>
      </c>
      <c r="AK737">
        <v>0</v>
      </c>
      <c r="AL737" t="s">
        <v>74</v>
      </c>
      <c r="AM737">
        <v>3</v>
      </c>
      <c r="AN737" t="s">
        <v>74</v>
      </c>
      <c r="AO737">
        <v>2</v>
      </c>
      <c r="AP737" t="s">
        <v>74</v>
      </c>
      <c r="AQ737">
        <v>2</v>
      </c>
      <c r="AR737">
        <v>2</v>
      </c>
      <c r="AS737">
        <v>2</v>
      </c>
    </row>
    <row r="738" spans="1:4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 t="str">
        <f>IF(Employee_data[[#This Row],[MonthlyIncome]]&lt;5000,"Low Income",
IF(Employee_data[[#This Row],[MonthlyIncome]]&lt;10000,"Medium Income","High Income"))</f>
        <v>High Income</v>
      </c>
      <c r="U738" t="s">
        <v>90</v>
      </c>
      <c r="V738" t="s">
        <v>90</v>
      </c>
      <c r="W738" t="s">
        <v>90</v>
      </c>
      <c r="X738" t="s">
        <v>90</v>
      </c>
      <c r="Y738">
        <v>22245</v>
      </c>
      <c r="Z738">
        <v>7</v>
      </c>
      <c r="AA738" t="s">
        <v>42</v>
      </c>
      <c r="AB738" t="s">
        <v>43</v>
      </c>
      <c r="AC738">
        <v>14</v>
      </c>
      <c r="AD738">
        <v>3</v>
      </c>
      <c r="AE738">
        <v>2</v>
      </c>
      <c r="AF738">
        <v>80</v>
      </c>
      <c r="AG738">
        <v>0</v>
      </c>
      <c r="AH7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38">
        <v>27</v>
      </c>
      <c r="AJ738" t="s">
        <v>76</v>
      </c>
      <c r="AK738">
        <v>3</v>
      </c>
      <c r="AL738" t="s">
        <v>76</v>
      </c>
      <c r="AM738">
        <v>3</v>
      </c>
      <c r="AN738" t="s">
        <v>76</v>
      </c>
      <c r="AO738">
        <v>15</v>
      </c>
      <c r="AP738" t="s">
        <v>76</v>
      </c>
      <c r="AQ738">
        <v>11</v>
      </c>
      <c r="AR738">
        <v>4</v>
      </c>
      <c r="AS738">
        <v>8</v>
      </c>
    </row>
    <row r="739" spans="1:4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 t="str">
        <f>IF(Employee_data[[#This Row],[MonthlyIncome]]&lt;5000,"Low Income",
IF(Employee_data[[#This Row],[MonthlyIncome]]&lt;10000,"Medium Income","High Income"))</f>
        <v>Medium Income</v>
      </c>
      <c r="U739" t="s">
        <v>92</v>
      </c>
      <c r="V739" t="s">
        <v>92</v>
      </c>
      <c r="W739" t="s">
        <v>92</v>
      </c>
      <c r="X739" t="s">
        <v>92</v>
      </c>
      <c r="Y739">
        <v>23371</v>
      </c>
      <c r="Z739">
        <v>6</v>
      </c>
      <c r="AA739" t="s">
        <v>42</v>
      </c>
      <c r="AB739" t="s">
        <v>43</v>
      </c>
      <c r="AC739">
        <v>14</v>
      </c>
      <c r="AD739">
        <v>3</v>
      </c>
      <c r="AE739">
        <v>2</v>
      </c>
      <c r="AF739">
        <v>80</v>
      </c>
      <c r="AG739">
        <v>0</v>
      </c>
      <c r="AH7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39">
        <v>8</v>
      </c>
      <c r="AJ739" t="s">
        <v>74</v>
      </c>
      <c r="AK739">
        <v>6</v>
      </c>
      <c r="AL739" t="s">
        <v>74</v>
      </c>
      <c r="AM739">
        <v>3</v>
      </c>
      <c r="AN739" t="s">
        <v>74</v>
      </c>
      <c r="AO739">
        <v>2</v>
      </c>
      <c r="AP739" t="s">
        <v>74</v>
      </c>
      <c r="AQ739">
        <v>2</v>
      </c>
      <c r="AR739">
        <v>2</v>
      </c>
      <c r="AS739">
        <v>1</v>
      </c>
    </row>
    <row r="740" spans="1:4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 t="str">
        <f>IF(Employee_data[[#This Row],[MonthlyIncome]]&lt;5000,"Low Income",
IF(Employee_data[[#This Row],[MonthlyIncome]]&lt;10000,"Medium Income","High Income"))</f>
        <v>High Income</v>
      </c>
      <c r="U740" t="s">
        <v>90</v>
      </c>
      <c r="V740" t="s">
        <v>90</v>
      </c>
      <c r="W740" t="s">
        <v>90</v>
      </c>
      <c r="X740" t="s">
        <v>90</v>
      </c>
      <c r="Y740">
        <v>7060</v>
      </c>
      <c r="Z740">
        <v>1</v>
      </c>
      <c r="AA740" t="s">
        <v>42</v>
      </c>
      <c r="AB740" t="s">
        <v>43</v>
      </c>
      <c r="AC740">
        <v>16</v>
      </c>
      <c r="AD740">
        <v>3</v>
      </c>
      <c r="AE740">
        <v>3</v>
      </c>
      <c r="AF740">
        <v>80</v>
      </c>
      <c r="AG740">
        <v>1</v>
      </c>
      <c r="AH7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40">
        <v>21</v>
      </c>
      <c r="AJ740" t="s">
        <v>76</v>
      </c>
      <c r="AK740">
        <v>3</v>
      </c>
      <c r="AL740" t="s">
        <v>76</v>
      </c>
      <c r="AM740">
        <v>3</v>
      </c>
      <c r="AN740" t="s">
        <v>76</v>
      </c>
      <c r="AO740">
        <v>21</v>
      </c>
      <c r="AP740" t="s">
        <v>76</v>
      </c>
      <c r="AQ740">
        <v>6</v>
      </c>
      <c r="AR740">
        <v>11</v>
      </c>
      <c r="AS740">
        <v>8</v>
      </c>
    </row>
    <row r="741" spans="1:4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 t="str">
        <f>IF(Employee_data[[#This Row],[MonthlyIncome]]&lt;5000,"Low Income",
IF(Employee_data[[#This Row],[MonthlyIncome]]&lt;10000,"Medium Income","High Income"))</f>
        <v>Low Income</v>
      </c>
      <c r="U741" t="s">
        <v>91</v>
      </c>
      <c r="V741" t="s">
        <v>91</v>
      </c>
      <c r="W741" t="s">
        <v>91</v>
      </c>
      <c r="X741" t="s">
        <v>91</v>
      </c>
      <c r="Y741">
        <v>4658</v>
      </c>
      <c r="Z741">
        <v>0</v>
      </c>
      <c r="AA741" t="s">
        <v>42</v>
      </c>
      <c r="AB741" t="s">
        <v>43</v>
      </c>
      <c r="AC741">
        <v>18</v>
      </c>
      <c r="AD741">
        <v>3</v>
      </c>
      <c r="AE741">
        <v>2</v>
      </c>
      <c r="AF741">
        <v>80</v>
      </c>
      <c r="AG741">
        <v>1</v>
      </c>
      <c r="AH7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41">
        <v>4</v>
      </c>
      <c r="AJ741" t="s">
        <v>74</v>
      </c>
      <c r="AK741">
        <v>2</v>
      </c>
      <c r="AL741" t="s">
        <v>74</v>
      </c>
      <c r="AM741">
        <v>3</v>
      </c>
      <c r="AN741" t="s">
        <v>74</v>
      </c>
      <c r="AO741">
        <v>3</v>
      </c>
      <c r="AP741" t="s">
        <v>74</v>
      </c>
      <c r="AQ741">
        <v>2</v>
      </c>
      <c r="AR741">
        <v>2</v>
      </c>
      <c r="AS741">
        <v>2</v>
      </c>
    </row>
    <row r="742" spans="1:4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 t="str">
        <f>IF(Employee_data[[#This Row],[MonthlyIncome]]&lt;5000,"Low Income",
IF(Employee_data[[#This Row],[MonthlyIncome]]&lt;10000,"Medium Income","High Income"))</f>
        <v>Low Income</v>
      </c>
      <c r="U742" t="s">
        <v>91</v>
      </c>
      <c r="V742" t="s">
        <v>91</v>
      </c>
      <c r="W742" t="s">
        <v>91</v>
      </c>
      <c r="X742" t="s">
        <v>91</v>
      </c>
      <c r="Y742">
        <v>9541</v>
      </c>
      <c r="Z742">
        <v>1</v>
      </c>
      <c r="AA742" t="s">
        <v>42</v>
      </c>
      <c r="AB742" t="s">
        <v>43</v>
      </c>
      <c r="AC742">
        <v>20</v>
      </c>
      <c r="AD742">
        <v>4</v>
      </c>
      <c r="AE742">
        <v>1</v>
      </c>
      <c r="AF742">
        <v>80</v>
      </c>
      <c r="AG742">
        <v>1</v>
      </c>
      <c r="AH7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42">
        <v>3</v>
      </c>
      <c r="AJ742" t="s">
        <v>74</v>
      </c>
      <c r="AK742">
        <v>4</v>
      </c>
      <c r="AL742" t="s">
        <v>74</v>
      </c>
      <c r="AM742">
        <v>2</v>
      </c>
      <c r="AN742" t="s">
        <v>74</v>
      </c>
      <c r="AO742">
        <v>3</v>
      </c>
      <c r="AP742" t="s">
        <v>74</v>
      </c>
      <c r="AQ742">
        <v>2</v>
      </c>
      <c r="AR742">
        <v>1</v>
      </c>
      <c r="AS742">
        <v>2</v>
      </c>
    </row>
    <row r="743" spans="1:4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 t="str">
        <f>IF(Employee_data[[#This Row],[MonthlyIncome]]&lt;5000,"Low Income",
IF(Employee_data[[#This Row],[MonthlyIncome]]&lt;10000,"Medium Income","High Income"))</f>
        <v>High Income</v>
      </c>
      <c r="U743" t="s">
        <v>90</v>
      </c>
      <c r="V743" t="s">
        <v>90</v>
      </c>
      <c r="W743" t="s">
        <v>90</v>
      </c>
      <c r="X743" t="s">
        <v>90</v>
      </c>
      <c r="Y743">
        <v>7770</v>
      </c>
      <c r="Z743">
        <v>6</v>
      </c>
      <c r="AA743" t="s">
        <v>42</v>
      </c>
      <c r="AB743" t="s">
        <v>43</v>
      </c>
      <c r="AC743">
        <v>13</v>
      </c>
      <c r="AD743">
        <v>3</v>
      </c>
      <c r="AE743">
        <v>2</v>
      </c>
      <c r="AF743">
        <v>80</v>
      </c>
      <c r="AG743">
        <v>0</v>
      </c>
      <c r="AH7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43">
        <v>21</v>
      </c>
      <c r="AJ743" t="s">
        <v>74</v>
      </c>
      <c r="AK743">
        <v>3</v>
      </c>
      <c r="AL743" t="s">
        <v>74</v>
      </c>
      <c r="AM743">
        <v>4</v>
      </c>
      <c r="AN743" t="s">
        <v>74</v>
      </c>
      <c r="AO743">
        <v>1</v>
      </c>
      <c r="AP743" t="s">
        <v>74</v>
      </c>
      <c r="AQ743">
        <v>0</v>
      </c>
      <c r="AR743">
        <v>0</v>
      </c>
      <c r="AS743">
        <v>0</v>
      </c>
    </row>
    <row r="744" spans="1:4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 t="str">
        <f>IF(Employee_data[[#This Row],[MonthlyIncome]]&lt;5000,"Low Income",
IF(Employee_data[[#This Row],[MonthlyIncome]]&lt;10000,"Medium Income","High Income"))</f>
        <v>Low Income</v>
      </c>
      <c r="U744" t="s">
        <v>91</v>
      </c>
      <c r="V744" t="s">
        <v>91</v>
      </c>
      <c r="W744" t="s">
        <v>91</v>
      </c>
      <c r="X744" t="s">
        <v>91</v>
      </c>
      <c r="Y744">
        <v>20165</v>
      </c>
      <c r="Z744">
        <v>4</v>
      </c>
      <c r="AA744" t="s">
        <v>42</v>
      </c>
      <c r="AB744" t="s">
        <v>43</v>
      </c>
      <c r="AC744">
        <v>18</v>
      </c>
      <c r="AD744">
        <v>3</v>
      </c>
      <c r="AE744">
        <v>2</v>
      </c>
      <c r="AF744">
        <v>80</v>
      </c>
      <c r="AG744">
        <v>0</v>
      </c>
      <c r="AH7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44">
        <v>8</v>
      </c>
      <c r="AJ744" t="s">
        <v>74</v>
      </c>
      <c r="AK744">
        <v>5</v>
      </c>
      <c r="AL744" t="s">
        <v>74</v>
      </c>
      <c r="AM744">
        <v>3</v>
      </c>
      <c r="AN744" t="s">
        <v>74</v>
      </c>
      <c r="AO744">
        <v>1</v>
      </c>
      <c r="AP744" t="s">
        <v>74</v>
      </c>
      <c r="AQ744">
        <v>0</v>
      </c>
      <c r="AR744">
        <v>0</v>
      </c>
      <c r="AS744">
        <v>0</v>
      </c>
    </row>
    <row r="745" spans="1:4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 t="str">
        <f>IF(Employee_data[[#This Row],[MonthlyIncome]]&lt;5000,"Low Income",
IF(Employee_data[[#This Row],[MonthlyIncome]]&lt;10000,"Medium Income","High Income"))</f>
        <v>High Income</v>
      </c>
      <c r="U745" t="s">
        <v>90</v>
      </c>
      <c r="V745" t="s">
        <v>90</v>
      </c>
      <c r="W745" t="s">
        <v>90</v>
      </c>
      <c r="X745" t="s">
        <v>90</v>
      </c>
      <c r="Y745">
        <v>21829</v>
      </c>
      <c r="Z745">
        <v>3</v>
      </c>
      <c r="AA745" t="s">
        <v>42</v>
      </c>
      <c r="AB745" t="s">
        <v>35</v>
      </c>
      <c r="AC745">
        <v>13</v>
      </c>
      <c r="AD745">
        <v>3</v>
      </c>
      <c r="AE745">
        <v>1</v>
      </c>
      <c r="AF745">
        <v>80</v>
      </c>
      <c r="AG745">
        <v>0</v>
      </c>
      <c r="AH7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45">
        <v>30</v>
      </c>
      <c r="AJ745" t="s">
        <v>78</v>
      </c>
      <c r="AK745">
        <v>4</v>
      </c>
      <c r="AL745" t="s">
        <v>78</v>
      </c>
      <c r="AM745">
        <v>3</v>
      </c>
      <c r="AN745" t="s">
        <v>78</v>
      </c>
      <c r="AO745">
        <v>5</v>
      </c>
      <c r="AP745" t="s">
        <v>78</v>
      </c>
      <c r="AQ745">
        <v>3</v>
      </c>
      <c r="AR745">
        <v>4</v>
      </c>
      <c r="AS745">
        <v>3</v>
      </c>
    </row>
    <row r="746" spans="1:4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 t="str">
        <f>IF(Employee_data[[#This Row],[MonthlyIncome]]&lt;5000,"Low Income",
IF(Employee_data[[#This Row],[MonthlyIncome]]&lt;10000,"Medium Income","High Income"))</f>
        <v>Low Income</v>
      </c>
      <c r="U746" t="s">
        <v>91</v>
      </c>
      <c r="V746" t="s">
        <v>91</v>
      </c>
      <c r="W746" t="s">
        <v>91</v>
      </c>
      <c r="X746" t="s">
        <v>91</v>
      </c>
      <c r="Y746">
        <v>14382</v>
      </c>
      <c r="Z746">
        <v>5</v>
      </c>
      <c r="AA746" t="s">
        <v>42</v>
      </c>
      <c r="AB746" t="s">
        <v>43</v>
      </c>
      <c r="AC746">
        <v>15</v>
      </c>
      <c r="AD746">
        <v>3</v>
      </c>
      <c r="AE746">
        <v>1</v>
      </c>
      <c r="AF746">
        <v>80</v>
      </c>
      <c r="AG746">
        <v>0</v>
      </c>
      <c r="AH7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46">
        <v>15</v>
      </c>
      <c r="AJ746" t="s">
        <v>74</v>
      </c>
      <c r="AK746">
        <v>2</v>
      </c>
      <c r="AL746" t="s">
        <v>74</v>
      </c>
      <c r="AM746">
        <v>1</v>
      </c>
      <c r="AN746" t="s">
        <v>74</v>
      </c>
      <c r="AO746">
        <v>1</v>
      </c>
      <c r="AP746" t="s">
        <v>74</v>
      </c>
      <c r="AQ746">
        <v>0</v>
      </c>
      <c r="AR746">
        <v>0</v>
      </c>
      <c r="AS746">
        <v>0</v>
      </c>
    </row>
    <row r="747" spans="1:4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 t="str">
        <f>IF(Employee_data[[#This Row],[MonthlyIncome]]&lt;5000,"Low Income",
IF(Employee_data[[#This Row],[MonthlyIncome]]&lt;10000,"Medium Income","High Income"))</f>
        <v>Medium Income</v>
      </c>
      <c r="U747" t="s">
        <v>92</v>
      </c>
      <c r="V747" t="s">
        <v>92</v>
      </c>
      <c r="W747" t="s">
        <v>92</v>
      </c>
      <c r="X747" t="s">
        <v>92</v>
      </c>
      <c r="Y747">
        <v>12992</v>
      </c>
      <c r="Z747">
        <v>3</v>
      </c>
      <c r="AA747" t="s">
        <v>42</v>
      </c>
      <c r="AB747" t="s">
        <v>35</v>
      </c>
      <c r="AC747">
        <v>14</v>
      </c>
      <c r="AD747">
        <v>3</v>
      </c>
      <c r="AE747">
        <v>4</v>
      </c>
      <c r="AF747">
        <v>80</v>
      </c>
      <c r="AG747">
        <v>2</v>
      </c>
      <c r="AH7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47">
        <v>17</v>
      </c>
      <c r="AJ747" t="s">
        <v>78</v>
      </c>
      <c r="AK747">
        <v>3</v>
      </c>
      <c r="AL747" t="s">
        <v>78</v>
      </c>
      <c r="AM747">
        <v>3</v>
      </c>
      <c r="AN747" t="s">
        <v>78</v>
      </c>
      <c r="AO747">
        <v>8</v>
      </c>
      <c r="AP747" t="s">
        <v>78</v>
      </c>
      <c r="AQ747">
        <v>7</v>
      </c>
      <c r="AR747">
        <v>6</v>
      </c>
      <c r="AS747">
        <v>7</v>
      </c>
    </row>
    <row r="748" spans="1:4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 t="str">
        <f>IF(Employee_data[[#This Row],[MonthlyIncome]]&lt;5000,"Low Income",
IF(Employee_data[[#This Row],[MonthlyIncome]]&lt;10000,"Medium Income","High Income"))</f>
        <v>High Income</v>
      </c>
      <c r="U748" t="s">
        <v>90</v>
      </c>
      <c r="V748" t="s">
        <v>90</v>
      </c>
      <c r="W748" t="s">
        <v>90</v>
      </c>
      <c r="X748" t="s">
        <v>90</v>
      </c>
      <c r="Y748">
        <v>20284</v>
      </c>
      <c r="Z748">
        <v>1</v>
      </c>
      <c r="AA748" t="s">
        <v>42</v>
      </c>
      <c r="AB748" t="s">
        <v>43</v>
      </c>
      <c r="AC748">
        <v>22</v>
      </c>
      <c r="AD748">
        <v>4</v>
      </c>
      <c r="AE748">
        <v>2</v>
      </c>
      <c r="AF748">
        <v>80</v>
      </c>
      <c r="AG748">
        <v>2</v>
      </c>
      <c r="AH7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48">
        <v>21</v>
      </c>
      <c r="AJ748" t="s">
        <v>76</v>
      </c>
      <c r="AK748">
        <v>3</v>
      </c>
      <c r="AL748" t="s">
        <v>76</v>
      </c>
      <c r="AM748">
        <v>3</v>
      </c>
      <c r="AN748" t="s">
        <v>76</v>
      </c>
      <c r="AO748">
        <v>21</v>
      </c>
      <c r="AP748" t="s">
        <v>76</v>
      </c>
      <c r="AQ748">
        <v>16</v>
      </c>
      <c r="AR748">
        <v>5</v>
      </c>
      <c r="AS748">
        <v>10</v>
      </c>
    </row>
    <row r="749" spans="1:4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 t="str">
        <f>IF(Employee_data[[#This Row],[MonthlyIncome]]&lt;5000,"Low Income",
IF(Employee_data[[#This Row],[MonthlyIncome]]&lt;10000,"Medium Income","High Income"))</f>
        <v>Medium Income</v>
      </c>
      <c r="U749" t="s">
        <v>92</v>
      </c>
      <c r="V749" t="s">
        <v>92</v>
      </c>
      <c r="W749" t="s">
        <v>92</v>
      </c>
      <c r="X749" t="s">
        <v>92</v>
      </c>
      <c r="Y749">
        <v>4981</v>
      </c>
      <c r="Z749">
        <v>8</v>
      </c>
      <c r="AA749" t="s">
        <v>42</v>
      </c>
      <c r="AB749" t="s">
        <v>35</v>
      </c>
      <c r="AC749">
        <v>12</v>
      </c>
      <c r="AD749">
        <v>3</v>
      </c>
      <c r="AE749">
        <v>3</v>
      </c>
      <c r="AF749">
        <v>80</v>
      </c>
      <c r="AG749">
        <v>0</v>
      </c>
      <c r="AH7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49">
        <v>19</v>
      </c>
      <c r="AJ749" t="s">
        <v>74</v>
      </c>
      <c r="AK749">
        <v>1</v>
      </c>
      <c r="AL749" t="s">
        <v>74</v>
      </c>
      <c r="AM749">
        <v>3</v>
      </c>
      <c r="AN749" t="s">
        <v>74</v>
      </c>
      <c r="AO749">
        <v>1</v>
      </c>
      <c r="AP749" t="s">
        <v>74</v>
      </c>
      <c r="AQ749">
        <v>0</v>
      </c>
      <c r="AR749">
        <v>0</v>
      </c>
      <c r="AS749">
        <v>0</v>
      </c>
    </row>
    <row r="750" spans="1:4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 t="str">
        <f>IF(Employee_data[[#This Row],[MonthlyIncome]]&lt;5000,"Low Income",
IF(Employee_data[[#This Row],[MonthlyIncome]]&lt;10000,"Medium Income","High Income"))</f>
        <v>Low Income</v>
      </c>
      <c r="U750" t="s">
        <v>91</v>
      </c>
      <c r="V750" t="s">
        <v>91</v>
      </c>
      <c r="W750" t="s">
        <v>91</v>
      </c>
      <c r="X750" t="s">
        <v>91</v>
      </c>
      <c r="Y750">
        <v>21813</v>
      </c>
      <c r="Z750">
        <v>8</v>
      </c>
      <c r="AA750" t="s">
        <v>42</v>
      </c>
      <c r="AB750" t="s">
        <v>43</v>
      </c>
      <c r="AC750">
        <v>18</v>
      </c>
      <c r="AD750">
        <v>3</v>
      </c>
      <c r="AE750">
        <v>4</v>
      </c>
      <c r="AF750">
        <v>80</v>
      </c>
      <c r="AG750">
        <v>0</v>
      </c>
      <c r="AH7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50">
        <v>7</v>
      </c>
      <c r="AJ750" t="s">
        <v>74</v>
      </c>
      <c r="AK750">
        <v>6</v>
      </c>
      <c r="AL750" t="s">
        <v>74</v>
      </c>
      <c r="AM750">
        <v>3</v>
      </c>
      <c r="AN750" t="s">
        <v>74</v>
      </c>
      <c r="AO750">
        <v>2</v>
      </c>
      <c r="AP750" t="s">
        <v>74</v>
      </c>
      <c r="AQ750">
        <v>2</v>
      </c>
      <c r="AR750">
        <v>2</v>
      </c>
      <c r="AS750">
        <v>2</v>
      </c>
    </row>
    <row r="751" spans="1:4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 t="str">
        <f>IF(Employee_data[[#This Row],[MonthlyIncome]]&lt;5000,"Low Income",
IF(Employee_data[[#This Row],[MonthlyIncome]]&lt;10000,"Medium Income","High Income"))</f>
        <v>High Income</v>
      </c>
      <c r="U751" t="s">
        <v>90</v>
      </c>
      <c r="V751" t="s">
        <v>90</v>
      </c>
      <c r="W751" t="s">
        <v>90</v>
      </c>
      <c r="X751" t="s">
        <v>90</v>
      </c>
      <c r="Y751">
        <v>25846</v>
      </c>
      <c r="Z751">
        <v>1</v>
      </c>
      <c r="AA751" t="s">
        <v>42</v>
      </c>
      <c r="AB751" t="s">
        <v>43</v>
      </c>
      <c r="AC751">
        <v>15</v>
      </c>
      <c r="AD751">
        <v>3</v>
      </c>
      <c r="AE751">
        <v>4</v>
      </c>
      <c r="AF751">
        <v>80</v>
      </c>
      <c r="AG751">
        <v>1</v>
      </c>
      <c r="AH7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751">
        <v>33</v>
      </c>
      <c r="AJ751" t="s">
        <v>77</v>
      </c>
      <c r="AK751">
        <v>3</v>
      </c>
      <c r="AL751" t="s">
        <v>77</v>
      </c>
      <c r="AM751">
        <v>3</v>
      </c>
      <c r="AN751" t="s">
        <v>77</v>
      </c>
      <c r="AO751">
        <v>32</v>
      </c>
      <c r="AP751" t="s">
        <v>77</v>
      </c>
      <c r="AQ751">
        <v>14</v>
      </c>
      <c r="AR751">
        <v>6</v>
      </c>
      <c r="AS751">
        <v>9</v>
      </c>
    </row>
    <row r="752" spans="1:4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 t="str">
        <f>IF(Employee_data[[#This Row],[MonthlyIncome]]&lt;5000,"Low Income",
IF(Employee_data[[#This Row],[MonthlyIncome]]&lt;10000,"Medium Income","High Income"))</f>
        <v>High Income</v>
      </c>
      <c r="U752" t="s">
        <v>90</v>
      </c>
      <c r="V752" t="s">
        <v>90</v>
      </c>
      <c r="W752" t="s">
        <v>90</v>
      </c>
      <c r="X752" t="s">
        <v>90</v>
      </c>
      <c r="Y752">
        <v>11737</v>
      </c>
      <c r="Z752">
        <v>3</v>
      </c>
      <c r="AA752" t="s">
        <v>42</v>
      </c>
      <c r="AB752" t="s">
        <v>35</v>
      </c>
      <c r="AC752">
        <v>18</v>
      </c>
      <c r="AD752">
        <v>3</v>
      </c>
      <c r="AE752">
        <v>3</v>
      </c>
      <c r="AF752">
        <v>80</v>
      </c>
      <c r="AG752">
        <v>1</v>
      </c>
      <c r="AH7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52">
        <v>23</v>
      </c>
      <c r="AJ752" t="s">
        <v>75</v>
      </c>
      <c r="AK752">
        <v>2</v>
      </c>
      <c r="AL752" t="s">
        <v>75</v>
      </c>
      <c r="AM752">
        <v>3</v>
      </c>
      <c r="AN752" t="s">
        <v>75</v>
      </c>
      <c r="AO752">
        <v>12</v>
      </c>
      <c r="AP752" t="s">
        <v>75</v>
      </c>
      <c r="AQ752">
        <v>11</v>
      </c>
      <c r="AR752">
        <v>11</v>
      </c>
      <c r="AS752">
        <v>11</v>
      </c>
    </row>
    <row r="753" spans="1:4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 t="str">
        <f>IF(Employee_data[[#This Row],[MonthlyIncome]]&lt;5000,"Low Income",
IF(Employee_data[[#This Row],[MonthlyIncome]]&lt;10000,"Medium Income","High Income"))</f>
        <v>Medium Income</v>
      </c>
      <c r="U753" t="s">
        <v>92</v>
      </c>
      <c r="V753" t="s">
        <v>92</v>
      </c>
      <c r="W753" t="s">
        <v>92</v>
      </c>
      <c r="X753" t="s">
        <v>92</v>
      </c>
      <c r="Y753">
        <v>24920</v>
      </c>
      <c r="Z753">
        <v>0</v>
      </c>
      <c r="AA753" t="s">
        <v>42</v>
      </c>
      <c r="AB753" t="s">
        <v>43</v>
      </c>
      <c r="AC753">
        <v>12</v>
      </c>
      <c r="AD753">
        <v>3</v>
      </c>
      <c r="AE753">
        <v>1</v>
      </c>
      <c r="AF753">
        <v>80</v>
      </c>
      <c r="AG753">
        <v>1</v>
      </c>
      <c r="AH7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53">
        <v>19</v>
      </c>
      <c r="AJ753" t="s">
        <v>76</v>
      </c>
      <c r="AK753">
        <v>3</v>
      </c>
      <c r="AL753" t="s">
        <v>76</v>
      </c>
      <c r="AM753">
        <v>3</v>
      </c>
      <c r="AN753" t="s">
        <v>76</v>
      </c>
      <c r="AO753">
        <v>18</v>
      </c>
      <c r="AP753" t="s">
        <v>76</v>
      </c>
      <c r="AQ753">
        <v>7</v>
      </c>
      <c r="AR753">
        <v>0</v>
      </c>
      <c r="AS753">
        <v>13</v>
      </c>
    </row>
    <row r="754" spans="1:4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 t="str">
        <f>IF(Employee_data[[#This Row],[MonthlyIncome]]&lt;5000,"Low Income",
IF(Employee_data[[#This Row],[MonthlyIncome]]&lt;10000,"Medium Income","High Income"))</f>
        <v>Low Income</v>
      </c>
      <c r="U754" t="s">
        <v>91</v>
      </c>
      <c r="V754" t="s">
        <v>91</v>
      </c>
      <c r="W754" t="s">
        <v>91</v>
      </c>
      <c r="X754" t="s">
        <v>91</v>
      </c>
      <c r="Y754">
        <v>8269</v>
      </c>
      <c r="Z754">
        <v>1</v>
      </c>
      <c r="AA754" t="s">
        <v>42</v>
      </c>
      <c r="AB754" t="s">
        <v>43</v>
      </c>
      <c r="AC754">
        <v>16</v>
      </c>
      <c r="AD754">
        <v>3</v>
      </c>
      <c r="AE754">
        <v>3</v>
      </c>
      <c r="AF754">
        <v>80</v>
      </c>
      <c r="AG754">
        <v>0</v>
      </c>
      <c r="AH7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54">
        <v>18</v>
      </c>
      <c r="AJ754" t="s">
        <v>76</v>
      </c>
      <c r="AK754">
        <v>1</v>
      </c>
      <c r="AL754" t="s">
        <v>76</v>
      </c>
      <c r="AM754">
        <v>3</v>
      </c>
      <c r="AN754" t="s">
        <v>76</v>
      </c>
      <c r="AO754">
        <v>17</v>
      </c>
      <c r="AP754" t="s">
        <v>76</v>
      </c>
      <c r="AQ754">
        <v>13</v>
      </c>
      <c r="AR754">
        <v>15</v>
      </c>
      <c r="AS754">
        <v>14</v>
      </c>
    </row>
    <row r="755" spans="1:4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 t="str">
        <f>IF(Employee_data[[#This Row],[MonthlyIncome]]&lt;5000,"Low Income",
IF(Employee_data[[#This Row],[MonthlyIncome]]&lt;10000,"Medium Income","High Income"))</f>
        <v>High Income</v>
      </c>
      <c r="U755" t="s">
        <v>90</v>
      </c>
      <c r="V755" t="s">
        <v>90</v>
      </c>
      <c r="W755" t="s">
        <v>90</v>
      </c>
      <c r="X755" t="s">
        <v>90</v>
      </c>
      <c r="Y755">
        <v>5083</v>
      </c>
      <c r="Z755">
        <v>1</v>
      </c>
      <c r="AA755" t="s">
        <v>42</v>
      </c>
      <c r="AB755" t="s">
        <v>35</v>
      </c>
      <c r="AC755">
        <v>13</v>
      </c>
      <c r="AD755">
        <v>3</v>
      </c>
      <c r="AE755">
        <v>3</v>
      </c>
      <c r="AF755">
        <v>80</v>
      </c>
      <c r="AG755">
        <v>0</v>
      </c>
      <c r="AH7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55">
        <v>21</v>
      </c>
      <c r="AJ755" t="s">
        <v>76</v>
      </c>
      <c r="AK755">
        <v>2</v>
      </c>
      <c r="AL755" t="s">
        <v>76</v>
      </c>
      <c r="AM755">
        <v>3</v>
      </c>
      <c r="AN755" t="s">
        <v>76</v>
      </c>
      <c r="AO755">
        <v>21</v>
      </c>
      <c r="AP755" t="s">
        <v>76</v>
      </c>
      <c r="AQ755">
        <v>6</v>
      </c>
      <c r="AR755">
        <v>2</v>
      </c>
      <c r="AS755">
        <v>8</v>
      </c>
    </row>
    <row r="756" spans="1:4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 t="str">
        <f>IF(Employee_data[[#This Row],[MonthlyIncome]]&lt;5000,"Low Income",
IF(Employee_data[[#This Row],[MonthlyIncome]]&lt;10000,"Medium Income","High Income"))</f>
        <v>Low Income</v>
      </c>
      <c r="U756" t="s">
        <v>91</v>
      </c>
      <c r="V756" t="s">
        <v>91</v>
      </c>
      <c r="W756" t="s">
        <v>91</v>
      </c>
      <c r="X756" t="s">
        <v>91</v>
      </c>
      <c r="Y756">
        <v>21437</v>
      </c>
      <c r="Z756">
        <v>0</v>
      </c>
      <c r="AA756" t="s">
        <v>42</v>
      </c>
      <c r="AB756" t="s">
        <v>43</v>
      </c>
      <c r="AC756">
        <v>19</v>
      </c>
      <c r="AD756">
        <v>3</v>
      </c>
      <c r="AE756">
        <v>4</v>
      </c>
      <c r="AF756">
        <v>80</v>
      </c>
      <c r="AG756">
        <v>0</v>
      </c>
      <c r="AH7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56">
        <v>3</v>
      </c>
      <c r="AJ756" t="s">
        <v>74</v>
      </c>
      <c r="AK756">
        <v>2</v>
      </c>
      <c r="AL756" t="s">
        <v>74</v>
      </c>
      <c r="AM756">
        <v>2</v>
      </c>
      <c r="AN756" t="s">
        <v>74</v>
      </c>
      <c r="AO756">
        <v>2</v>
      </c>
      <c r="AP756" t="s">
        <v>74</v>
      </c>
      <c r="AQ756">
        <v>2</v>
      </c>
      <c r="AR756">
        <v>2</v>
      </c>
      <c r="AS756">
        <v>2</v>
      </c>
    </row>
    <row r="757" spans="1:4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 t="str">
        <f>IF(Employee_data[[#This Row],[MonthlyIncome]]&lt;5000,"Low Income",
IF(Employee_data[[#This Row],[MonthlyIncome]]&lt;10000,"Medium Income","High Income"))</f>
        <v>High Income</v>
      </c>
      <c r="U757" t="s">
        <v>90</v>
      </c>
      <c r="V757" t="s">
        <v>90</v>
      </c>
      <c r="W757" t="s">
        <v>90</v>
      </c>
      <c r="X757" t="s">
        <v>90</v>
      </c>
      <c r="Y757">
        <v>5404</v>
      </c>
      <c r="Z757">
        <v>3</v>
      </c>
      <c r="AA757" t="s">
        <v>42</v>
      </c>
      <c r="AB757" t="s">
        <v>43</v>
      </c>
      <c r="AC757">
        <v>13</v>
      </c>
      <c r="AD757">
        <v>3</v>
      </c>
      <c r="AE757">
        <v>2</v>
      </c>
      <c r="AF757">
        <v>80</v>
      </c>
      <c r="AG757">
        <v>1</v>
      </c>
      <c r="AH7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57">
        <v>26</v>
      </c>
      <c r="AJ757" t="s">
        <v>78</v>
      </c>
      <c r="AK757">
        <v>4</v>
      </c>
      <c r="AL757" t="s">
        <v>78</v>
      </c>
      <c r="AM757">
        <v>4</v>
      </c>
      <c r="AN757" t="s">
        <v>78</v>
      </c>
      <c r="AO757">
        <v>9</v>
      </c>
      <c r="AP757" t="s">
        <v>78</v>
      </c>
      <c r="AQ757">
        <v>3</v>
      </c>
      <c r="AR757">
        <v>1</v>
      </c>
      <c r="AS757">
        <v>1</v>
      </c>
    </row>
    <row r="758" spans="1:4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 t="str">
        <f>IF(Employee_data[[#This Row],[MonthlyIncome]]&lt;5000,"Low Income",
IF(Employee_data[[#This Row],[MonthlyIncome]]&lt;10000,"Medium Income","High Income"))</f>
        <v>Low Income</v>
      </c>
      <c r="U758" t="s">
        <v>91</v>
      </c>
      <c r="V758" t="s">
        <v>91</v>
      </c>
      <c r="W758" t="s">
        <v>91</v>
      </c>
      <c r="X758" t="s">
        <v>91</v>
      </c>
      <c r="Y758">
        <v>11135</v>
      </c>
      <c r="Z758">
        <v>9</v>
      </c>
      <c r="AA758" t="s">
        <v>42</v>
      </c>
      <c r="AB758" t="s">
        <v>43</v>
      </c>
      <c r="AC758">
        <v>12</v>
      </c>
      <c r="AD758">
        <v>3</v>
      </c>
      <c r="AE758">
        <v>2</v>
      </c>
      <c r="AF758">
        <v>80</v>
      </c>
      <c r="AG758">
        <v>0</v>
      </c>
      <c r="AH7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58">
        <v>10</v>
      </c>
      <c r="AJ758" t="s">
        <v>78</v>
      </c>
      <c r="AK758">
        <v>2</v>
      </c>
      <c r="AL758" t="s">
        <v>78</v>
      </c>
      <c r="AM758">
        <v>3</v>
      </c>
      <c r="AN758" t="s">
        <v>78</v>
      </c>
      <c r="AO758">
        <v>8</v>
      </c>
      <c r="AP758" t="s">
        <v>78</v>
      </c>
      <c r="AQ758">
        <v>7</v>
      </c>
      <c r="AR758">
        <v>7</v>
      </c>
      <c r="AS758">
        <v>7</v>
      </c>
    </row>
    <row r="759" spans="1:4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 t="str">
        <f>IF(Employee_data[[#This Row],[MonthlyIncome]]&lt;5000,"Low Income",
IF(Employee_data[[#This Row],[MonthlyIncome]]&lt;10000,"Medium Income","High Income"))</f>
        <v>Medium Income</v>
      </c>
      <c r="U759" t="s">
        <v>92</v>
      </c>
      <c r="V759" t="s">
        <v>92</v>
      </c>
      <c r="W759" t="s">
        <v>92</v>
      </c>
      <c r="X759" t="s">
        <v>92</v>
      </c>
      <c r="Y759">
        <v>12278</v>
      </c>
      <c r="Z759">
        <v>0</v>
      </c>
      <c r="AA759" t="s">
        <v>42</v>
      </c>
      <c r="AB759" t="s">
        <v>43</v>
      </c>
      <c r="AC759">
        <v>11</v>
      </c>
      <c r="AD759">
        <v>3</v>
      </c>
      <c r="AE759">
        <v>4</v>
      </c>
      <c r="AF759">
        <v>80</v>
      </c>
      <c r="AG759">
        <v>1</v>
      </c>
      <c r="AH7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59">
        <v>16</v>
      </c>
      <c r="AJ759" t="s">
        <v>76</v>
      </c>
      <c r="AK759">
        <v>2</v>
      </c>
      <c r="AL759" t="s">
        <v>76</v>
      </c>
      <c r="AM759">
        <v>2</v>
      </c>
      <c r="AN759" t="s">
        <v>76</v>
      </c>
      <c r="AO759">
        <v>15</v>
      </c>
      <c r="AP759" t="s">
        <v>76</v>
      </c>
      <c r="AQ759">
        <v>1</v>
      </c>
      <c r="AR759">
        <v>0</v>
      </c>
      <c r="AS759">
        <v>9</v>
      </c>
    </row>
    <row r="760" spans="1:4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 t="str">
        <f>IF(Employee_data[[#This Row],[MonthlyIncome]]&lt;5000,"Low Income",
IF(Employee_data[[#This Row],[MonthlyIncome]]&lt;10000,"Medium Income","High Income"))</f>
        <v>High Income</v>
      </c>
      <c r="U760" t="s">
        <v>90</v>
      </c>
      <c r="V760" t="s">
        <v>90</v>
      </c>
      <c r="W760" t="s">
        <v>90</v>
      </c>
      <c r="X760" t="s">
        <v>90</v>
      </c>
      <c r="Y760">
        <v>11038</v>
      </c>
      <c r="Z760">
        <v>3</v>
      </c>
      <c r="AA760" t="s">
        <v>42</v>
      </c>
      <c r="AB760" t="s">
        <v>35</v>
      </c>
      <c r="AC760">
        <v>14</v>
      </c>
      <c r="AD760">
        <v>3</v>
      </c>
      <c r="AE760">
        <v>3</v>
      </c>
      <c r="AF760">
        <v>80</v>
      </c>
      <c r="AG760">
        <v>1</v>
      </c>
      <c r="AH7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60">
        <v>14</v>
      </c>
      <c r="AJ760" t="s">
        <v>78</v>
      </c>
      <c r="AK760">
        <v>1</v>
      </c>
      <c r="AL760" t="s">
        <v>78</v>
      </c>
      <c r="AM760">
        <v>1</v>
      </c>
      <c r="AN760" t="s">
        <v>78</v>
      </c>
      <c r="AO760">
        <v>6</v>
      </c>
      <c r="AP760" t="s">
        <v>78</v>
      </c>
      <c r="AQ760">
        <v>4</v>
      </c>
      <c r="AR760">
        <v>0</v>
      </c>
      <c r="AS760">
        <v>4</v>
      </c>
    </row>
    <row r="761" spans="1:4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 t="str">
        <f>IF(Employee_data[[#This Row],[MonthlyIncome]]&lt;5000,"Low Income",
IF(Employee_data[[#This Row],[MonthlyIncome]]&lt;10000,"Medium Income","High Income"))</f>
        <v>Low Income</v>
      </c>
      <c r="U761" t="s">
        <v>91</v>
      </c>
      <c r="V761" t="s">
        <v>91</v>
      </c>
      <c r="W761" t="s">
        <v>91</v>
      </c>
      <c r="X761" t="s">
        <v>91</v>
      </c>
      <c r="Y761">
        <v>8318</v>
      </c>
      <c r="Z761">
        <v>1</v>
      </c>
      <c r="AA761" t="s">
        <v>42</v>
      </c>
      <c r="AB761" t="s">
        <v>43</v>
      </c>
      <c r="AC761">
        <v>16</v>
      </c>
      <c r="AD761">
        <v>3</v>
      </c>
      <c r="AE761">
        <v>1</v>
      </c>
      <c r="AF761">
        <v>80</v>
      </c>
      <c r="AG761">
        <v>0</v>
      </c>
      <c r="AH7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61">
        <v>6</v>
      </c>
      <c r="AJ761" t="s">
        <v>78</v>
      </c>
      <c r="AK761">
        <v>3</v>
      </c>
      <c r="AL761" t="s">
        <v>78</v>
      </c>
      <c r="AM761">
        <v>3</v>
      </c>
      <c r="AN761" t="s">
        <v>78</v>
      </c>
      <c r="AO761">
        <v>6</v>
      </c>
      <c r="AP761" t="s">
        <v>78</v>
      </c>
      <c r="AQ761">
        <v>3</v>
      </c>
      <c r="AR761">
        <v>0</v>
      </c>
      <c r="AS761">
        <v>4</v>
      </c>
    </row>
    <row r="762" spans="1:4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 t="str">
        <f>IF(Employee_data[[#This Row],[MonthlyIncome]]&lt;5000,"Low Income",
IF(Employee_data[[#This Row],[MonthlyIncome]]&lt;10000,"Medium Income","High Income"))</f>
        <v>Medium Income</v>
      </c>
      <c r="U762" t="s">
        <v>92</v>
      </c>
      <c r="V762" t="s">
        <v>92</v>
      </c>
      <c r="W762" t="s">
        <v>92</v>
      </c>
      <c r="X762" t="s">
        <v>92</v>
      </c>
      <c r="Y762">
        <v>23537</v>
      </c>
      <c r="Z762">
        <v>2</v>
      </c>
      <c r="AA762" t="s">
        <v>42</v>
      </c>
      <c r="AB762" t="s">
        <v>43</v>
      </c>
      <c r="AC762">
        <v>12</v>
      </c>
      <c r="AD762">
        <v>3</v>
      </c>
      <c r="AE762">
        <v>1</v>
      </c>
      <c r="AF762">
        <v>80</v>
      </c>
      <c r="AG762">
        <v>1</v>
      </c>
      <c r="AH7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62">
        <v>30</v>
      </c>
      <c r="AJ762" t="s">
        <v>76</v>
      </c>
      <c r="AK762">
        <v>2</v>
      </c>
      <c r="AL762" t="s">
        <v>76</v>
      </c>
      <c r="AM762">
        <v>3</v>
      </c>
      <c r="AN762" t="s">
        <v>76</v>
      </c>
      <c r="AO762">
        <v>15</v>
      </c>
      <c r="AP762" t="s">
        <v>76</v>
      </c>
      <c r="AQ762">
        <v>7</v>
      </c>
      <c r="AR762">
        <v>6</v>
      </c>
      <c r="AS762">
        <v>12</v>
      </c>
    </row>
    <row r="763" spans="1:4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 t="str">
        <f>IF(Employee_data[[#This Row],[MonthlyIncome]]&lt;5000,"Low Income",
IF(Employee_data[[#This Row],[MonthlyIncome]]&lt;10000,"Medium Income","High Income"))</f>
        <v>Low Income</v>
      </c>
      <c r="U763" t="s">
        <v>91</v>
      </c>
      <c r="V763" t="s">
        <v>91</v>
      </c>
      <c r="W763" t="s">
        <v>91</v>
      </c>
      <c r="X763" t="s">
        <v>91</v>
      </c>
      <c r="Y763">
        <v>7858</v>
      </c>
      <c r="Z763">
        <v>7</v>
      </c>
      <c r="AA763" t="s">
        <v>42</v>
      </c>
      <c r="AB763" t="s">
        <v>43</v>
      </c>
      <c r="AC763">
        <v>14</v>
      </c>
      <c r="AD763">
        <v>3</v>
      </c>
      <c r="AE763">
        <v>2</v>
      </c>
      <c r="AF763">
        <v>80</v>
      </c>
      <c r="AG763">
        <v>1</v>
      </c>
      <c r="AH7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63">
        <v>9</v>
      </c>
      <c r="AJ763" t="s">
        <v>74</v>
      </c>
      <c r="AK763">
        <v>3</v>
      </c>
      <c r="AL763" t="s">
        <v>74</v>
      </c>
      <c r="AM763">
        <v>2</v>
      </c>
      <c r="AN763" t="s">
        <v>74</v>
      </c>
      <c r="AO763">
        <v>1</v>
      </c>
      <c r="AP763" t="s">
        <v>74</v>
      </c>
      <c r="AQ763">
        <v>0</v>
      </c>
      <c r="AR763">
        <v>0</v>
      </c>
      <c r="AS763">
        <v>0</v>
      </c>
    </row>
    <row r="764" spans="1:4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 t="str">
        <f>IF(Employee_data[[#This Row],[MonthlyIncome]]&lt;5000,"Low Income",
IF(Employee_data[[#This Row],[MonthlyIncome]]&lt;10000,"Medium Income","High Income"))</f>
        <v>Low Income</v>
      </c>
      <c r="U764" t="s">
        <v>91</v>
      </c>
      <c r="V764" t="s">
        <v>91</v>
      </c>
      <c r="W764" t="s">
        <v>91</v>
      </c>
      <c r="X764" t="s">
        <v>91</v>
      </c>
      <c r="Y764">
        <v>15346</v>
      </c>
      <c r="Z764">
        <v>6</v>
      </c>
      <c r="AA764" t="s">
        <v>42</v>
      </c>
      <c r="AB764" t="s">
        <v>35</v>
      </c>
      <c r="AC764">
        <v>14</v>
      </c>
      <c r="AD764">
        <v>3</v>
      </c>
      <c r="AE764">
        <v>2</v>
      </c>
      <c r="AF764">
        <v>80</v>
      </c>
      <c r="AG764">
        <v>1</v>
      </c>
      <c r="AH7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64">
        <v>6</v>
      </c>
      <c r="AJ764" t="s">
        <v>74</v>
      </c>
      <c r="AK764">
        <v>2</v>
      </c>
      <c r="AL764" t="s">
        <v>74</v>
      </c>
      <c r="AM764">
        <v>3</v>
      </c>
      <c r="AN764" t="s">
        <v>74</v>
      </c>
      <c r="AO764">
        <v>3</v>
      </c>
      <c r="AP764" t="s">
        <v>74</v>
      </c>
      <c r="AQ764">
        <v>2</v>
      </c>
      <c r="AR764">
        <v>1</v>
      </c>
      <c r="AS764">
        <v>2</v>
      </c>
    </row>
    <row r="765" spans="1:4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 t="str">
        <f>IF(Employee_data[[#This Row],[MonthlyIncome]]&lt;5000,"Low Income",
IF(Employee_data[[#This Row],[MonthlyIncome]]&lt;10000,"Medium Income","High Income"))</f>
        <v>Low Income</v>
      </c>
      <c r="U765" t="s">
        <v>91</v>
      </c>
      <c r="V765" t="s">
        <v>91</v>
      </c>
      <c r="W765" t="s">
        <v>91</v>
      </c>
      <c r="X765" t="s">
        <v>91</v>
      </c>
      <c r="Y765">
        <v>18410</v>
      </c>
      <c r="Z765">
        <v>1</v>
      </c>
      <c r="AA765" t="s">
        <v>42</v>
      </c>
      <c r="AB765" t="s">
        <v>35</v>
      </c>
      <c r="AC765">
        <v>19</v>
      </c>
      <c r="AD765">
        <v>3</v>
      </c>
      <c r="AE765">
        <v>4</v>
      </c>
      <c r="AF765">
        <v>80</v>
      </c>
      <c r="AG765">
        <v>1</v>
      </c>
      <c r="AH7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65">
        <v>1</v>
      </c>
      <c r="AJ765" t="s">
        <v>74</v>
      </c>
      <c r="AK765">
        <v>2</v>
      </c>
      <c r="AL765" t="s">
        <v>74</v>
      </c>
      <c r="AM765">
        <v>3</v>
      </c>
      <c r="AN765" t="s">
        <v>74</v>
      </c>
      <c r="AO765">
        <v>1</v>
      </c>
      <c r="AP765" t="s">
        <v>74</v>
      </c>
      <c r="AQ765">
        <v>1</v>
      </c>
      <c r="AR765">
        <v>0</v>
      </c>
      <c r="AS765">
        <v>0</v>
      </c>
    </row>
    <row r="766" spans="1:4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 t="str">
        <f>IF(Employee_data[[#This Row],[MonthlyIncome]]&lt;5000,"Low Income",
IF(Employee_data[[#This Row],[MonthlyIncome]]&lt;10000,"Medium Income","High Income"))</f>
        <v>Low Income</v>
      </c>
      <c r="U766" t="s">
        <v>91</v>
      </c>
      <c r="V766" t="s">
        <v>91</v>
      </c>
      <c r="W766" t="s">
        <v>91</v>
      </c>
      <c r="X766" t="s">
        <v>91</v>
      </c>
      <c r="Y766">
        <v>23384</v>
      </c>
      <c r="Z766">
        <v>1</v>
      </c>
      <c r="AA766" t="s">
        <v>42</v>
      </c>
      <c r="AB766" t="s">
        <v>43</v>
      </c>
      <c r="AC766">
        <v>22</v>
      </c>
      <c r="AD766">
        <v>4</v>
      </c>
      <c r="AE766">
        <v>2</v>
      </c>
      <c r="AF766">
        <v>80</v>
      </c>
      <c r="AG766">
        <v>0</v>
      </c>
      <c r="AH7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66">
        <v>1</v>
      </c>
      <c r="AJ766" t="s">
        <v>74</v>
      </c>
      <c r="AK766">
        <v>5</v>
      </c>
      <c r="AL766" t="s">
        <v>74</v>
      </c>
      <c r="AM766">
        <v>3</v>
      </c>
      <c r="AN766" t="s">
        <v>74</v>
      </c>
      <c r="AO766">
        <v>1</v>
      </c>
      <c r="AP766" t="s">
        <v>74</v>
      </c>
      <c r="AQ766">
        <v>0</v>
      </c>
      <c r="AR766">
        <v>0</v>
      </c>
      <c r="AS766">
        <v>0</v>
      </c>
    </row>
    <row r="767" spans="1:4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 t="str">
        <f>IF(Employee_data[[#This Row],[MonthlyIncome]]&lt;5000,"Low Income",
IF(Employee_data[[#This Row],[MonthlyIncome]]&lt;10000,"Medium Income","High Income"))</f>
        <v>Low Income</v>
      </c>
      <c r="U767" t="s">
        <v>91</v>
      </c>
      <c r="V767" t="s">
        <v>91</v>
      </c>
      <c r="W767" t="s">
        <v>91</v>
      </c>
      <c r="X767" t="s">
        <v>91</v>
      </c>
      <c r="Y767">
        <v>2997</v>
      </c>
      <c r="Z767">
        <v>3</v>
      </c>
      <c r="AA767" t="s">
        <v>42</v>
      </c>
      <c r="AB767" t="s">
        <v>43</v>
      </c>
      <c r="AC767">
        <v>16</v>
      </c>
      <c r="AD767">
        <v>3</v>
      </c>
      <c r="AE767">
        <v>1</v>
      </c>
      <c r="AF767">
        <v>80</v>
      </c>
      <c r="AG767">
        <v>1</v>
      </c>
      <c r="AH7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67">
        <v>8</v>
      </c>
      <c r="AJ767" t="s">
        <v>74</v>
      </c>
      <c r="AK767">
        <v>2</v>
      </c>
      <c r="AL767" t="s">
        <v>74</v>
      </c>
      <c r="AM767">
        <v>3</v>
      </c>
      <c r="AN767" t="s">
        <v>74</v>
      </c>
      <c r="AO767">
        <v>2</v>
      </c>
      <c r="AP767" t="s">
        <v>74</v>
      </c>
      <c r="AQ767">
        <v>2</v>
      </c>
      <c r="AR767">
        <v>2</v>
      </c>
      <c r="AS767">
        <v>2</v>
      </c>
    </row>
    <row r="768" spans="1:4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 t="str">
        <f>IF(Employee_data[[#This Row],[MonthlyIncome]]&lt;5000,"Low Income",
IF(Employee_data[[#This Row],[MonthlyIncome]]&lt;10000,"Medium Income","High Income"))</f>
        <v>High Income</v>
      </c>
      <c r="U768" t="s">
        <v>90</v>
      </c>
      <c r="V768" t="s">
        <v>90</v>
      </c>
      <c r="W768" t="s">
        <v>90</v>
      </c>
      <c r="X768" t="s">
        <v>90</v>
      </c>
      <c r="Y768">
        <v>12853</v>
      </c>
      <c r="Z768">
        <v>2</v>
      </c>
      <c r="AA768" t="s">
        <v>42</v>
      </c>
      <c r="AB768" t="s">
        <v>35</v>
      </c>
      <c r="AC768">
        <v>11</v>
      </c>
      <c r="AD768">
        <v>3</v>
      </c>
      <c r="AE768">
        <v>4</v>
      </c>
      <c r="AF768">
        <v>80</v>
      </c>
      <c r="AG768">
        <v>1</v>
      </c>
      <c r="AH7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68">
        <v>29</v>
      </c>
      <c r="AJ768" t="s">
        <v>78</v>
      </c>
      <c r="AK768">
        <v>2</v>
      </c>
      <c r="AL768" t="s">
        <v>78</v>
      </c>
      <c r="AM768">
        <v>2</v>
      </c>
      <c r="AN768" t="s">
        <v>78</v>
      </c>
      <c r="AO768">
        <v>8</v>
      </c>
      <c r="AP768" t="s">
        <v>78</v>
      </c>
      <c r="AQ768">
        <v>1</v>
      </c>
      <c r="AR768">
        <v>7</v>
      </c>
      <c r="AS768">
        <v>7</v>
      </c>
    </row>
    <row r="769" spans="1:4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 t="str">
        <f>IF(Employee_data[[#This Row],[MonthlyIncome]]&lt;5000,"Low Income",
IF(Employee_data[[#This Row],[MonthlyIncome]]&lt;10000,"Medium Income","High Income"))</f>
        <v>Low Income</v>
      </c>
      <c r="U769" t="s">
        <v>91</v>
      </c>
      <c r="V769" t="s">
        <v>91</v>
      </c>
      <c r="W769" t="s">
        <v>91</v>
      </c>
      <c r="X769" t="s">
        <v>91</v>
      </c>
      <c r="Y769">
        <v>13848</v>
      </c>
      <c r="Z769">
        <v>3</v>
      </c>
      <c r="AA769" t="s">
        <v>42</v>
      </c>
      <c r="AB769" t="s">
        <v>43</v>
      </c>
      <c r="AC769">
        <v>15</v>
      </c>
      <c r="AD769">
        <v>3</v>
      </c>
      <c r="AE769">
        <v>1</v>
      </c>
      <c r="AF769">
        <v>80</v>
      </c>
      <c r="AG769">
        <v>0</v>
      </c>
      <c r="AH7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69">
        <v>8</v>
      </c>
      <c r="AJ769" t="s">
        <v>74</v>
      </c>
      <c r="AK769">
        <v>3</v>
      </c>
      <c r="AL769" t="s">
        <v>74</v>
      </c>
      <c r="AM769">
        <v>2</v>
      </c>
      <c r="AN769" t="s">
        <v>74</v>
      </c>
      <c r="AO769">
        <v>4</v>
      </c>
      <c r="AP769" t="s">
        <v>74</v>
      </c>
      <c r="AQ769">
        <v>3</v>
      </c>
      <c r="AR769">
        <v>0</v>
      </c>
      <c r="AS769">
        <v>1</v>
      </c>
    </row>
    <row r="770" spans="1:4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 t="str">
        <f>IF(Employee_data[[#This Row],[MonthlyIncome]]&lt;5000,"Low Income",
IF(Employee_data[[#This Row],[MonthlyIncome]]&lt;10000,"Medium Income","High Income"))</f>
        <v>Medium Income</v>
      </c>
      <c r="U770" t="s">
        <v>92</v>
      </c>
      <c r="V770" t="s">
        <v>92</v>
      </c>
      <c r="W770" t="s">
        <v>92</v>
      </c>
      <c r="X770" t="s">
        <v>92</v>
      </c>
      <c r="Y770">
        <v>22217</v>
      </c>
      <c r="Z770">
        <v>1</v>
      </c>
      <c r="AA770" t="s">
        <v>42</v>
      </c>
      <c r="AB770" t="s">
        <v>43</v>
      </c>
      <c r="AC770">
        <v>14</v>
      </c>
      <c r="AD770">
        <v>3</v>
      </c>
      <c r="AE770">
        <v>2</v>
      </c>
      <c r="AF770">
        <v>80</v>
      </c>
      <c r="AG770">
        <v>1</v>
      </c>
      <c r="AH7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70">
        <v>8</v>
      </c>
      <c r="AJ770" t="s">
        <v>78</v>
      </c>
      <c r="AK770">
        <v>3</v>
      </c>
      <c r="AL770" t="s">
        <v>78</v>
      </c>
      <c r="AM770">
        <v>2</v>
      </c>
      <c r="AN770" t="s">
        <v>78</v>
      </c>
      <c r="AO770">
        <v>7</v>
      </c>
      <c r="AP770" t="s">
        <v>78</v>
      </c>
      <c r="AQ770">
        <v>7</v>
      </c>
      <c r="AR770">
        <v>7</v>
      </c>
      <c r="AS770">
        <v>5</v>
      </c>
    </row>
    <row r="771" spans="1:4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 t="str">
        <f>IF(Employee_data[[#This Row],[MonthlyIncome]]&lt;5000,"Low Income",
IF(Employee_data[[#This Row],[MonthlyIncome]]&lt;10000,"Medium Income","High Income"))</f>
        <v>Low Income</v>
      </c>
      <c r="U771" t="s">
        <v>91</v>
      </c>
      <c r="V771" t="s">
        <v>91</v>
      </c>
      <c r="W771" t="s">
        <v>91</v>
      </c>
      <c r="X771" t="s">
        <v>91</v>
      </c>
      <c r="Y771">
        <v>25265</v>
      </c>
      <c r="Z771">
        <v>1</v>
      </c>
      <c r="AA771" t="s">
        <v>42</v>
      </c>
      <c r="AB771" t="s">
        <v>43</v>
      </c>
      <c r="AC771">
        <v>13</v>
      </c>
      <c r="AD771">
        <v>3</v>
      </c>
      <c r="AE771">
        <v>3</v>
      </c>
      <c r="AF771">
        <v>80</v>
      </c>
      <c r="AG771">
        <v>2</v>
      </c>
      <c r="AH7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71">
        <v>5</v>
      </c>
      <c r="AJ771" t="s">
        <v>78</v>
      </c>
      <c r="AK771">
        <v>5</v>
      </c>
      <c r="AL771" t="s">
        <v>78</v>
      </c>
      <c r="AM771">
        <v>3</v>
      </c>
      <c r="AN771" t="s">
        <v>78</v>
      </c>
      <c r="AO771">
        <v>5</v>
      </c>
      <c r="AP771" t="s">
        <v>78</v>
      </c>
      <c r="AQ771">
        <v>3</v>
      </c>
      <c r="AR771">
        <v>1</v>
      </c>
      <c r="AS771">
        <v>3</v>
      </c>
    </row>
    <row r="772" spans="1:4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 t="str">
        <f>IF(Employee_data[[#This Row],[MonthlyIncome]]&lt;5000,"Low Income",
IF(Employee_data[[#This Row],[MonthlyIncome]]&lt;10000,"Medium Income","High Income"))</f>
        <v>High Income</v>
      </c>
      <c r="U772" t="s">
        <v>90</v>
      </c>
      <c r="V772" t="s">
        <v>90</v>
      </c>
      <c r="W772" t="s">
        <v>90</v>
      </c>
      <c r="X772" t="s">
        <v>90</v>
      </c>
      <c r="Y772">
        <v>21445</v>
      </c>
      <c r="Z772">
        <v>9</v>
      </c>
      <c r="AA772" t="s">
        <v>42</v>
      </c>
      <c r="AB772" t="s">
        <v>43</v>
      </c>
      <c r="AC772">
        <v>17</v>
      </c>
      <c r="AD772">
        <v>3</v>
      </c>
      <c r="AE772">
        <v>4</v>
      </c>
      <c r="AF772">
        <v>80</v>
      </c>
      <c r="AG772">
        <v>2</v>
      </c>
      <c r="AH7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72">
        <v>23</v>
      </c>
      <c r="AJ772" t="s">
        <v>74</v>
      </c>
      <c r="AK772">
        <v>0</v>
      </c>
      <c r="AL772" t="s">
        <v>74</v>
      </c>
      <c r="AM772">
        <v>3</v>
      </c>
      <c r="AN772" t="s">
        <v>74</v>
      </c>
      <c r="AO772">
        <v>2</v>
      </c>
      <c r="AP772" t="s">
        <v>74</v>
      </c>
      <c r="AQ772">
        <v>2</v>
      </c>
      <c r="AR772">
        <v>2</v>
      </c>
      <c r="AS772">
        <v>2</v>
      </c>
    </row>
    <row r="773" spans="1:4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 t="str">
        <f>IF(Employee_data[[#This Row],[MonthlyIncome]]&lt;5000,"Low Income",
IF(Employee_data[[#This Row],[MonthlyIncome]]&lt;10000,"Medium Income","High Income"))</f>
        <v>High Income</v>
      </c>
      <c r="U773" t="s">
        <v>90</v>
      </c>
      <c r="V773" t="s">
        <v>90</v>
      </c>
      <c r="W773" t="s">
        <v>90</v>
      </c>
      <c r="X773" t="s">
        <v>90</v>
      </c>
      <c r="Y773">
        <v>8392</v>
      </c>
      <c r="Z773">
        <v>6</v>
      </c>
      <c r="AA773" t="s">
        <v>42</v>
      </c>
      <c r="AB773" t="s">
        <v>43</v>
      </c>
      <c r="AC773">
        <v>11</v>
      </c>
      <c r="AD773">
        <v>3</v>
      </c>
      <c r="AE773">
        <v>2</v>
      </c>
      <c r="AF773">
        <v>80</v>
      </c>
      <c r="AG773">
        <v>1</v>
      </c>
      <c r="AH7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73">
        <v>13</v>
      </c>
      <c r="AJ773" t="s">
        <v>78</v>
      </c>
      <c r="AK773">
        <v>4</v>
      </c>
      <c r="AL773" t="s">
        <v>78</v>
      </c>
      <c r="AM773">
        <v>3</v>
      </c>
      <c r="AN773" t="s">
        <v>78</v>
      </c>
      <c r="AO773">
        <v>9</v>
      </c>
      <c r="AP773" t="s">
        <v>78</v>
      </c>
      <c r="AQ773">
        <v>4</v>
      </c>
      <c r="AR773">
        <v>7</v>
      </c>
      <c r="AS773">
        <v>0</v>
      </c>
    </row>
    <row r="774" spans="1:4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 t="str">
        <f>IF(Employee_data[[#This Row],[MonthlyIncome]]&lt;5000,"Low Income",
IF(Employee_data[[#This Row],[MonthlyIncome]]&lt;10000,"Medium Income","High Income"))</f>
        <v>Low Income</v>
      </c>
      <c r="U774" t="s">
        <v>91</v>
      </c>
      <c r="V774" t="s">
        <v>91</v>
      </c>
      <c r="W774" t="s">
        <v>91</v>
      </c>
      <c r="X774" t="s">
        <v>91</v>
      </c>
      <c r="Y774">
        <v>12154</v>
      </c>
      <c r="Z774">
        <v>2</v>
      </c>
      <c r="AA774" t="s">
        <v>42</v>
      </c>
      <c r="AB774" t="s">
        <v>43</v>
      </c>
      <c r="AC774">
        <v>19</v>
      </c>
      <c r="AD774">
        <v>3</v>
      </c>
      <c r="AE774">
        <v>2</v>
      </c>
      <c r="AF774">
        <v>80</v>
      </c>
      <c r="AG774">
        <v>1</v>
      </c>
      <c r="AH7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74">
        <v>18</v>
      </c>
      <c r="AJ774" t="s">
        <v>78</v>
      </c>
      <c r="AK774">
        <v>4</v>
      </c>
      <c r="AL774" t="s">
        <v>78</v>
      </c>
      <c r="AM774">
        <v>3</v>
      </c>
      <c r="AN774" t="s">
        <v>78</v>
      </c>
      <c r="AO774">
        <v>5</v>
      </c>
      <c r="AP774" t="s">
        <v>78</v>
      </c>
      <c r="AQ774">
        <v>4</v>
      </c>
      <c r="AR774">
        <v>0</v>
      </c>
      <c r="AS774">
        <v>3</v>
      </c>
    </row>
    <row r="775" spans="1:4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 t="str">
        <f>IF(Employee_data[[#This Row],[MonthlyIncome]]&lt;5000,"Low Income",
IF(Employee_data[[#This Row],[MonthlyIncome]]&lt;10000,"Medium Income","High Income"))</f>
        <v>Medium Income</v>
      </c>
      <c r="U775" t="s">
        <v>92</v>
      </c>
      <c r="V775" t="s">
        <v>92</v>
      </c>
      <c r="W775" t="s">
        <v>92</v>
      </c>
      <c r="X775" t="s">
        <v>92</v>
      </c>
      <c r="Y775">
        <v>15669</v>
      </c>
      <c r="Z775">
        <v>0</v>
      </c>
      <c r="AA775" t="s">
        <v>42</v>
      </c>
      <c r="AB775" t="s">
        <v>43</v>
      </c>
      <c r="AC775">
        <v>11</v>
      </c>
      <c r="AD775">
        <v>3</v>
      </c>
      <c r="AE775">
        <v>2</v>
      </c>
      <c r="AF775">
        <v>80</v>
      </c>
      <c r="AG775">
        <v>0</v>
      </c>
      <c r="AH7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75">
        <v>15</v>
      </c>
      <c r="AJ775" t="s">
        <v>75</v>
      </c>
      <c r="AK775">
        <v>2</v>
      </c>
      <c r="AL775" t="s">
        <v>75</v>
      </c>
      <c r="AM775">
        <v>2</v>
      </c>
      <c r="AN775" t="s">
        <v>75</v>
      </c>
      <c r="AO775">
        <v>14</v>
      </c>
      <c r="AP775" t="s">
        <v>75</v>
      </c>
      <c r="AQ775">
        <v>8</v>
      </c>
      <c r="AR775">
        <v>7</v>
      </c>
      <c r="AS775">
        <v>8</v>
      </c>
    </row>
    <row r="776" spans="1:4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 t="str">
        <f>IF(Employee_data[[#This Row],[MonthlyIncome]]&lt;5000,"Low Income",
IF(Employee_data[[#This Row],[MonthlyIncome]]&lt;10000,"Medium Income","High Income"))</f>
        <v>High Income</v>
      </c>
      <c r="U776" t="s">
        <v>90</v>
      </c>
      <c r="V776" t="s">
        <v>90</v>
      </c>
      <c r="W776" t="s">
        <v>90</v>
      </c>
      <c r="X776" t="s">
        <v>90</v>
      </c>
      <c r="Y776">
        <v>17323</v>
      </c>
      <c r="Z776">
        <v>7</v>
      </c>
      <c r="AA776" t="s">
        <v>42</v>
      </c>
      <c r="AB776" t="s">
        <v>43</v>
      </c>
      <c r="AC776">
        <v>15</v>
      </c>
      <c r="AD776">
        <v>3</v>
      </c>
      <c r="AE776">
        <v>2</v>
      </c>
      <c r="AF776">
        <v>80</v>
      </c>
      <c r="AG776">
        <v>0</v>
      </c>
      <c r="AH7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76">
        <v>31</v>
      </c>
      <c r="AJ776" t="s">
        <v>78</v>
      </c>
      <c r="AK776">
        <v>3</v>
      </c>
      <c r="AL776" t="s">
        <v>78</v>
      </c>
      <c r="AM776">
        <v>4</v>
      </c>
      <c r="AN776" t="s">
        <v>78</v>
      </c>
      <c r="AO776">
        <v>9</v>
      </c>
      <c r="AP776" t="s">
        <v>78</v>
      </c>
      <c r="AQ776">
        <v>7</v>
      </c>
      <c r="AR776">
        <v>6</v>
      </c>
      <c r="AS776">
        <v>2</v>
      </c>
    </row>
    <row r="777" spans="1:4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 t="str">
        <f>IF(Employee_data[[#This Row],[MonthlyIncome]]&lt;5000,"Low Income",
IF(Employee_data[[#This Row],[MonthlyIncome]]&lt;10000,"Medium Income","High Income"))</f>
        <v>High Income</v>
      </c>
      <c r="U777" t="s">
        <v>90</v>
      </c>
      <c r="V777" t="s">
        <v>90</v>
      </c>
      <c r="W777" t="s">
        <v>90</v>
      </c>
      <c r="X777" t="s">
        <v>90</v>
      </c>
      <c r="Y777">
        <v>5268</v>
      </c>
      <c r="Z777">
        <v>5</v>
      </c>
      <c r="AA777" t="s">
        <v>42</v>
      </c>
      <c r="AB777" t="s">
        <v>43</v>
      </c>
      <c r="AC777">
        <v>13</v>
      </c>
      <c r="AD777">
        <v>3</v>
      </c>
      <c r="AE777">
        <v>3</v>
      </c>
      <c r="AF777">
        <v>80</v>
      </c>
      <c r="AG777">
        <v>1</v>
      </c>
      <c r="AH7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77">
        <v>18</v>
      </c>
      <c r="AJ777" t="s">
        <v>74</v>
      </c>
      <c r="AK777">
        <v>5</v>
      </c>
      <c r="AL777" t="s">
        <v>74</v>
      </c>
      <c r="AM777">
        <v>3</v>
      </c>
      <c r="AN777" t="s">
        <v>74</v>
      </c>
      <c r="AO777">
        <v>1</v>
      </c>
      <c r="AP777" t="s">
        <v>74</v>
      </c>
      <c r="AQ777">
        <v>0</v>
      </c>
      <c r="AR777">
        <v>0</v>
      </c>
      <c r="AS777">
        <v>0</v>
      </c>
    </row>
    <row r="778" spans="1:4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 t="str">
        <f>IF(Employee_data[[#This Row],[MonthlyIncome]]&lt;5000,"Low Income",
IF(Employee_data[[#This Row],[MonthlyIncome]]&lt;10000,"Medium Income","High Income"))</f>
        <v>Low Income</v>
      </c>
      <c r="U778" t="s">
        <v>91</v>
      </c>
      <c r="V778" t="s">
        <v>91</v>
      </c>
      <c r="W778" t="s">
        <v>91</v>
      </c>
      <c r="X778" t="s">
        <v>91</v>
      </c>
      <c r="Y778">
        <v>17205</v>
      </c>
      <c r="Z778">
        <v>1</v>
      </c>
      <c r="AA778" t="s">
        <v>42</v>
      </c>
      <c r="AB778" t="s">
        <v>35</v>
      </c>
      <c r="AC778">
        <v>14</v>
      </c>
      <c r="AD778">
        <v>3</v>
      </c>
      <c r="AE778">
        <v>2</v>
      </c>
      <c r="AF778">
        <v>80</v>
      </c>
      <c r="AG778">
        <v>0</v>
      </c>
      <c r="AH7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78">
        <v>2</v>
      </c>
      <c r="AJ778" t="s">
        <v>74</v>
      </c>
      <c r="AK778">
        <v>3</v>
      </c>
      <c r="AL778" t="s">
        <v>74</v>
      </c>
      <c r="AM778">
        <v>3</v>
      </c>
      <c r="AN778" t="s">
        <v>74</v>
      </c>
      <c r="AO778">
        <v>2</v>
      </c>
      <c r="AP778" t="s">
        <v>74</v>
      </c>
      <c r="AQ778">
        <v>2</v>
      </c>
      <c r="AR778">
        <v>0</v>
      </c>
      <c r="AS778">
        <v>2</v>
      </c>
    </row>
    <row r="779" spans="1:4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 t="str">
        <f>IF(Employee_data[[#This Row],[MonthlyIncome]]&lt;5000,"Low Income",
IF(Employee_data[[#This Row],[MonthlyIncome]]&lt;10000,"Medium Income","High Income"))</f>
        <v>Low Income</v>
      </c>
      <c r="U779" t="s">
        <v>91</v>
      </c>
      <c r="V779" t="s">
        <v>91</v>
      </c>
      <c r="W779" t="s">
        <v>91</v>
      </c>
      <c r="X779" t="s">
        <v>91</v>
      </c>
      <c r="Y779">
        <v>17258</v>
      </c>
      <c r="Z779">
        <v>1</v>
      </c>
      <c r="AA779" t="s">
        <v>42</v>
      </c>
      <c r="AB779" t="s">
        <v>43</v>
      </c>
      <c r="AC779">
        <v>13</v>
      </c>
      <c r="AD779">
        <v>3</v>
      </c>
      <c r="AE779">
        <v>1</v>
      </c>
      <c r="AF779">
        <v>80</v>
      </c>
      <c r="AG779">
        <v>0</v>
      </c>
      <c r="AH7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79">
        <v>1</v>
      </c>
      <c r="AJ779" t="s">
        <v>74</v>
      </c>
      <c r="AK779">
        <v>6</v>
      </c>
      <c r="AL779" t="s">
        <v>74</v>
      </c>
      <c r="AM779">
        <v>2</v>
      </c>
      <c r="AN779" t="s">
        <v>74</v>
      </c>
      <c r="AO779">
        <v>1</v>
      </c>
      <c r="AP779" t="s">
        <v>74</v>
      </c>
      <c r="AQ779">
        <v>0</v>
      </c>
      <c r="AR779">
        <v>1</v>
      </c>
      <c r="AS779">
        <v>0</v>
      </c>
    </row>
    <row r="780" spans="1:4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 t="str">
        <f>IF(Employee_data[[#This Row],[MonthlyIncome]]&lt;5000,"Low Income",
IF(Employee_data[[#This Row],[MonthlyIncome]]&lt;10000,"Medium Income","High Income"))</f>
        <v>Low Income</v>
      </c>
      <c r="U780" t="s">
        <v>91</v>
      </c>
      <c r="V780" t="s">
        <v>91</v>
      </c>
      <c r="W780" t="s">
        <v>91</v>
      </c>
      <c r="X780" t="s">
        <v>91</v>
      </c>
      <c r="Y780">
        <v>21029</v>
      </c>
      <c r="Z780">
        <v>8</v>
      </c>
      <c r="AA780" t="s">
        <v>42</v>
      </c>
      <c r="AB780" t="s">
        <v>35</v>
      </c>
      <c r="AC780">
        <v>23</v>
      </c>
      <c r="AD780">
        <v>4</v>
      </c>
      <c r="AE780">
        <v>1</v>
      </c>
      <c r="AF780">
        <v>80</v>
      </c>
      <c r="AG780">
        <v>3</v>
      </c>
      <c r="AH7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80">
        <v>19</v>
      </c>
      <c r="AJ780" t="s">
        <v>76</v>
      </c>
      <c r="AK780">
        <v>2</v>
      </c>
      <c r="AL780" t="s">
        <v>76</v>
      </c>
      <c r="AM780">
        <v>3</v>
      </c>
      <c r="AN780" t="s">
        <v>76</v>
      </c>
      <c r="AO780">
        <v>16</v>
      </c>
      <c r="AP780" t="s">
        <v>76</v>
      </c>
      <c r="AQ780">
        <v>13</v>
      </c>
      <c r="AR780">
        <v>1</v>
      </c>
      <c r="AS780">
        <v>7</v>
      </c>
    </row>
    <row r="781" spans="1:4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 t="str">
        <f>IF(Employee_data[[#This Row],[MonthlyIncome]]&lt;5000,"Low Income",
IF(Employee_data[[#This Row],[MonthlyIncome]]&lt;10000,"Medium Income","High Income"))</f>
        <v>Low Income</v>
      </c>
      <c r="U781" t="s">
        <v>91</v>
      </c>
      <c r="V781" t="s">
        <v>91</v>
      </c>
      <c r="W781" t="s">
        <v>91</v>
      </c>
      <c r="X781" t="s">
        <v>91</v>
      </c>
      <c r="Y781">
        <v>10332</v>
      </c>
      <c r="Z781">
        <v>9</v>
      </c>
      <c r="AA781" t="s">
        <v>42</v>
      </c>
      <c r="AB781" t="s">
        <v>35</v>
      </c>
      <c r="AC781">
        <v>12</v>
      </c>
      <c r="AD781">
        <v>3</v>
      </c>
      <c r="AE781">
        <v>3</v>
      </c>
      <c r="AF781">
        <v>80</v>
      </c>
      <c r="AG781">
        <v>3</v>
      </c>
      <c r="AH7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81">
        <v>18</v>
      </c>
      <c r="AJ781" t="s">
        <v>75</v>
      </c>
      <c r="AK781">
        <v>2</v>
      </c>
      <c r="AL781" t="s">
        <v>75</v>
      </c>
      <c r="AM781">
        <v>4</v>
      </c>
      <c r="AN781" t="s">
        <v>75</v>
      </c>
      <c r="AO781">
        <v>10</v>
      </c>
      <c r="AP781" t="s">
        <v>75</v>
      </c>
      <c r="AQ781">
        <v>0</v>
      </c>
      <c r="AR781">
        <v>2</v>
      </c>
      <c r="AS781">
        <v>7</v>
      </c>
    </row>
    <row r="782" spans="1:4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 t="str">
        <f>IF(Employee_data[[#This Row],[MonthlyIncome]]&lt;5000,"Low Income",
IF(Employee_data[[#This Row],[MonthlyIncome]]&lt;10000,"Medium Income","High Income"))</f>
        <v>Medium Income</v>
      </c>
      <c r="U782" t="s">
        <v>92</v>
      </c>
      <c r="V782" t="s">
        <v>92</v>
      </c>
      <c r="W782" t="s">
        <v>92</v>
      </c>
      <c r="X782" t="s">
        <v>92</v>
      </c>
      <c r="Y782">
        <v>12355</v>
      </c>
      <c r="Z782">
        <v>1</v>
      </c>
      <c r="AA782" t="s">
        <v>42</v>
      </c>
      <c r="AB782" t="s">
        <v>43</v>
      </c>
      <c r="AC782">
        <v>12</v>
      </c>
      <c r="AD782">
        <v>3</v>
      </c>
      <c r="AE782">
        <v>1</v>
      </c>
      <c r="AF782">
        <v>80</v>
      </c>
      <c r="AG782">
        <v>0</v>
      </c>
      <c r="AH7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82">
        <v>10</v>
      </c>
      <c r="AJ782" t="s">
        <v>75</v>
      </c>
      <c r="AK782">
        <v>2</v>
      </c>
      <c r="AL782" t="s">
        <v>75</v>
      </c>
      <c r="AM782">
        <v>2</v>
      </c>
      <c r="AN782" t="s">
        <v>75</v>
      </c>
      <c r="AO782">
        <v>10</v>
      </c>
      <c r="AP782" t="s">
        <v>75</v>
      </c>
      <c r="AQ782">
        <v>7</v>
      </c>
      <c r="AR782">
        <v>1</v>
      </c>
      <c r="AS782">
        <v>9</v>
      </c>
    </row>
    <row r="783" spans="1:4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 t="str">
        <f>IF(Employee_data[[#This Row],[MonthlyIncome]]&lt;5000,"Low Income",
IF(Employee_data[[#This Row],[MonthlyIncome]]&lt;10000,"Medium Income","High Income"))</f>
        <v>Low Income</v>
      </c>
      <c r="U783" t="s">
        <v>91</v>
      </c>
      <c r="V783" t="s">
        <v>91</v>
      </c>
      <c r="W783" t="s">
        <v>91</v>
      </c>
      <c r="X783" t="s">
        <v>91</v>
      </c>
      <c r="Y783">
        <v>11141</v>
      </c>
      <c r="Z783">
        <v>1</v>
      </c>
      <c r="AA783" t="s">
        <v>42</v>
      </c>
      <c r="AB783" t="s">
        <v>43</v>
      </c>
      <c r="AC783">
        <v>16</v>
      </c>
      <c r="AD783">
        <v>3</v>
      </c>
      <c r="AE783">
        <v>1</v>
      </c>
      <c r="AF783">
        <v>80</v>
      </c>
      <c r="AG783">
        <v>2</v>
      </c>
      <c r="AH7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83">
        <v>6</v>
      </c>
      <c r="AJ783" t="s">
        <v>78</v>
      </c>
      <c r="AK783">
        <v>2</v>
      </c>
      <c r="AL783" t="s">
        <v>78</v>
      </c>
      <c r="AM783">
        <v>3</v>
      </c>
      <c r="AN783" t="s">
        <v>78</v>
      </c>
      <c r="AO783">
        <v>5</v>
      </c>
      <c r="AP783" t="s">
        <v>78</v>
      </c>
      <c r="AQ783">
        <v>3</v>
      </c>
      <c r="AR783">
        <v>1</v>
      </c>
      <c r="AS783">
        <v>3</v>
      </c>
    </row>
    <row r="784" spans="1:4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 t="str">
        <f>IF(Employee_data[[#This Row],[MonthlyIncome]]&lt;5000,"Low Income",
IF(Employee_data[[#This Row],[MonthlyIncome]]&lt;10000,"Medium Income","High Income"))</f>
        <v>Medium Income</v>
      </c>
      <c r="U784" t="s">
        <v>92</v>
      </c>
      <c r="V784" t="s">
        <v>92</v>
      </c>
      <c r="W784" t="s">
        <v>92</v>
      </c>
      <c r="X784" t="s">
        <v>92</v>
      </c>
      <c r="Y784">
        <v>9096</v>
      </c>
      <c r="Z784">
        <v>0</v>
      </c>
      <c r="AA784" t="s">
        <v>42</v>
      </c>
      <c r="AB784" t="s">
        <v>43</v>
      </c>
      <c r="AC784">
        <v>15</v>
      </c>
      <c r="AD784">
        <v>3</v>
      </c>
      <c r="AE784">
        <v>3</v>
      </c>
      <c r="AF784">
        <v>80</v>
      </c>
      <c r="AG784">
        <v>1</v>
      </c>
      <c r="AH7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84">
        <v>7</v>
      </c>
      <c r="AJ784" t="s">
        <v>78</v>
      </c>
      <c r="AK784">
        <v>1</v>
      </c>
      <c r="AL784" t="s">
        <v>78</v>
      </c>
      <c r="AM784">
        <v>2</v>
      </c>
      <c r="AN784" t="s">
        <v>78</v>
      </c>
      <c r="AO784">
        <v>6</v>
      </c>
      <c r="AP784" t="s">
        <v>78</v>
      </c>
      <c r="AQ784">
        <v>2</v>
      </c>
      <c r="AR784">
        <v>0</v>
      </c>
      <c r="AS784">
        <v>2</v>
      </c>
    </row>
    <row r="785" spans="1:4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 t="str">
        <f>IF(Employee_data[[#This Row],[MonthlyIncome]]&lt;5000,"Low Income",
IF(Employee_data[[#This Row],[MonthlyIncome]]&lt;10000,"Medium Income","High Income"))</f>
        <v>Low Income</v>
      </c>
      <c r="U785" t="s">
        <v>91</v>
      </c>
      <c r="V785" t="s">
        <v>91</v>
      </c>
      <c r="W785" t="s">
        <v>91</v>
      </c>
      <c r="X785" t="s">
        <v>91</v>
      </c>
      <c r="Y785">
        <v>18863</v>
      </c>
      <c r="Z785">
        <v>1</v>
      </c>
      <c r="AA785" t="s">
        <v>42</v>
      </c>
      <c r="AB785" t="s">
        <v>43</v>
      </c>
      <c r="AC785">
        <v>13</v>
      </c>
      <c r="AD785">
        <v>3</v>
      </c>
      <c r="AE785">
        <v>3</v>
      </c>
      <c r="AF785">
        <v>80</v>
      </c>
      <c r="AG785">
        <v>0</v>
      </c>
      <c r="AH7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85">
        <v>10</v>
      </c>
      <c r="AJ785" t="s">
        <v>75</v>
      </c>
      <c r="AK785">
        <v>3</v>
      </c>
      <c r="AL785" t="s">
        <v>75</v>
      </c>
      <c r="AM785">
        <v>3</v>
      </c>
      <c r="AN785" t="s">
        <v>75</v>
      </c>
      <c r="AO785">
        <v>10</v>
      </c>
      <c r="AP785" t="s">
        <v>75</v>
      </c>
      <c r="AQ785">
        <v>6</v>
      </c>
      <c r="AR785">
        <v>0</v>
      </c>
      <c r="AS785">
        <v>8</v>
      </c>
    </row>
    <row r="786" spans="1:4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 t="str">
        <f>IF(Employee_data[[#This Row],[MonthlyIncome]]&lt;5000,"Low Income",
IF(Employee_data[[#This Row],[MonthlyIncome]]&lt;10000,"Medium Income","High Income"))</f>
        <v>Medium Income</v>
      </c>
      <c r="U786" t="s">
        <v>92</v>
      </c>
      <c r="V786" t="s">
        <v>92</v>
      </c>
      <c r="W786" t="s">
        <v>92</v>
      </c>
      <c r="X786" t="s">
        <v>92</v>
      </c>
      <c r="Y786">
        <v>24608</v>
      </c>
      <c r="Z786">
        <v>0</v>
      </c>
      <c r="AA786" t="s">
        <v>42</v>
      </c>
      <c r="AB786" t="s">
        <v>43</v>
      </c>
      <c r="AC786">
        <v>18</v>
      </c>
      <c r="AD786">
        <v>3</v>
      </c>
      <c r="AE786">
        <v>1</v>
      </c>
      <c r="AF786">
        <v>80</v>
      </c>
      <c r="AG786">
        <v>1</v>
      </c>
      <c r="AH7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86">
        <v>20</v>
      </c>
      <c r="AJ786" t="s">
        <v>76</v>
      </c>
      <c r="AK786">
        <v>4</v>
      </c>
      <c r="AL786" t="s">
        <v>76</v>
      </c>
      <c r="AM786">
        <v>2</v>
      </c>
      <c r="AN786" t="s">
        <v>76</v>
      </c>
      <c r="AO786">
        <v>19</v>
      </c>
      <c r="AP786" t="s">
        <v>76</v>
      </c>
      <c r="AQ786">
        <v>9</v>
      </c>
      <c r="AR786">
        <v>1</v>
      </c>
      <c r="AS786">
        <v>9</v>
      </c>
    </row>
    <row r="787" spans="1:4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 t="str">
        <f>IF(Employee_data[[#This Row],[MonthlyIncome]]&lt;5000,"Low Income",
IF(Employee_data[[#This Row],[MonthlyIncome]]&lt;10000,"Medium Income","High Income"))</f>
        <v>High Income</v>
      </c>
      <c r="U787" t="s">
        <v>90</v>
      </c>
      <c r="V787" t="s">
        <v>90</v>
      </c>
      <c r="W787" t="s">
        <v>90</v>
      </c>
      <c r="X787" t="s">
        <v>90</v>
      </c>
      <c r="Y787">
        <v>26542</v>
      </c>
      <c r="Z787">
        <v>4</v>
      </c>
      <c r="AA787" t="s">
        <v>42</v>
      </c>
      <c r="AB787" t="s">
        <v>43</v>
      </c>
      <c r="AC787">
        <v>20</v>
      </c>
      <c r="AD787">
        <v>4</v>
      </c>
      <c r="AE787">
        <v>4</v>
      </c>
      <c r="AF787">
        <v>80</v>
      </c>
      <c r="AG787">
        <v>1</v>
      </c>
      <c r="AH7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87">
        <v>14</v>
      </c>
      <c r="AJ787" t="s">
        <v>75</v>
      </c>
      <c r="AK787">
        <v>6</v>
      </c>
      <c r="AL787" t="s">
        <v>75</v>
      </c>
      <c r="AM787">
        <v>3</v>
      </c>
      <c r="AN787" t="s">
        <v>75</v>
      </c>
      <c r="AO787">
        <v>11</v>
      </c>
      <c r="AP787" t="s">
        <v>75</v>
      </c>
      <c r="AQ787">
        <v>10</v>
      </c>
      <c r="AR787">
        <v>11</v>
      </c>
      <c r="AS787">
        <v>1</v>
      </c>
    </row>
    <row r="788" spans="1:4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 t="str">
        <f>IF(Employee_data[[#This Row],[MonthlyIncome]]&lt;5000,"Low Income",
IF(Employee_data[[#This Row],[MonthlyIncome]]&lt;10000,"Medium Income","High Income"))</f>
        <v>Low Income</v>
      </c>
      <c r="U788" t="s">
        <v>91</v>
      </c>
      <c r="V788" t="s">
        <v>91</v>
      </c>
      <c r="W788" t="s">
        <v>91</v>
      </c>
      <c r="X788" t="s">
        <v>91</v>
      </c>
      <c r="Y788">
        <v>5869</v>
      </c>
      <c r="Z788">
        <v>1</v>
      </c>
      <c r="AA788" t="s">
        <v>42</v>
      </c>
      <c r="AB788" t="s">
        <v>43</v>
      </c>
      <c r="AC788">
        <v>19</v>
      </c>
      <c r="AD788">
        <v>3</v>
      </c>
      <c r="AE788">
        <v>4</v>
      </c>
      <c r="AF788">
        <v>80</v>
      </c>
      <c r="AG788">
        <v>3</v>
      </c>
      <c r="AH7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88">
        <v>3</v>
      </c>
      <c r="AJ788" t="s">
        <v>74</v>
      </c>
      <c r="AK788">
        <v>4</v>
      </c>
      <c r="AL788" t="s">
        <v>74</v>
      </c>
      <c r="AM788">
        <v>3</v>
      </c>
      <c r="AN788" t="s">
        <v>74</v>
      </c>
      <c r="AO788">
        <v>3</v>
      </c>
      <c r="AP788" t="s">
        <v>74</v>
      </c>
      <c r="AQ788">
        <v>2</v>
      </c>
      <c r="AR788">
        <v>1</v>
      </c>
      <c r="AS788">
        <v>2</v>
      </c>
    </row>
    <row r="789" spans="1:4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 t="str">
        <f>IF(Employee_data[[#This Row],[MonthlyIncome]]&lt;5000,"Low Income",
IF(Employee_data[[#This Row],[MonthlyIncome]]&lt;10000,"Medium Income","High Income"))</f>
        <v>High Income</v>
      </c>
      <c r="U789" t="s">
        <v>90</v>
      </c>
      <c r="V789" t="s">
        <v>90</v>
      </c>
      <c r="W789" t="s">
        <v>90</v>
      </c>
      <c r="X789" t="s">
        <v>90</v>
      </c>
      <c r="Y789">
        <v>15813</v>
      </c>
      <c r="Z789">
        <v>3</v>
      </c>
      <c r="AA789" t="s">
        <v>42</v>
      </c>
      <c r="AB789" t="s">
        <v>43</v>
      </c>
      <c r="AC789">
        <v>18</v>
      </c>
      <c r="AD789">
        <v>3</v>
      </c>
      <c r="AE789">
        <v>2</v>
      </c>
      <c r="AF789">
        <v>80</v>
      </c>
      <c r="AG789">
        <v>1</v>
      </c>
      <c r="AH7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89">
        <v>23</v>
      </c>
      <c r="AJ789" t="s">
        <v>74</v>
      </c>
      <c r="AK789">
        <v>4</v>
      </c>
      <c r="AL789" t="s">
        <v>74</v>
      </c>
      <c r="AM789">
        <v>3</v>
      </c>
      <c r="AN789" t="s">
        <v>74</v>
      </c>
      <c r="AO789">
        <v>3</v>
      </c>
      <c r="AP789" t="s">
        <v>74</v>
      </c>
      <c r="AQ789">
        <v>2</v>
      </c>
      <c r="AR789">
        <v>1</v>
      </c>
      <c r="AS789">
        <v>2</v>
      </c>
    </row>
    <row r="790" spans="1:4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 t="str">
        <f>IF(Employee_data[[#This Row],[MonthlyIncome]]&lt;5000,"Low Income",
IF(Employee_data[[#This Row],[MonthlyIncome]]&lt;10000,"Medium Income","High Income"))</f>
        <v>Low Income</v>
      </c>
      <c r="U790" t="s">
        <v>91</v>
      </c>
      <c r="V790" t="s">
        <v>91</v>
      </c>
      <c r="W790" t="s">
        <v>91</v>
      </c>
      <c r="X790" t="s">
        <v>91</v>
      </c>
      <c r="Y790">
        <v>7909</v>
      </c>
      <c r="Z790">
        <v>3</v>
      </c>
      <c r="AA790" t="s">
        <v>42</v>
      </c>
      <c r="AB790" t="s">
        <v>43</v>
      </c>
      <c r="AC790">
        <v>13</v>
      </c>
      <c r="AD790">
        <v>3</v>
      </c>
      <c r="AE790">
        <v>4</v>
      </c>
      <c r="AF790">
        <v>80</v>
      </c>
      <c r="AG790">
        <v>0</v>
      </c>
      <c r="AH7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90">
        <v>10</v>
      </c>
      <c r="AJ790" t="s">
        <v>78</v>
      </c>
      <c r="AK790">
        <v>4</v>
      </c>
      <c r="AL790" t="s">
        <v>78</v>
      </c>
      <c r="AM790">
        <v>4</v>
      </c>
      <c r="AN790" t="s">
        <v>78</v>
      </c>
      <c r="AO790">
        <v>8</v>
      </c>
      <c r="AP790" t="s">
        <v>78</v>
      </c>
      <c r="AQ790">
        <v>7</v>
      </c>
      <c r="AR790">
        <v>1</v>
      </c>
      <c r="AS790">
        <v>7</v>
      </c>
    </row>
    <row r="791" spans="1:4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 t="str">
        <f>IF(Employee_data[[#This Row],[MonthlyIncome]]&lt;5000,"Low Income",
IF(Employee_data[[#This Row],[MonthlyIncome]]&lt;10000,"Medium Income","High Income"))</f>
        <v>High Income</v>
      </c>
      <c r="U791" t="s">
        <v>90</v>
      </c>
      <c r="V791" t="s">
        <v>90</v>
      </c>
      <c r="W791" t="s">
        <v>90</v>
      </c>
      <c r="X791" t="s">
        <v>90</v>
      </c>
      <c r="Y791">
        <v>2326</v>
      </c>
      <c r="Z791">
        <v>9</v>
      </c>
      <c r="AA791" t="s">
        <v>42</v>
      </c>
      <c r="AB791" t="s">
        <v>43</v>
      </c>
      <c r="AC791">
        <v>14</v>
      </c>
      <c r="AD791">
        <v>3</v>
      </c>
      <c r="AE791">
        <v>4</v>
      </c>
      <c r="AF791">
        <v>80</v>
      </c>
      <c r="AG791">
        <v>1</v>
      </c>
      <c r="AH7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791">
        <v>24</v>
      </c>
      <c r="AJ791" t="s">
        <v>76</v>
      </c>
      <c r="AK791">
        <v>1</v>
      </c>
      <c r="AL791" t="s">
        <v>76</v>
      </c>
      <c r="AM791">
        <v>3</v>
      </c>
      <c r="AN791" t="s">
        <v>76</v>
      </c>
      <c r="AO791">
        <v>20</v>
      </c>
      <c r="AP791" t="s">
        <v>76</v>
      </c>
      <c r="AQ791">
        <v>6</v>
      </c>
      <c r="AR791">
        <v>3</v>
      </c>
      <c r="AS791">
        <v>6</v>
      </c>
    </row>
    <row r="792" spans="1:4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 t="str">
        <f>IF(Employee_data[[#This Row],[MonthlyIncome]]&lt;5000,"Low Income",
IF(Employee_data[[#This Row],[MonthlyIncome]]&lt;10000,"Medium Income","High Income"))</f>
        <v>Medium Income</v>
      </c>
      <c r="U792" t="s">
        <v>92</v>
      </c>
      <c r="V792" t="s">
        <v>92</v>
      </c>
      <c r="W792" t="s">
        <v>92</v>
      </c>
      <c r="X792" t="s">
        <v>92</v>
      </c>
      <c r="Y792">
        <v>21214</v>
      </c>
      <c r="Z792">
        <v>4</v>
      </c>
      <c r="AA792" t="s">
        <v>42</v>
      </c>
      <c r="AB792" t="s">
        <v>43</v>
      </c>
      <c r="AC792">
        <v>15</v>
      </c>
      <c r="AD792">
        <v>3</v>
      </c>
      <c r="AE792">
        <v>3</v>
      </c>
      <c r="AF792">
        <v>80</v>
      </c>
      <c r="AG792">
        <v>1</v>
      </c>
      <c r="AH7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92">
        <v>9</v>
      </c>
      <c r="AJ792" t="s">
        <v>74</v>
      </c>
      <c r="AK792">
        <v>2</v>
      </c>
      <c r="AL792" t="s">
        <v>74</v>
      </c>
      <c r="AM792">
        <v>3</v>
      </c>
      <c r="AN792" t="s">
        <v>74</v>
      </c>
      <c r="AO792">
        <v>3</v>
      </c>
      <c r="AP792" t="s">
        <v>74</v>
      </c>
      <c r="AQ792">
        <v>2</v>
      </c>
      <c r="AR792">
        <v>1</v>
      </c>
      <c r="AS792">
        <v>2</v>
      </c>
    </row>
    <row r="793" spans="1:4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 t="str">
        <f>IF(Employee_data[[#This Row],[MonthlyIncome]]&lt;5000,"Low Income",
IF(Employee_data[[#This Row],[MonthlyIncome]]&lt;10000,"Medium Income","High Income"))</f>
        <v>Medium Income</v>
      </c>
      <c r="U793" t="s">
        <v>92</v>
      </c>
      <c r="V793" t="s">
        <v>92</v>
      </c>
      <c r="W793" t="s">
        <v>92</v>
      </c>
      <c r="X793" t="s">
        <v>92</v>
      </c>
      <c r="Y793">
        <v>10333</v>
      </c>
      <c r="Z793">
        <v>0</v>
      </c>
      <c r="AA793" t="s">
        <v>42</v>
      </c>
      <c r="AB793" t="s">
        <v>35</v>
      </c>
      <c r="AC793">
        <v>22</v>
      </c>
      <c r="AD793">
        <v>4</v>
      </c>
      <c r="AE793">
        <v>1</v>
      </c>
      <c r="AF793">
        <v>80</v>
      </c>
      <c r="AG793">
        <v>0</v>
      </c>
      <c r="AH7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93">
        <v>9</v>
      </c>
      <c r="AJ793" t="s">
        <v>78</v>
      </c>
      <c r="AK793">
        <v>2</v>
      </c>
      <c r="AL793" t="s">
        <v>78</v>
      </c>
      <c r="AM793">
        <v>3</v>
      </c>
      <c r="AN793" t="s">
        <v>78</v>
      </c>
      <c r="AO793">
        <v>8</v>
      </c>
      <c r="AP793" t="s">
        <v>78</v>
      </c>
      <c r="AQ793">
        <v>7</v>
      </c>
      <c r="AR793">
        <v>4</v>
      </c>
      <c r="AS793">
        <v>7</v>
      </c>
    </row>
    <row r="794" spans="1:4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 t="str">
        <f>IF(Employee_data[[#This Row],[MonthlyIncome]]&lt;5000,"Low Income",
IF(Employee_data[[#This Row],[MonthlyIncome]]&lt;10000,"Medium Income","High Income"))</f>
        <v>Low Income</v>
      </c>
      <c r="U794" t="s">
        <v>91</v>
      </c>
      <c r="V794" t="s">
        <v>91</v>
      </c>
      <c r="W794" t="s">
        <v>91</v>
      </c>
      <c r="X794" t="s">
        <v>91</v>
      </c>
      <c r="Y794">
        <v>3129</v>
      </c>
      <c r="Z794">
        <v>1</v>
      </c>
      <c r="AA794" t="s">
        <v>42</v>
      </c>
      <c r="AB794" t="s">
        <v>43</v>
      </c>
      <c r="AC794">
        <v>22</v>
      </c>
      <c r="AD794">
        <v>4</v>
      </c>
      <c r="AE794">
        <v>2</v>
      </c>
      <c r="AF794">
        <v>80</v>
      </c>
      <c r="AG794">
        <v>0</v>
      </c>
      <c r="AH7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794">
        <v>14</v>
      </c>
      <c r="AJ794" t="s">
        <v>75</v>
      </c>
      <c r="AK794">
        <v>4</v>
      </c>
      <c r="AL794" t="s">
        <v>75</v>
      </c>
      <c r="AM794">
        <v>3</v>
      </c>
      <c r="AN794" t="s">
        <v>75</v>
      </c>
      <c r="AO794">
        <v>13</v>
      </c>
      <c r="AP794" t="s">
        <v>75</v>
      </c>
      <c r="AQ794">
        <v>7</v>
      </c>
      <c r="AR794">
        <v>3</v>
      </c>
      <c r="AS794">
        <v>8</v>
      </c>
    </row>
    <row r="795" spans="1:4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 t="str">
        <f>IF(Employee_data[[#This Row],[MonthlyIncome]]&lt;5000,"Low Income",
IF(Employee_data[[#This Row],[MonthlyIncome]]&lt;10000,"Medium Income","High Income"))</f>
        <v>Low Income</v>
      </c>
      <c r="U795" t="s">
        <v>91</v>
      </c>
      <c r="V795" t="s">
        <v>91</v>
      </c>
      <c r="W795" t="s">
        <v>91</v>
      </c>
      <c r="X795" t="s">
        <v>91</v>
      </c>
      <c r="Y795">
        <v>22482</v>
      </c>
      <c r="Z795">
        <v>1</v>
      </c>
      <c r="AA795" t="s">
        <v>42</v>
      </c>
      <c r="AB795" t="s">
        <v>43</v>
      </c>
      <c r="AC795">
        <v>16</v>
      </c>
      <c r="AD795">
        <v>3</v>
      </c>
      <c r="AE795">
        <v>4</v>
      </c>
      <c r="AF795">
        <v>80</v>
      </c>
      <c r="AG795">
        <v>1</v>
      </c>
      <c r="AH7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95">
        <v>4</v>
      </c>
      <c r="AJ795" t="s">
        <v>74</v>
      </c>
      <c r="AK795">
        <v>5</v>
      </c>
      <c r="AL795" t="s">
        <v>74</v>
      </c>
      <c r="AM795">
        <v>2</v>
      </c>
      <c r="AN795" t="s">
        <v>74</v>
      </c>
      <c r="AO795">
        <v>4</v>
      </c>
      <c r="AP795" t="s">
        <v>74</v>
      </c>
      <c r="AQ795">
        <v>2</v>
      </c>
      <c r="AR795">
        <v>2</v>
      </c>
      <c r="AS795">
        <v>2</v>
      </c>
    </row>
    <row r="796" spans="1:4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 t="str">
        <f>IF(Employee_data[[#This Row],[MonthlyIncome]]&lt;5000,"Low Income",
IF(Employee_data[[#This Row],[MonthlyIncome]]&lt;10000,"Medium Income","High Income"))</f>
        <v>Medium Income</v>
      </c>
      <c r="U796" t="s">
        <v>92</v>
      </c>
      <c r="V796" t="s">
        <v>92</v>
      </c>
      <c r="W796" t="s">
        <v>92</v>
      </c>
      <c r="X796" t="s">
        <v>92</v>
      </c>
      <c r="Y796">
        <v>22266</v>
      </c>
      <c r="Z796">
        <v>0</v>
      </c>
      <c r="AA796" t="s">
        <v>42</v>
      </c>
      <c r="AB796" t="s">
        <v>43</v>
      </c>
      <c r="AC796">
        <v>17</v>
      </c>
      <c r="AD796">
        <v>3</v>
      </c>
      <c r="AE796">
        <v>3</v>
      </c>
      <c r="AF796">
        <v>80</v>
      </c>
      <c r="AG796">
        <v>0</v>
      </c>
      <c r="AH7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96">
        <v>7</v>
      </c>
      <c r="AJ796" t="s">
        <v>78</v>
      </c>
      <c r="AK796">
        <v>1</v>
      </c>
      <c r="AL796" t="s">
        <v>78</v>
      </c>
      <c r="AM796">
        <v>2</v>
      </c>
      <c r="AN796" t="s">
        <v>78</v>
      </c>
      <c r="AO796">
        <v>6</v>
      </c>
      <c r="AP796" t="s">
        <v>78</v>
      </c>
      <c r="AQ796">
        <v>2</v>
      </c>
      <c r="AR796">
        <v>0</v>
      </c>
      <c r="AS796">
        <v>4</v>
      </c>
    </row>
    <row r="797" spans="1:4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 t="str">
        <f>IF(Employee_data[[#This Row],[MonthlyIncome]]&lt;5000,"Low Income",
IF(Employee_data[[#This Row],[MonthlyIncome]]&lt;10000,"Medium Income","High Income"))</f>
        <v>Medium Income</v>
      </c>
      <c r="U797" t="s">
        <v>92</v>
      </c>
      <c r="V797" t="s">
        <v>92</v>
      </c>
      <c r="W797" t="s">
        <v>92</v>
      </c>
      <c r="X797" t="s">
        <v>92</v>
      </c>
      <c r="Y797">
        <v>24223</v>
      </c>
      <c r="Z797">
        <v>2</v>
      </c>
      <c r="AA797" t="s">
        <v>42</v>
      </c>
      <c r="AB797" t="s">
        <v>35</v>
      </c>
      <c r="AC797">
        <v>14</v>
      </c>
      <c r="AD797">
        <v>3</v>
      </c>
      <c r="AE797">
        <v>3</v>
      </c>
      <c r="AF797">
        <v>80</v>
      </c>
      <c r="AG797">
        <v>3</v>
      </c>
      <c r="AH7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97">
        <v>8</v>
      </c>
      <c r="AJ797" t="s">
        <v>74</v>
      </c>
      <c r="AK797">
        <v>5</v>
      </c>
      <c r="AL797" t="s">
        <v>74</v>
      </c>
      <c r="AM797">
        <v>3</v>
      </c>
      <c r="AN797" t="s">
        <v>74</v>
      </c>
      <c r="AO797">
        <v>1</v>
      </c>
      <c r="AP797" t="s">
        <v>74</v>
      </c>
      <c r="AQ797">
        <v>0</v>
      </c>
      <c r="AR797">
        <v>0</v>
      </c>
      <c r="AS797">
        <v>0</v>
      </c>
    </row>
    <row r="798" spans="1:4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 t="str">
        <f>IF(Employee_data[[#This Row],[MonthlyIncome]]&lt;5000,"Low Income",
IF(Employee_data[[#This Row],[MonthlyIncome]]&lt;10000,"Medium Income","High Income"))</f>
        <v>Low Income</v>
      </c>
      <c r="U798" t="s">
        <v>91</v>
      </c>
      <c r="V798" t="s">
        <v>91</v>
      </c>
      <c r="W798" t="s">
        <v>91</v>
      </c>
      <c r="X798" t="s">
        <v>91</v>
      </c>
      <c r="Y798">
        <v>4605</v>
      </c>
      <c r="Z798">
        <v>1</v>
      </c>
      <c r="AA798" t="s">
        <v>42</v>
      </c>
      <c r="AB798" t="s">
        <v>35</v>
      </c>
      <c r="AC798">
        <v>15</v>
      </c>
      <c r="AD798">
        <v>3</v>
      </c>
      <c r="AE798">
        <v>2</v>
      </c>
      <c r="AF798">
        <v>80</v>
      </c>
      <c r="AG798">
        <v>1</v>
      </c>
      <c r="AH7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798">
        <v>7</v>
      </c>
      <c r="AJ798" t="s">
        <v>78</v>
      </c>
      <c r="AK798">
        <v>3</v>
      </c>
      <c r="AL798" t="s">
        <v>78</v>
      </c>
      <c r="AM798">
        <v>4</v>
      </c>
      <c r="AN798" t="s">
        <v>78</v>
      </c>
      <c r="AO798">
        <v>7</v>
      </c>
      <c r="AP798" t="s">
        <v>78</v>
      </c>
      <c r="AQ798">
        <v>7</v>
      </c>
      <c r="AR798">
        <v>5</v>
      </c>
      <c r="AS798">
        <v>6</v>
      </c>
    </row>
    <row r="799" spans="1:4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 t="str">
        <f>IF(Employee_data[[#This Row],[MonthlyIncome]]&lt;5000,"Low Income",
IF(Employee_data[[#This Row],[MonthlyIncome]]&lt;10000,"Medium Income","High Income"))</f>
        <v>Low Income</v>
      </c>
      <c r="U799" t="s">
        <v>91</v>
      </c>
      <c r="V799" t="s">
        <v>91</v>
      </c>
      <c r="W799" t="s">
        <v>91</v>
      </c>
      <c r="X799" t="s">
        <v>91</v>
      </c>
      <c r="Y799">
        <v>19373</v>
      </c>
      <c r="Z799">
        <v>1</v>
      </c>
      <c r="AA799" t="s">
        <v>42</v>
      </c>
      <c r="AB799" t="s">
        <v>43</v>
      </c>
      <c r="AC799">
        <v>20</v>
      </c>
      <c r="AD799">
        <v>4</v>
      </c>
      <c r="AE799">
        <v>3</v>
      </c>
      <c r="AF799">
        <v>80</v>
      </c>
      <c r="AG799">
        <v>1</v>
      </c>
      <c r="AH7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799">
        <v>1</v>
      </c>
      <c r="AJ799" t="s">
        <v>74</v>
      </c>
      <c r="AK799">
        <v>0</v>
      </c>
      <c r="AL799" t="s">
        <v>74</v>
      </c>
      <c r="AM799">
        <v>2</v>
      </c>
      <c r="AN799" t="s">
        <v>74</v>
      </c>
      <c r="AO799">
        <v>1</v>
      </c>
      <c r="AP799" t="s">
        <v>74</v>
      </c>
      <c r="AQ799">
        <v>1</v>
      </c>
      <c r="AR799">
        <v>0</v>
      </c>
      <c r="AS799">
        <v>0</v>
      </c>
    </row>
    <row r="800" spans="1:4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 t="str">
        <f>IF(Employee_data[[#This Row],[MonthlyIncome]]&lt;5000,"Low Income",
IF(Employee_data[[#This Row],[MonthlyIncome]]&lt;10000,"Medium Income","High Income"))</f>
        <v>Low Income</v>
      </c>
      <c r="U800" t="s">
        <v>91</v>
      </c>
      <c r="V800" t="s">
        <v>91</v>
      </c>
      <c r="W800" t="s">
        <v>91</v>
      </c>
      <c r="X800" t="s">
        <v>91</v>
      </c>
      <c r="Y800">
        <v>2993</v>
      </c>
      <c r="Z800">
        <v>4</v>
      </c>
      <c r="AA800" t="s">
        <v>42</v>
      </c>
      <c r="AB800" t="s">
        <v>35</v>
      </c>
      <c r="AC800">
        <v>20</v>
      </c>
      <c r="AD800">
        <v>4</v>
      </c>
      <c r="AE800">
        <v>2</v>
      </c>
      <c r="AF800">
        <v>80</v>
      </c>
      <c r="AG800">
        <v>0</v>
      </c>
      <c r="AH8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00">
        <v>5</v>
      </c>
      <c r="AJ800" t="s">
        <v>74</v>
      </c>
      <c r="AK800">
        <v>0</v>
      </c>
      <c r="AL800" t="s">
        <v>74</v>
      </c>
      <c r="AM800">
        <v>3</v>
      </c>
      <c r="AN800" t="s">
        <v>74</v>
      </c>
      <c r="AO800">
        <v>2</v>
      </c>
      <c r="AP800" t="s">
        <v>74</v>
      </c>
      <c r="AQ800">
        <v>2</v>
      </c>
      <c r="AR800">
        <v>2</v>
      </c>
      <c r="AS800">
        <v>2</v>
      </c>
    </row>
    <row r="801" spans="1:4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 t="str">
        <f>IF(Employee_data[[#This Row],[MonthlyIncome]]&lt;5000,"Low Income",
IF(Employee_data[[#This Row],[MonthlyIncome]]&lt;10000,"Medium Income","High Income"))</f>
        <v>High Income</v>
      </c>
      <c r="U801" t="s">
        <v>90</v>
      </c>
      <c r="V801" t="s">
        <v>90</v>
      </c>
      <c r="W801" t="s">
        <v>90</v>
      </c>
      <c r="X801" t="s">
        <v>90</v>
      </c>
      <c r="Y801">
        <v>14399</v>
      </c>
      <c r="Z801">
        <v>0</v>
      </c>
      <c r="AA801" t="s">
        <v>42</v>
      </c>
      <c r="AB801" t="s">
        <v>43</v>
      </c>
      <c r="AC801">
        <v>17</v>
      </c>
      <c r="AD801">
        <v>3</v>
      </c>
      <c r="AE801">
        <v>4</v>
      </c>
      <c r="AF801">
        <v>80</v>
      </c>
      <c r="AG801">
        <v>1</v>
      </c>
      <c r="AH8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801">
        <v>23</v>
      </c>
      <c r="AJ801" t="s">
        <v>76</v>
      </c>
      <c r="AK801">
        <v>3</v>
      </c>
      <c r="AL801" t="s">
        <v>76</v>
      </c>
      <c r="AM801">
        <v>3</v>
      </c>
      <c r="AN801" t="s">
        <v>76</v>
      </c>
      <c r="AO801">
        <v>22</v>
      </c>
      <c r="AP801" t="s">
        <v>76</v>
      </c>
      <c r="AQ801">
        <v>6</v>
      </c>
      <c r="AR801">
        <v>13</v>
      </c>
      <c r="AS801">
        <v>7</v>
      </c>
    </row>
    <row r="802" spans="1:4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 t="str">
        <f>IF(Employee_data[[#This Row],[MonthlyIncome]]&lt;5000,"Low Income",
IF(Employee_data[[#This Row],[MonthlyIncome]]&lt;10000,"Medium Income","High Income"))</f>
        <v>Low Income</v>
      </c>
      <c r="U802" t="s">
        <v>91</v>
      </c>
      <c r="V802" t="s">
        <v>91</v>
      </c>
      <c r="W802" t="s">
        <v>91</v>
      </c>
      <c r="X802" t="s">
        <v>91</v>
      </c>
      <c r="Y802">
        <v>7160</v>
      </c>
      <c r="Z802">
        <v>1</v>
      </c>
      <c r="AA802" t="s">
        <v>42</v>
      </c>
      <c r="AB802" t="s">
        <v>43</v>
      </c>
      <c r="AC802">
        <v>15</v>
      </c>
      <c r="AD802">
        <v>3</v>
      </c>
      <c r="AE802">
        <v>1</v>
      </c>
      <c r="AF802">
        <v>80</v>
      </c>
      <c r="AG802">
        <v>2</v>
      </c>
      <c r="AH8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02">
        <v>1</v>
      </c>
      <c r="AJ802" t="s">
        <v>74</v>
      </c>
      <c r="AK802">
        <v>2</v>
      </c>
      <c r="AL802" t="s">
        <v>74</v>
      </c>
      <c r="AM802">
        <v>3</v>
      </c>
      <c r="AN802" t="s">
        <v>74</v>
      </c>
      <c r="AO802">
        <v>1</v>
      </c>
      <c r="AP802" t="s">
        <v>74</v>
      </c>
      <c r="AQ802">
        <v>0</v>
      </c>
      <c r="AR802">
        <v>0</v>
      </c>
      <c r="AS802">
        <v>0</v>
      </c>
    </row>
    <row r="803" spans="1:4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 t="str">
        <f>IF(Employee_data[[#This Row],[MonthlyIncome]]&lt;5000,"Low Income",
IF(Employee_data[[#This Row],[MonthlyIncome]]&lt;10000,"Medium Income","High Income"))</f>
        <v>Low Income</v>
      </c>
      <c r="U803" t="s">
        <v>91</v>
      </c>
      <c r="V803" t="s">
        <v>91</v>
      </c>
      <c r="W803" t="s">
        <v>91</v>
      </c>
      <c r="X803" t="s">
        <v>91</v>
      </c>
      <c r="Y803">
        <v>17251</v>
      </c>
      <c r="Z803">
        <v>3</v>
      </c>
      <c r="AA803" t="s">
        <v>42</v>
      </c>
      <c r="AB803" t="s">
        <v>35</v>
      </c>
      <c r="AC803">
        <v>14</v>
      </c>
      <c r="AD803">
        <v>3</v>
      </c>
      <c r="AE803">
        <v>4</v>
      </c>
      <c r="AF803">
        <v>80</v>
      </c>
      <c r="AG803">
        <v>0</v>
      </c>
      <c r="AH8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03">
        <v>5</v>
      </c>
      <c r="AJ803" t="s">
        <v>74</v>
      </c>
      <c r="AK803">
        <v>4</v>
      </c>
      <c r="AL803" t="s">
        <v>74</v>
      </c>
      <c r="AM803">
        <v>3</v>
      </c>
      <c r="AN803" t="s">
        <v>74</v>
      </c>
      <c r="AO803">
        <v>0</v>
      </c>
      <c r="AP803" t="s">
        <v>74</v>
      </c>
      <c r="AQ803">
        <v>0</v>
      </c>
      <c r="AR803">
        <v>0</v>
      </c>
      <c r="AS803">
        <v>0</v>
      </c>
    </row>
    <row r="804" spans="1:4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 t="str">
        <f>IF(Employee_data[[#This Row],[MonthlyIncome]]&lt;5000,"Low Income",
IF(Employee_data[[#This Row],[MonthlyIncome]]&lt;10000,"Medium Income","High Income"))</f>
        <v>Low Income</v>
      </c>
      <c r="U804" t="s">
        <v>91</v>
      </c>
      <c r="V804" t="s">
        <v>91</v>
      </c>
      <c r="W804" t="s">
        <v>91</v>
      </c>
      <c r="X804" t="s">
        <v>91</v>
      </c>
      <c r="Y804">
        <v>13401</v>
      </c>
      <c r="Z804">
        <v>0</v>
      </c>
      <c r="AA804" t="s">
        <v>42</v>
      </c>
      <c r="AB804" t="s">
        <v>43</v>
      </c>
      <c r="AC804">
        <v>17</v>
      </c>
      <c r="AD804">
        <v>3</v>
      </c>
      <c r="AE804">
        <v>3</v>
      </c>
      <c r="AF804">
        <v>80</v>
      </c>
      <c r="AG804">
        <v>1</v>
      </c>
      <c r="AH8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04">
        <v>4</v>
      </c>
      <c r="AJ804" t="s">
        <v>74</v>
      </c>
      <c r="AK804">
        <v>3</v>
      </c>
      <c r="AL804" t="s">
        <v>74</v>
      </c>
      <c r="AM804">
        <v>3</v>
      </c>
      <c r="AN804" t="s">
        <v>74</v>
      </c>
      <c r="AO804">
        <v>3</v>
      </c>
      <c r="AP804" t="s">
        <v>74</v>
      </c>
      <c r="AQ804">
        <v>2</v>
      </c>
      <c r="AR804">
        <v>0</v>
      </c>
      <c r="AS804">
        <v>2</v>
      </c>
    </row>
    <row r="805" spans="1:4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 t="str">
        <f>IF(Employee_data[[#This Row],[MonthlyIncome]]&lt;5000,"Low Income",
IF(Employee_data[[#This Row],[MonthlyIncome]]&lt;10000,"Medium Income","High Income"))</f>
        <v>Low Income</v>
      </c>
      <c r="U805" t="s">
        <v>91</v>
      </c>
      <c r="V805" t="s">
        <v>91</v>
      </c>
      <c r="W805" t="s">
        <v>91</v>
      </c>
      <c r="X805" t="s">
        <v>91</v>
      </c>
      <c r="Y805">
        <v>22478</v>
      </c>
      <c r="Z805">
        <v>3</v>
      </c>
      <c r="AA805" t="s">
        <v>42</v>
      </c>
      <c r="AB805" t="s">
        <v>43</v>
      </c>
      <c r="AC805">
        <v>17</v>
      </c>
      <c r="AD805">
        <v>3</v>
      </c>
      <c r="AE805">
        <v>4</v>
      </c>
      <c r="AF805">
        <v>80</v>
      </c>
      <c r="AG805">
        <v>3</v>
      </c>
      <c r="AH8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05">
        <v>6</v>
      </c>
      <c r="AJ805" t="s">
        <v>74</v>
      </c>
      <c r="AK805">
        <v>2</v>
      </c>
      <c r="AL805" t="s">
        <v>74</v>
      </c>
      <c r="AM805">
        <v>3</v>
      </c>
      <c r="AN805" t="s">
        <v>74</v>
      </c>
      <c r="AO805">
        <v>0</v>
      </c>
      <c r="AP805" t="s">
        <v>74</v>
      </c>
      <c r="AQ805">
        <v>0</v>
      </c>
      <c r="AR805">
        <v>0</v>
      </c>
      <c r="AS805">
        <v>0</v>
      </c>
    </row>
    <row r="806" spans="1:4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 t="str">
        <f>IF(Employee_data[[#This Row],[MonthlyIncome]]&lt;5000,"Low Income",
IF(Employee_data[[#This Row],[MonthlyIncome]]&lt;10000,"Medium Income","High Income"))</f>
        <v>High Income</v>
      </c>
      <c r="U806" t="s">
        <v>90</v>
      </c>
      <c r="V806" t="s">
        <v>90</v>
      </c>
      <c r="W806" t="s">
        <v>90</v>
      </c>
      <c r="X806" t="s">
        <v>90</v>
      </c>
      <c r="Y806">
        <v>16154</v>
      </c>
      <c r="Z806">
        <v>2</v>
      </c>
      <c r="AA806" t="s">
        <v>42</v>
      </c>
      <c r="AB806" t="s">
        <v>43</v>
      </c>
      <c r="AC806">
        <v>22</v>
      </c>
      <c r="AD806">
        <v>4</v>
      </c>
      <c r="AE806">
        <v>3</v>
      </c>
      <c r="AF806">
        <v>80</v>
      </c>
      <c r="AG806">
        <v>0</v>
      </c>
      <c r="AH8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06">
        <v>27</v>
      </c>
      <c r="AJ806" t="s">
        <v>78</v>
      </c>
      <c r="AK806">
        <v>3</v>
      </c>
      <c r="AL806" t="s">
        <v>78</v>
      </c>
      <c r="AM806">
        <v>2</v>
      </c>
      <c r="AN806" t="s">
        <v>78</v>
      </c>
      <c r="AO806">
        <v>5</v>
      </c>
      <c r="AP806" t="s">
        <v>78</v>
      </c>
      <c r="AQ806">
        <v>4</v>
      </c>
      <c r="AR806">
        <v>2</v>
      </c>
      <c r="AS806">
        <v>1</v>
      </c>
    </row>
    <row r="807" spans="1:4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 t="str">
        <f>IF(Employee_data[[#This Row],[MonthlyIncome]]&lt;5000,"Low Income",
IF(Employee_data[[#This Row],[MonthlyIncome]]&lt;10000,"Medium Income","High Income"))</f>
        <v>Medium Income</v>
      </c>
      <c r="U807" t="s">
        <v>92</v>
      </c>
      <c r="V807" t="s">
        <v>92</v>
      </c>
      <c r="W807" t="s">
        <v>92</v>
      </c>
      <c r="X807" t="s">
        <v>92</v>
      </c>
      <c r="Y807">
        <v>17970</v>
      </c>
      <c r="Z807">
        <v>1</v>
      </c>
      <c r="AA807" t="s">
        <v>42</v>
      </c>
      <c r="AB807" t="s">
        <v>43</v>
      </c>
      <c r="AC807">
        <v>13</v>
      </c>
      <c r="AD807">
        <v>3</v>
      </c>
      <c r="AE807">
        <v>4</v>
      </c>
      <c r="AF807">
        <v>80</v>
      </c>
      <c r="AG807">
        <v>1</v>
      </c>
      <c r="AH8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807">
        <v>15</v>
      </c>
      <c r="AJ807" t="s">
        <v>76</v>
      </c>
      <c r="AK807">
        <v>2</v>
      </c>
      <c r="AL807" t="s">
        <v>76</v>
      </c>
      <c r="AM807">
        <v>3</v>
      </c>
      <c r="AN807" t="s">
        <v>76</v>
      </c>
      <c r="AO807">
        <v>15</v>
      </c>
      <c r="AP807" t="s">
        <v>76</v>
      </c>
      <c r="AQ807">
        <v>10</v>
      </c>
      <c r="AR807">
        <v>4</v>
      </c>
      <c r="AS807">
        <v>12</v>
      </c>
    </row>
    <row r="808" spans="1:4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 t="str">
        <f>IF(Employee_data[[#This Row],[MonthlyIncome]]&lt;5000,"Low Income",
IF(Employee_data[[#This Row],[MonthlyIncome]]&lt;10000,"Medium Income","High Income"))</f>
        <v>High Income</v>
      </c>
      <c r="U808" t="s">
        <v>90</v>
      </c>
      <c r="V808" t="s">
        <v>90</v>
      </c>
      <c r="W808" t="s">
        <v>90</v>
      </c>
      <c r="X808" t="s">
        <v>90</v>
      </c>
      <c r="Y808">
        <v>15322</v>
      </c>
      <c r="Z808">
        <v>7</v>
      </c>
      <c r="AA808" t="s">
        <v>42</v>
      </c>
      <c r="AB808" t="s">
        <v>43</v>
      </c>
      <c r="AC808">
        <v>19</v>
      </c>
      <c r="AD808">
        <v>3</v>
      </c>
      <c r="AE808">
        <v>4</v>
      </c>
      <c r="AF808">
        <v>80</v>
      </c>
      <c r="AG808">
        <v>0</v>
      </c>
      <c r="AH8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08">
        <v>18</v>
      </c>
      <c r="AJ808" t="s">
        <v>78</v>
      </c>
      <c r="AK808">
        <v>4</v>
      </c>
      <c r="AL808" t="s">
        <v>78</v>
      </c>
      <c r="AM808">
        <v>3</v>
      </c>
      <c r="AN808" t="s">
        <v>78</v>
      </c>
      <c r="AO808">
        <v>8</v>
      </c>
      <c r="AP808" t="s">
        <v>78</v>
      </c>
      <c r="AQ808">
        <v>6</v>
      </c>
      <c r="AR808">
        <v>4</v>
      </c>
      <c r="AS808">
        <v>0</v>
      </c>
    </row>
    <row r="809" spans="1:4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 t="str">
        <f>IF(Employee_data[[#This Row],[MonthlyIncome]]&lt;5000,"Low Income",
IF(Employee_data[[#This Row],[MonthlyIncome]]&lt;10000,"Medium Income","High Income"))</f>
        <v>Medium Income</v>
      </c>
      <c r="U809" t="s">
        <v>92</v>
      </c>
      <c r="V809" t="s">
        <v>92</v>
      </c>
      <c r="W809" t="s">
        <v>92</v>
      </c>
      <c r="X809" t="s">
        <v>92</v>
      </c>
      <c r="Y809">
        <v>5569</v>
      </c>
      <c r="Z809">
        <v>0</v>
      </c>
      <c r="AA809" t="s">
        <v>42</v>
      </c>
      <c r="AB809" t="s">
        <v>35</v>
      </c>
      <c r="AC809">
        <v>14</v>
      </c>
      <c r="AD809">
        <v>3</v>
      </c>
      <c r="AE809">
        <v>2</v>
      </c>
      <c r="AF809">
        <v>80</v>
      </c>
      <c r="AG809">
        <v>2</v>
      </c>
      <c r="AH8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09">
        <v>9</v>
      </c>
      <c r="AJ809" t="s">
        <v>78</v>
      </c>
      <c r="AK809">
        <v>2</v>
      </c>
      <c r="AL809" t="s">
        <v>78</v>
      </c>
      <c r="AM809">
        <v>3</v>
      </c>
      <c r="AN809" t="s">
        <v>78</v>
      </c>
      <c r="AO809">
        <v>8</v>
      </c>
      <c r="AP809" t="s">
        <v>78</v>
      </c>
      <c r="AQ809">
        <v>7</v>
      </c>
      <c r="AR809">
        <v>2</v>
      </c>
      <c r="AS809">
        <v>7</v>
      </c>
    </row>
    <row r="810" spans="1:4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 t="str">
        <f>IF(Employee_data[[#This Row],[MonthlyIncome]]&lt;5000,"Low Income",
IF(Employee_data[[#This Row],[MonthlyIncome]]&lt;10000,"Medium Income","High Income"))</f>
        <v>Low Income</v>
      </c>
      <c r="U810" t="s">
        <v>91</v>
      </c>
      <c r="V810" t="s">
        <v>91</v>
      </c>
      <c r="W810" t="s">
        <v>91</v>
      </c>
      <c r="X810" t="s">
        <v>91</v>
      </c>
      <c r="Y810">
        <v>26968</v>
      </c>
      <c r="Z810">
        <v>4</v>
      </c>
      <c r="AA810" t="s">
        <v>42</v>
      </c>
      <c r="AB810" t="s">
        <v>43</v>
      </c>
      <c r="AC810">
        <v>22</v>
      </c>
      <c r="AD810">
        <v>4</v>
      </c>
      <c r="AE810">
        <v>1</v>
      </c>
      <c r="AF810">
        <v>80</v>
      </c>
      <c r="AG810">
        <v>1</v>
      </c>
      <c r="AH8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10">
        <v>11</v>
      </c>
      <c r="AJ810" t="s">
        <v>78</v>
      </c>
      <c r="AK810">
        <v>1</v>
      </c>
      <c r="AL810" t="s">
        <v>78</v>
      </c>
      <c r="AM810">
        <v>3</v>
      </c>
      <c r="AN810" t="s">
        <v>78</v>
      </c>
      <c r="AO810">
        <v>7</v>
      </c>
      <c r="AP810" t="s">
        <v>78</v>
      </c>
      <c r="AQ810">
        <v>5</v>
      </c>
      <c r="AR810">
        <v>1</v>
      </c>
      <c r="AS810">
        <v>7</v>
      </c>
    </row>
    <row r="811" spans="1:4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 t="str">
        <f>IF(Employee_data[[#This Row],[MonthlyIncome]]&lt;5000,"Low Income",
IF(Employee_data[[#This Row],[MonthlyIncome]]&lt;10000,"Medium Income","High Income"))</f>
        <v>Medium Income</v>
      </c>
      <c r="U811" t="s">
        <v>92</v>
      </c>
      <c r="V811" t="s">
        <v>92</v>
      </c>
      <c r="W811" t="s">
        <v>92</v>
      </c>
      <c r="X811" t="s">
        <v>92</v>
      </c>
      <c r="Y811">
        <v>8039</v>
      </c>
      <c r="Z811">
        <v>0</v>
      </c>
      <c r="AA811" t="s">
        <v>42</v>
      </c>
      <c r="AB811" t="s">
        <v>43</v>
      </c>
      <c r="AC811">
        <v>17</v>
      </c>
      <c r="AD811">
        <v>3</v>
      </c>
      <c r="AE811">
        <v>2</v>
      </c>
      <c r="AF811">
        <v>80</v>
      </c>
      <c r="AG811">
        <v>3</v>
      </c>
      <c r="AH8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11">
        <v>10</v>
      </c>
      <c r="AJ811" t="s">
        <v>78</v>
      </c>
      <c r="AK811">
        <v>3</v>
      </c>
      <c r="AL811" t="s">
        <v>78</v>
      </c>
      <c r="AM811">
        <v>2</v>
      </c>
      <c r="AN811" t="s">
        <v>78</v>
      </c>
      <c r="AO811">
        <v>9</v>
      </c>
      <c r="AP811" t="s">
        <v>78</v>
      </c>
      <c r="AQ811">
        <v>7</v>
      </c>
      <c r="AR811">
        <v>1</v>
      </c>
      <c r="AS811">
        <v>7</v>
      </c>
    </row>
    <row r="812" spans="1:4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 t="str">
        <f>IF(Employee_data[[#This Row],[MonthlyIncome]]&lt;5000,"Low Income",
IF(Employee_data[[#This Row],[MonthlyIncome]]&lt;10000,"Medium Income","High Income"))</f>
        <v>High Income</v>
      </c>
      <c r="U812" t="s">
        <v>90</v>
      </c>
      <c r="V812" t="s">
        <v>90</v>
      </c>
      <c r="W812" t="s">
        <v>90</v>
      </c>
      <c r="X812" t="s">
        <v>90</v>
      </c>
      <c r="Y812">
        <v>15596</v>
      </c>
      <c r="Z812">
        <v>3</v>
      </c>
      <c r="AA812" t="s">
        <v>42</v>
      </c>
      <c r="AB812" t="s">
        <v>43</v>
      </c>
      <c r="AC812">
        <v>12</v>
      </c>
      <c r="AD812">
        <v>3</v>
      </c>
      <c r="AE812">
        <v>4</v>
      </c>
      <c r="AF812">
        <v>80</v>
      </c>
      <c r="AG812">
        <v>1</v>
      </c>
      <c r="AH8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12">
        <v>23</v>
      </c>
      <c r="AJ812" t="s">
        <v>75</v>
      </c>
      <c r="AK812">
        <v>3</v>
      </c>
      <c r="AL812" t="s">
        <v>75</v>
      </c>
      <c r="AM812">
        <v>3</v>
      </c>
      <c r="AN812" t="s">
        <v>75</v>
      </c>
      <c r="AO812">
        <v>12</v>
      </c>
      <c r="AP812" t="s">
        <v>75</v>
      </c>
      <c r="AQ812">
        <v>9</v>
      </c>
      <c r="AR812">
        <v>4</v>
      </c>
      <c r="AS812">
        <v>9</v>
      </c>
    </row>
    <row r="813" spans="1:4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 t="str">
        <f>IF(Employee_data[[#This Row],[MonthlyIncome]]&lt;5000,"Low Income",
IF(Employee_data[[#This Row],[MonthlyIncome]]&lt;10000,"Medium Income","High Income"))</f>
        <v>Medium Income</v>
      </c>
      <c r="U813" t="s">
        <v>92</v>
      </c>
      <c r="V813" t="s">
        <v>92</v>
      </c>
      <c r="W813" t="s">
        <v>92</v>
      </c>
      <c r="X813" t="s">
        <v>92</v>
      </c>
      <c r="Y813">
        <v>20619</v>
      </c>
      <c r="Z813">
        <v>7</v>
      </c>
      <c r="AA813" t="s">
        <v>42</v>
      </c>
      <c r="AB813" t="s">
        <v>43</v>
      </c>
      <c r="AC813">
        <v>16</v>
      </c>
      <c r="AD813">
        <v>3</v>
      </c>
      <c r="AE813">
        <v>3</v>
      </c>
      <c r="AF813">
        <v>80</v>
      </c>
      <c r="AG813">
        <v>0</v>
      </c>
      <c r="AH8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13">
        <v>10</v>
      </c>
      <c r="AJ813" t="s">
        <v>74</v>
      </c>
      <c r="AK813">
        <v>2</v>
      </c>
      <c r="AL813" t="s">
        <v>74</v>
      </c>
      <c r="AM813">
        <v>3</v>
      </c>
      <c r="AN813" t="s">
        <v>74</v>
      </c>
      <c r="AO813">
        <v>1</v>
      </c>
      <c r="AP813" t="s">
        <v>74</v>
      </c>
      <c r="AQ813">
        <v>0</v>
      </c>
      <c r="AR813">
        <v>0</v>
      </c>
      <c r="AS813">
        <v>0</v>
      </c>
    </row>
    <row r="814" spans="1:4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 t="str">
        <f>IF(Employee_data[[#This Row],[MonthlyIncome]]&lt;5000,"Low Income",
IF(Employee_data[[#This Row],[MonthlyIncome]]&lt;10000,"Medium Income","High Income"))</f>
        <v>High Income</v>
      </c>
      <c r="U814" t="s">
        <v>90</v>
      </c>
      <c r="V814" t="s">
        <v>90</v>
      </c>
      <c r="W814" t="s">
        <v>90</v>
      </c>
      <c r="X814" t="s">
        <v>90</v>
      </c>
      <c r="Y814">
        <v>11535</v>
      </c>
      <c r="Z814">
        <v>8</v>
      </c>
      <c r="AA814" t="s">
        <v>42</v>
      </c>
      <c r="AB814" t="s">
        <v>43</v>
      </c>
      <c r="AC814">
        <v>11</v>
      </c>
      <c r="AD814">
        <v>3</v>
      </c>
      <c r="AE814">
        <v>3</v>
      </c>
      <c r="AF814">
        <v>80</v>
      </c>
      <c r="AG814">
        <v>1</v>
      </c>
      <c r="AH8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14">
        <v>18</v>
      </c>
      <c r="AJ814" t="s">
        <v>78</v>
      </c>
      <c r="AK814">
        <v>1</v>
      </c>
      <c r="AL814" t="s">
        <v>78</v>
      </c>
      <c r="AM814">
        <v>3</v>
      </c>
      <c r="AN814" t="s">
        <v>78</v>
      </c>
      <c r="AO814">
        <v>8</v>
      </c>
      <c r="AP814" t="s">
        <v>78</v>
      </c>
      <c r="AQ814">
        <v>7</v>
      </c>
      <c r="AR814">
        <v>0</v>
      </c>
      <c r="AS814">
        <v>1</v>
      </c>
    </row>
    <row r="815" spans="1:4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 t="str">
        <f>IF(Employee_data[[#This Row],[MonthlyIncome]]&lt;5000,"Low Income",
IF(Employee_data[[#This Row],[MonthlyIncome]]&lt;10000,"Medium Income","High Income"))</f>
        <v>High Income</v>
      </c>
      <c r="U815" t="s">
        <v>90</v>
      </c>
      <c r="V815" t="s">
        <v>90</v>
      </c>
      <c r="W815" t="s">
        <v>90</v>
      </c>
      <c r="X815" t="s">
        <v>90</v>
      </c>
      <c r="Y815">
        <v>13547</v>
      </c>
      <c r="Z815">
        <v>7</v>
      </c>
      <c r="AA815" t="s">
        <v>42</v>
      </c>
      <c r="AB815" t="s">
        <v>43</v>
      </c>
      <c r="AC815">
        <v>11</v>
      </c>
      <c r="AD815">
        <v>3</v>
      </c>
      <c r="AE815">
        <v>4</v>
      </c>
      <c r="AF815">
        <v>80</v>
      </c>
      <c r="AG815">
        <v>3</v>
      </c>
      <c r="AH8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815">
        <v>21</v>
      </c>
      <c r="AJ815" t="s">
        <v>76</v>
      </c>
      <c r="AK815">
        <v>4</v>
      </c>
      <c r="AL815" t="s">
        <v>76</v>
      </c>
      <c r="AM815">
        <v>3</v>
      </c>
      <c r="AN815" t="s">
        <v>76</v>
      </c>
      <c r="AO815">
        <v>18</v>
      </c>
      <c r="AP815" t="s">
        <v>76</v>
      </c>
      <c r="AQ815">
        <v>7</v>
      </c>
      <c r="AR815">
        <v>11</v>
      </c>
      <c r="AS815">
        <v>5</v>
      </c>
    </row>
    <row r="816" spans="1:4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 t="str">
        <f>IF(Employee_data[[#This Row],[MonthlyIncome]]&lt;5000,"Low Income",
IF(Employee_data[[#This Row],[MonthlyIncome]]&lt;10000,"Medium Income","High Income"))</f>
        <v>High Income</v>
      </c>
      <c r="U816" t="s">
        <v>90</v>
      </c>
      <c r="V816" t="s">
        <v>90</v>
      </c>
      <c r="W816" t="s">
        <v>90</v>
      </c>
      <c r="X816" t="s">
        <v>90</v>
      </c>
      <c r="Y816">
        <v>17544</v>
      </c>
      <c r="Z816">
        <v>1</v>
      </c>
      <c r="AA816" t="s">
        <v>42</v>
      </c>
      <c r="AB816" t="s">
        <v>43</v>
      </c>
      <c r="AC816">
        <v>14</v>
      </c>
      <c r="AD816">
        <v>3</v>
      </c>
      <c r="AE816">
        <v>1</v>
      </c>
      <c r="AF816">
        <v>80</v>
      </c>
      <c r="AG816">
        <v>0</v>
      </c>
      <c r="AH8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816">
        <v>21</v>
      </c>
      <c r="AJ816" t="s">
        <v>76</v>
      </c>
      <c r="AK816">
        <v>2</v>
      </c>
      <c r="AL816" t="s">
        <v>76</v>
      </c>
      <c r="AM816">
        <v>4</v>
      </c>
      <c r="AN816" t="s">
        <v>76</v>
      </c>
      <c r="AO816">
        <v>20</v>
      </c>
      <c r="AP816" t="s">
        <v>76</v>
      </c>
      <c r="AQ816">
        <v>7</v>
      </c>
      <c r="AR816">
        <v>4</v>
      </c>
      <c r="AS816">
        <v>9</v>
      </c>
    </row>
    <row r="817" spans="1:4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 t="str">
        <f>IF(Employee_data[[#This Row],[MonthlyIncome]]&lt;5000,"Low Income",
IF(Employee_data[[#This Row],[MonthlyIncome]]&lt;10000,"Medium Income","High Income"))</f>
        <v>Low Income</v>
      </c>
      <c r="U817" t="s">
        <v>91</v>
      </c>
      <c r="V817" t="s">
        <v>91</v>
      </c>
      <c r="W817" t="s">
        <v>91</v>
      </c>
      <c r="X817" t="s">
        <v>91</v>
      </c>
      <c r="Y817">
        <v>25326</v>
      </c>
      <c r="Z817">
        <v>1</v>
      </c>
      <c r="AA817" t="s">
        <v>42</v>
      </c>
      <c r="AB817" t="s">
        <v>35</v>
      </c>
      <c r="AC817">
        <v>11</v>
      </c>
      <c r="AD817">
        <v>3</v>
      </c>
      <c r="AE817">
        <v>3</v>
      </c>
      <c r="AF817">
        <v>80</v>
      </c>
      <c r="AG817">
        <v>0</v>
      </c>
      <c r="AH8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17">
        <v>2</v>
      </c>
      <c r="AJ817" t="s">
        <v>74</v>
      </c>
      <c r="AK817">
        <v>6</v>
      </c>
      <c r="AL817" t="s">
        <v>74</v>
      </c>
      <c r="AM817">
        <v>4</v>
      </c>
      <c r="AN817" t="s">
        <v>74</v>
      </c>
      <c r="AO817">
        <v>2</v>
      </c>
      <c r="AP817" t="s">
        <v>74</v>
      </c>
      <c r="AQ817">
        <v>2</v>
      </c>
      <c r="AR817">
        <v>2</v>
      </c>
      <c r="AS817">
        <v>2</v>
      </c>
    </row>
    <row r="818" spans="1:4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 t="str">
        <f>IF(Employee_data[[#This Row],[MonthlyIncome]]&lt;5000,"Low Income",
IF(Employee_data[[#This Row],[MonthlyIncome]]&lt;10000,"Medium Income","High Income"))</f>
        <v>Medium Income</v>
      </c>
      <c r="U818" t="s">
        <v>92</v>
      </c>
      <c r="V818" t="s">
        <v>92</v>
      </c>
      <c r="W818" t="s">
        <v>92</v>
      </c>
      <c r="X818" t="s">
        <v>92</v>
      </c>
      <c r="Y818">
        <v>8770</v>
      </c>
      <c r="Z818">
        <v>9</v>
      </c>
      <c r="AA818" t="s">
        <v>42</v>
      </c>
      <c r="AB818" t="s">
        <v>43</v>
      </c>
      <c r="AC818">
        <v>15</v>
      </c>
      <c r="AD818">
        <v>3</v>
      </c>
      <c r="AE818">
        <v>3</v>
      </c>
      <c r="AF818">
        <v>80</v>
      </c>
      <c r="AG818">
        <v>0</v>
      </c>
      <c r="AH8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18">
        <v>9</v>
      </c>
      <c r="AJ818" t="s">
        <v>78</v>
      </c>
      <c r="AK818">
        <v>2</v>
      </c>
      <c r="AL818" t="s">
        <v>78</v>
      </c>
      <c r="AM818">
        <v>2</v>
      </c>
      <c r="AN818" t="s">
        <v>78</v>
      </c>
      <c r="AO818">
        <v>5</v>
      </c>
      <c r="AP818" t="s">
        <v>78</v>
      </c>
      <c r="AQ818">
        <v>4</v>
      </c>
      <c r="AR818">
        <v>0</v>
      </c>
      <c r="AS818">
        <v>3</v>
      </c>
    </row>
    <row r="819" spans="1:4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 t="str">
        <f>IF(Employee_data[[#This Row],[MonthlyIncome]]&lt;5000,"Low Income",
IF(Employee_data[[#This Row],[MonthlyIncome]]&lt;10000,"Medium Income","High Income"))</f>
        <v>Medium Income</v>
      </c>
      <c r="U819" t="s">
        <v>92</v>
      </c>
      <c r="V819" t="s">
        <v>92</v>
      </c>
      <c r="W819" t="s">
        <v>92</v>
      </c>
      <c r="X819" t="s">
        <v>92</v>
      </c>
      <c r="Y819">
        <v>23238</v>
      </c>
      <c r="Z819">
        <v>2</v>
      </c>
      <c r="AA819" t="s">
        <v>42</v>
      </c>
      <c r="AB819" t="s">
        <v>43</v>
      </c>
      <c r="AC819">
        <v>20</v>
      </c>
      <c r="AD819">
        <v>4</v>
      </c>
      <c r="AE819">
        <v>1</v>
      </c>
      <c r="AF819">
        <v>80</v>
      </c>
      <c r="AG819">
        <v>0</v>
      </c>
      <c r="AH8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19">
        <v>18</v>
      </c>
      <c r="AJ819" t="s">
        <v>75</v>
      </c>
      <c r="AK819">
        <v>0</v>
      </c>
      <c r="AL819" t="s">
        <v>75</v>
      </c>
      <c r="AM819">
        <v>3</v>
      </c>
      <c r="AN819" t="s">
        <v>75</v>
      </c>
      <c r="AO819">
        <v>11</v>
      </c>
      <c r="AP819" t="s">
        <v>75</v>
      </c>
      <c r="AQ819">
        <v>9</v>
      </c>
      <c r="AR819">
        <v>0</v>
      </c>
      <c r="AS819">
        <v>9</v>
      </c>
    </row>
    <row r="820" spans="1:4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 t="str">
        <f>IF(Employee_data[[#This Row],[MonthlyIncome]]&lt;5000,"Low Income",
IF(Employee_data[[#This Row],[MonthlyIncome]]&lt;10000,"Medium Income","High Income"))</f>
        <v>Low Income</v>
      </c>
      <c r="U820" t="s">
        <v>91</v>
      </c>
      <c r="V820" t="s">
        <v>91</v>
      </c>
      <c r="W820" t="s">
        <v>91</v>
      </c>
      <c r="X820" t="s">
        <v>91</v>
      </c>
      <c r="Y820">
        <v>21981</v>
      </c>
      <c r="Z820">
        <v>0</v>
      </c>
      <c r="AA820" t="s">
        <v>42</v>
      </c>
      <c r="AB820" t="s">
        <v>43</v>
      </c>
      <c r="AC820">
        <v>12</v>
      </c>
      <c r="AD820">
        <v>3</v>
      </c>
      <c r="AE820">
        <v>1</v>
      </c>
      <c r="AF820">
        <v>80</v>
      </c>
      <c r="AG820">
        <v>1</v>
      </c>
      <c r="AH8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20">
        <v>3</v>
      </c>
      <c r="AJ820" t="s">
        <v>74</v>
      </c>
      <c r="AK820">
        <v>4</v>
      </c>
      <c r="AL820" t="s">
        <v>74</v>
      </c>
      <c r="AM820">
        <v>3</v>
      </c>
      <c r="AN820" t="s">
        <v>74</v>
      </c>
      <c r="AO820">
        <v>2</v>
      </c>
      <c r="AP820" t="s">
        <v>74</v>
      </c>
      <c r="AQ820">
        <v>2</v>
      </c>
      <c r="AR820">
        <v>2</v>
      </c>
      <c r="AS820">
        <v>2</v>
      </c>
    </row>
    <row r="821" spans="1:4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 t="str">
        <f>IF(Employee_data[[#This Row],[MonthlyIncome]]&lt;5000,"Low Income",
IF(Employee_data[[#This Row],[MonthlyIncome]]&lt;10000,"Medium Income","High Income"))</f>
        <v>Low Income</v>
      </c>
      <c r="U821" t="s">
        <v>91</v>
      </c>
      <c r="V821" t="s">
        <v>91</v>
      </c>
      <c r="W821" t="s">
        <v>91</v>
      </c>
      <c r="X821" t="s">
        <v>91</v>
      </c>
      <c r="Y821">
        <v>19911</v>
      </c>
      <c r="Z821">
        <v>0</v>
      </c>
      <c r="AA821" t="s">
        <v>42</v>
      </c>
      <c r="AB821" t="s">
        <v>43</v>
      </c>
      <c r="AC821">
        <v>17</v>
      </c>
      <c r="AD821">
        <v>3</v>
      </c>
      <c r="AE821">
        <v>1</v>
      </c>
      <c r="AF821">
        <v>80</v>
      </c>
      <c r="AG821">
        <v>0</v>
      </c>
      <c r="AH8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21">
        <v>6</v>
      </c>
      <c r="AJ821" t="s">
        <v>78</v>
      </c>
      <c r="AK821">
        <v>2</v>
      </c>
      <c r="AL821" t="s">
        <v>78</v>
      </c>
      <c r="AM821">
        <v>1</v>
      </c>
      <c r="AN821" t="s">
        <v>78</v>
      </c>
      <c r="AO821">
        <v>5</v>
      </c>
      <c r="AP821" t="s">
        <v>78</v>
      </c>
      <c r="AQ821">
        <v>3</v>
      </c>
      <c r="AR821">
        <v>0</v>
      </c>
      <c r="AS821">
        <v>4</v>
      </c>
    </row>
    <row r="822" spans="1:4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 t="str">
        <f>IF(Employee_data[[#This Row],[MonthlyIncome]]&lt;5000,"Low Income",
IF(Employee_data[[#This Row],[MonthlyIncome]]&lt;10000,"Medium Income","High Income"))</f>
        <v>Low Income</v>
      </c>
      <c r="U822" t="s">
        <v>91</v>
      </c>
      <c r="V822" t="s">
        <v>91</v>
      </c>
      <c r="W822" t="s">
        <v>91</v>
      </c>
      <c r="X822" t="s">
        <v>91</v>
      </c>
      <c r="Y822">
        <v>18500</v>
      </c>
      <c r="Z822">
        <v>1</v>
      </c>
      <c r="AA822" t="s">
        <v>42</v>
      </c>
      <c r="AB822" t="s">
        <v>43</v>
      </c>
      <c r="AC822">
        <v>11</v>
      </c>
      <c r="AD822">
        <v>3</v>
      </c>
      <c r="AE822">
        <v>4</v>
      </c>
      <c r="AF822">
        <v>80</v>
      </c>
      <c r="AG822">
        <v>1</v>
      </c>
      <c r="AH8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22">
        <v>5</v>
      </c>
      <c r="AJ822" t="s">
        <v>78</v>
      </c>
      <c r="AK822">
        <v>3</v>
      </c>
      <c r="AL822" t="s">
        <v>78</v>
      </c>
      <c r="AM822">
        <v>3</v>
      </c>
      <c r="AN822" t="s">
        <v>78</v>
      </c>
      <c r="AO822">
        <v>5</v>
      </c>
      <c r="AP822" t="s">
        <v>78</v>
      </c>
      <c r="AQ822">
        <v>2</v>
      </c>
      <c r="AR822">
        <v>0</v>
      </c>
      <c r="AS822">
        <v>2</v>
      </c>
    </row>
    <row r="823" spans="1:4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 t="str">
        <f>IF(Employee_data[[#This Row],[MonthlyIncome]]&lt;5000,"Low Income",
IF(Employee_data[[#This Row],[MonthlyIncome]]&lt;10000,"Medium Income","High Income"))</f>
        <v>High Income</v>
      </c>
      <c r="U823" t="s">
        <v>90</v>
      </c>
      <c r="V823" t="s">
        <v>90</v>
      </c>
      <c r="W823" t="s">
        <v>90</v>
      </c>
      <c r="X823" t="s">
        <v>90</v>
      </c>
      <c r="Y823">
        <v>11879</v>
      </c>
      <c r="Z823">
        <v>6</v>
      </c>
      <c r="AA823" t="s">
        <v>42</v>
      </c>
      <c r="AB823" t="s">
        <v>43</v>
      </c>
      <c r="AC823">
        <v>17</v>
      </c>
      <c r="AD823">
        <v>3</v>
      </c>
      <c r="AE823">
        <v>2</v>
      </c>
      <c r="AF823">
        <v>80</v>
      </c>
      <c r="AG823">
        <v>1</v>
      </c>
      <c r="AH8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23">
        <v>22</v>
      </c>
      <c r="AJ823" t="s">
        <v>78</v>
      </c>
      <c r="AK823">
        <v>3</v>
      </c>
      <c r="AL823" t="s">
        <v>78</v>
      </c>
      <c r="AM823">
        <v>3</v>
      </c>
      <c r="AN823" t="s">
        <v>78</v>
      </c>
      <c r="AO823">
        <v>9</v>
      </c>
      <c r="AP823" t="s">
        <v>78</v>
      </c>
      <c r="AQ823">
        <v>8</v>
      </c>
      <c r="AR823">
        <v>2</v>
      </c>
      <c r="AS823">
        <v>3</v>
      </c>
    </row>
    <row r="824" spans="1:4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 t="str">
        <f>IF(Employee_data[[#This Row],[MonthlyIncome]]&lt;5000,"Low Income",
IF(Employee_data[[#This Row],[MonthlyIncome]]&lt;10000,"Medium Income","High Income"))</f>
        <v>Low Income</v>
      </c>
      <c r="U824" t="s">
        <v>91</v>
      </c>
      <c r="V824" t="s">
        <v>91</v>
      </c>
      <c r="W824" t="s">
        <v>91</v>
      </c>
      <c r="X824" t="s">
        <v>91</v>
      </c>
      <c r="Y824">
        <v>15834</v>
      </c>
      <c r="Z824">
        <v>2</v>
      </c>
      <c r="AA824" t="s">
        <v>42</v>
      </c>
      <c r="AB824" t="s">
        <v>43</v>
      </c>
      <c r="AC824">
        <v>11</v>
      </c>
      <c r="AD824">
        <v>3</v>
      </c>
      <c r="AE824">
        <v>4</v>
      </c>
      <c r="AF824">
        <v>80</v>
      </c>
      <c r="AG824">
        <v>0</v>
      </c>
      <c r="AH8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24">
        <v>5</v>
      </c>
      <c r="AJ824" t="s">
        <v>74</v>
      </c>
      <c r="AK824">
        <v>3</v>
      </c>
      <c r="AL824" t="s">
        <v>74</v>
      </c>
      <c r="AM824">
        <v>2</v>
      </c>
      <c r="AN824" t="s">
        <v>74</v>
      </c>
      <c r="AO824">
        <v>3</v>
      </c>
      <c r="AP824" t="s">
        <v>74</v>
      </c>
      <c r="AQ824">
        <v>2</v>
      </c>
      <c r="AR824">
        <v>0</v>
      </c>
      <c r="AS824">
        <v>2</v>
      </c>
    </row>
    <row r="825" spans="1:4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 t="str">
        <f>IF(Employee_data[[#This Row],[MonthlyIncome]]&lt;5000,"Low Income",
IF(Employee_data[[#This Row],[MonthlyIncome]]&lt;10000,"Medium Income","High Income"))</f>
        <v>Low Income</v>
      </c>
      <c r="U825" t="s">
        <v>91</v>
      </c>
      <c r="V825" t="s">
        <v>91</v>
      </c>
      <c r="W825" t="s">
        <v>91</v>
      </c>
      <c r="X825" t="s">
        <v>91</v>
      </c>
      <c r="Y825">
        <v>17940</v>
      </c>
      <c r="Z825">
        <v>0</v>
      </c>
      <c r="AA825" t="s">
        <v>42</v>
      </c>
      <c r="AB825" t="s">
        <v>43</v>
      </c>
      <c r="AC825">
        <v>14</v>
      </c>
      <c r="AD825">
        <v>3</v>
      </c>
      <c r="AE825">
        <v>4</v>
      </c>
      <c r="AF825">
        <v>80</v>
      </c>
      <c r="AG825">
        <v>2</v>
      </c>
      <c r="AH8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25">
        <v>8</v>
      </c>
      <c r="AJ825" t="s">
        <v>78</v>
      </c>
      <c r="AK825">
        <v>2</v>
      </c>
      <c r="AL825" t="s">
        <v>78</v>
      </c>
      <c r="AM825">
        <v>2</v>
      </c>
      <c r="AN825" t="s">
        <v>78</v>
      </c>
      <c r="AO825">
        <v>7</v>
      </c>
      <c r="AP825" t="s">
        <v>78</v>
      </c>
      <c r="AQ825">
        <v>5</v>
      </c>
      <c r="AR825">
        <v>1</v>
      </c>
      <c r="AS825">
        <v>1</v>
      </c>
    </row>
    <row r="826" spans="1:4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 t="str">
        <f>IF(Employee_data[[#This Row],[MonthlyIncome]]&lt;5000,"Low Income",
IF(Employee_data[[#This Row],[MonthlyIncome]]&lt;10000,"Medium Income","High Income"))</f>
        <v>Low Income</v>
      </c>
      <c r="U826" t="s">
        <v>91</v>
      </c>
      <c r="V826" t="s">
        <v>91</v>
      </c>
      <c r="W826" t="s">
        <v>91</v>
      </c>
      <c r="X826" t="s">
        <v>91</v>
      </c>
      <c r="Y826">
        <v>9558</v>
      </c>
      <c r="Z826">
        <v>4</v>
      </c>
      <c r="AA826" t="s">
        <v>42</v>
      </c>
      <c r="AB826" t="s">
        <v>43</v>
      </c>
      <c r="AC826">
        <v>19</v>
      </c>
      <c r="AD826">
        <v>3</v>
      </c>
      <c r="AE826">
        <v>1</v>
      </c>
      <c r="AF826">
        <v>80</v>
      </c>
      <c r="AG826">
        <v>0</v>
      </c>
      <c r="AH8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26">
        <v>16</v>
      </c>
      <c r="AJ826" t="s">
        <v>74</v>
      </c>
      <c r="AK826">
        <v>3</v>
      </c>
      <c r="AL826" t="s">
        <v>74</v>
      </c>
      <c r="AM826">
        <v>3</v>
      </c>
      <c r="AN826" t="s">
        <v>74</v>
      </c>
      <c r="AO826">
        <v>1</v>
      </c>
      <c r="AP826" t="s">
        <v>74</v>
      </c>
      <c r="AQ826">
        <v>0</v>
      </c>
      <c r="AR826">
        <v>0</v>
      </c>
      <c r="AS826">
        <v>0</v>
      </c>
    </row>
    <row r="827" spans="1:4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 t="str">
        <f>IF(Employee_data[[#This Row],[MonthlyIncome]]&lt;5000,"Low Income",
IF(Employee_data[[#This Row],[MonthlyIncome]]&lt;10000,"Medium Income","High Income"))</f>
        <v>Medium Income</v>
      </c>
      <c r="U827" t="s">
        <v>92</v>
      </c>
      <c r="V827" t="s">
        <v>92</v>
      </c>
      <c r="W827" t="s">
        <v>92</v>
      </c>
      <c r="X827" t="s">
        <v>92</v>
      </c>
      <c r="Y827">
        <v>17689</v>
      </c>
      <c r="Z827">
        <v>1</v>
      </c>
      <c r="AA827" t="s">
        <v>42</v>
      </c>
      <c r="AB827" t="s">
        <v>35</v>
      </c>
      <c r="AC827">
        <v>15</v>
      </c>
      <c r="AD827">
        <v>3</v>
      </c>
      <c r="AE827">
        <v>3</v>
      </c>
      <c r="AF827">
        <v>80</v>
      </c>
      <c r="AG827">
        <v>1</v>
      </c>
      <c r="AH8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27">
        <v>10</v>
      </c>
      <c r="AJ827" t="s">
        <v>75</v>
      </c>
      <c r="AK827">
        <v>2</v>
      </c>
      <c r="AL827" t="s">
        <v>75</v>
      </c>
      <c r="AM827">
        <v>2</v>
      </c>
      <c r="AN827" t="s">
        <v>75</v>
      </c>
      <c r="AO827">
        <v>10</v>
      </c>
      <c r="AP827" t="s">
        <v>75</v>
      </c>
      <c r="AQ827">
        <v>7</v>
      </c>
      <c r="AR827">
        <v>1</v>
      </c>
      <c r="AS827">
        <v>2</v>
      </c>
    </row>
    <row r="828" spans="1:4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 t="str">
        <f>IF(Employee_data[[#This Row],[MonthlyIncome]]&lt;5000,"Low Income",
IF(Employee_data[[#This Row],[MonthlyIncome]]&lt;10000,"Medium Income","High Income"))</f>
        <v>Low Income</v>
      </c>
      <c r="U828" t="s">
        <v>91</v>
      </c>
      <c r="V828" t="s">
        <v>91</v>
      </c>
      <c r="W828" t="s">
        <v>91</v>
      </c>
      <c r="X828" t="s">
        <v>91</v>
      </c>
      <c r="Y828">
        <v>6004</v>
      </c>
      <c r="Z828">
        <v>1</v>
      </c>
      <c r="AA828" t="s">
        <v>42</v>
      </c>
      <c r="AB828" t="s">
        <v>43</v>
      </c>
      <c r="AC828">
        <v>13</v>
      </c>
      <c r="AD828">
        <v>3</v>
      </c>
      <c r="AE828">
        <v>4</v>
      </c>
      <c r="AF828">
        <v>80</v>
      </c>
      <c r="AG828">
        <v>1</v>
      </c>
      <c r="AH8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28">
        <v>7</v>
      </c>
      <c r="AJ828" t="s">
        <v>78</v>
      </c>
      <c r="AK828">
        <v>2</v>
      </c>
      <c r="AL828" t="s">
        <v>78</v>
      </c>
      <c r="AM828">
        <v>4</v>
      </c>
      <c r="AN828" t="s">
        <v>78</v>
      </c>
      <c r="AO828">
        <v>7</v>
      </c>
      <c r="AP828" t="s">
        <v>78</v>
      </c>
      <c r="AQ828">
        <v>6</v>
      </c>
      <c r="AR828">
        <v>5</v>
      </c>
      <c r="AS828">
        <v>0</v>
      </c>
    </row>
    <row r="829" spans="1:4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 t="str">
        <f>IF(Employee_data[[#This Row],[MonthlyIncome]]&lt;5000,"Low Income",
IF(Employee_data[[#This Row],[MonthlyIncome]]&lt;10000,"Medium Income","High Income"))</f>
        <v>Low Income</v>
      </c>
      <c r="U829" t="s">
        <v>91</v>
      </c>
      <c r="V829" t="s">
        <v>91</v>
      </c>
      <c r="W829" t="s">
        <v>91</v>
      </c>
      <c r="X829" t="s">
        <v>91</v>
      </c>
      <c r="Y829">
        <v>22088</v>
      </c>
      <c r="Z829">
        <v>1</v>
      </c>
      <c r="AA829" t="s">
        <v>42</v>
      </c>
      <c r="AB829" t="s">
        <v>35</v>
      </c>
      <c r="AC829">
        <v>14</v>
      </c>
      <c r="AD829">
        <v>3</v>
      </c>
      <c r="AE829">
        <v>4</v>
      </c>
      <c r="AF829">
        <v>80</v>
      </c>
      <c r="AG829">
        <v>1</v>
      </c>
      <c r="AH8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29">
        <v>3</v>
      </c>
      <c r="AJ829" t="s">
        <v>74</v>
      </c>
      <c r="AK829">
        <v>2</v>
      </c>
      <c r="AL829" t="s">
        <v>74</v>
      </c>
      <c r="AM829">
        <v>3</v>
      </c>
      <c r="AN829" t="s">
        <v>74</v>
      </c>
      <c r="AO829">
        <v>3</v>
      </c>
      <c r="AP829" t="s">
        <v>74</v>
      </c>
      <c r="AQ829">
        <v>1</v>
      </c>
      <c r="AR829">
        <v>0</v>
      </c>
      <c r="AS829">
        <v>2</v>
      </c>
    </row>
    <row r="830" spans="1:4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 t="str">
        <f>IF(Employee_data[[#This Row],[MonthlyIncome]]&lt;5000,"Low Income",
IF(Employee_data[[#This Row],[MonthlyIncome]]&lt;10000,"Medium Income","High Income"))</f>
        <v>Low Income</v>
      </c>
      <c r="U830" t="s">
        <v>91</v>
      </c>
      <c r="V830" t="s">
        <v>91</v>
      </c>
      <c r="W830" t="s">
        <v>91</v>
      </c>
      <c r="X830" t="s">
        <v>91</v>
      </c>
      <c r="Y830">
        <v>13556</v>
      </c>
      <c r="Z830">
        <v>1</v>
      </c>
      <c r="AA830" t="s">
        <v>42</v>
      </c>
      <c r="AB830" t="s">
        <v>43</v>
      </c>
      <c r="AC830">
        <v>12</v>
      </c>
      <c r="AD830">
        <v>3</v>
      </c>
      <c r="AE830">
        <v>4</v>
      </c>
      <c r="AF830">
        <v>80</v>
      </c>
      <c r="AG830">
        <v>0</v>
      </c>
      <c r="AH8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30">
        <v>0</v>
      </c>
      <c r="AJ830" t="s">
        <v>74</v>
      </c>
      <c r="AK830">
        <v>0</v>
      </c>
      <c r="AL830" t="s">
        <v>74</v>
      </c>
      <c r="AM830">
        <v>3</v>
      </c>
      <c r="AN830" t="s">
        <v>74</v>
      </c>
      <c r="AO830">
        <v>0</v>
      </c>
      <c r="AP830" t="s">
        <v>74</v>
      </c>
      <c r="AQ830">
        <v>0</v>
      </c>
      <c r="AR830">
        <v>0</v>
      </c>
      <c r="AS830">
        <v>0</v>
      </c>
    </row>
    <row r="831" spans="1:4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 t="str">
        <f>IF(Employee_data[[#This Row],[MonthlyIncome]]&lt;5000,"Low Income",
IF(Employee_data[[#This Row],[MonthlyIncome]]&lt;10000,"Medium Income","High Income"))</f>
        <v>Medium Income</v>
      </c>
      <c r="U831" t="s">
        <v>92</v>
      </c>
      <c r="V831" t="s">
        <v>92</v>
      </c>
      <c r="W831" t="s">
        <v>92</v>
      </c>
      <c r="X831" t="s">
        <v>92</v>
      </c>
      <c r="Y831">
        <v>18385</v>
      </c>
      <c r="Z831">
        <v>0</v>
      </c>
      <c r="AA831" t="s">
        <v>42</v>
      </c>
      <c r="AB831" t="s">
        <v>35</v>
      </c>
      <c r="AC831">
        <v>17</v>
      </c>
      <c r="AD831">
        <v>3</v>
      </c>
      <c r="AE831">
        <v>1</v>
      </c>
      <c r="AF831">
        <v>80</v>
      </c>
      <c r="AG831">
        <v>0</v>
      </c>
      <c r="AH8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31">
        <v>6</v>
      </c>
      <c r="AJ831" t="s">
        <v>78</v>
      </c>
      <c r="AK831">
        <v>3</v>
      </c>
      <c r="AL831" t="s">
        <v>78</v>
      </c>
      <c r="AM831">
        <v>3</v>
      </c>
      <c r="AN831" t="s">
        <v>78</v>
      </c>
      <c r="AO831">
        <v>5</v>
      </c>
      <c r="AP831" t="s">
        <v>78</v>
      </c>
      <c r="AQ831">
        <v>2</v>
      </c>
      <c r="AR831">
        <v>0</v>
      </c>
      <c r="AS831">
        <v>3</v>
      </c>
    </row>
    <row r="832" spans="1:4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 t="str">
        <f>IF(Employee_data[[#This Row],[MonthlyIncome]]&lt;5000,"Low Income",
IF(Employee_data[[#This Row],[MonthlyIncome]]&lt;10000,"Medium Income","High Income"))</f>
        <v>Low Income</v>
      </c>
      <c r="U832" t="s">
        <v>91</v>
      </c>
      <c r="V832" t="s">
        <v>91</v>
      </c>
      <c r="W832" t="s">
        <v>91</v>
      </c>
      <c r="X832" t="s">
        <v>91</v>
      </c>
      <c r="Y832">
        <v>9051</v>
      </c>
      <c r="Z832">
        <v>3</v>
      </c>
      <c r="AA832" t="s">
        <v>42</v>
      </c>
      <c r="AB832" t="s">
        <v>35</v>
      </c>
      <c r="AC832">
        <v>11</v>
      </c>
      <c r="AD832">
        <v>3</v>
      </c>
      <c r="AE832">
        <v>1</v>
      </c>
      <c r="AF832">
        <v>80</v>
      </c>
      <c r="AG832">
        <v>1</v>
      </c>
      <c r="AH8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32">
        <v>6</v>
      </c>
      <c r="AJ832" t="s">
        <v>74</v>
      </c>
      <c r="AK832">
        <v>4</v>
      </c>
      <c r="AL832" t="s">
        <v>74</v>
      </c>
      <c r="AM832">
        <v>3</v>
      </c>
      <c r="AN832" t="s">
        <v>74</v>
      </c>
      <c r="AO832">
        <v>1</v>
      </c>
      <c r="AP832" t="s">
        <v>74</v>
      </c>
      <c r="AQ832">
        <v>0</v>
      </c>
      <c r="AR832">
        <v>0</v>
      </c>
      <c r="AS832">
        <v>0</v>
      </c>
    </row>
    <row r="833" spans="1:4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 t="str">
        <f>IF(Employee_data[[#This Row],[MonthlyIncome]]&lt;5000,"Low Income",
IF(Employee_data[[#This Row],[MonthlyIncome]]&lt;10000,"Medium Income","High Income"))</f>
        <v>Low Income</v>
      </c>
      <c r="U833" t="s">
        <v>91</v>
      </c>
      <c r="V833" t="s">
        <v>91</v>
      </c>
      <c r="W833" t="s">
        <v>91</v>
      </c>
      <c r="X833" t="s">
        <v>91</v>
      </c>
      <c r="Y833">
        <v>6233</v>
      </c>
      <c r="Z833">
        <v>1</v>
      </c>
      <c r="AA833" t="s">
        <v>42</v>
      </c>
      <c r="AB833" t="s">
        <v>43</v>
      </c>
      <c r="AC833">
        <v>12</v>
      </c>
      <c r="AD833">
        <v>3</v>
      </c>
      <c r="AE833">
        <v>3</v>
      </c>
      <c r="AF833">
        <v>80</v>
      </c>
      <c r="AG833">
        <v>1</v>
      </c>
      <c r="AH8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33">
        <v>2</v>
      </c>
      <c r="AJ833" t="s">
        <v>74</v>
      </c>
      <c r="AK833">
        <v>5</v>
      </c>
      <c r="AL833" t="s">
        <v>74</v>
      </c>
      <c r="AM833">
        <v>2</v>
      </c>
      <c r="AN833" t="s">
        <v>74</v>
      </c>
      <c r="AO833">
        <v>2</v>
      </c>
      <c r="AP833" t="s">
        <v>74</v>
      </c>
      <c r="AQ833">
        <v>2</v>
      </c>
      <c r="AR833">
        <v>2</v>
      </c>
      <c r="AS833">
        <v>2</v>
      </c>
    </row>
    <row r="834" spans="1:4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 t="str">
        <f>IF(Employee_data[[#This Row],[MonthlyIncome]]&lt;5000,"Low Income",
IF(Employee_data[[#This Row],[MonthlyIncome]]&lt;10000,"Medium Income","High Income"))</f>
        <v>Medium Income</v>
      </c>
      <c r="U834" t="s">
        <v>92</v>
      </c>
      <c r="V834" t="s">
        <v>92</v>
      </c>
      <c r="W834" t="s">
        <v>92</v>
      </c>
      <c r="X834" t="s">
        <v>92</v>
      </c>
      <c r="Y834">
        <v>17171</v>
      </c>
      <c r="Z834">
        <v>7</v>
      </c>
      <c r="AA834" t="s">
        <v>42</v>
      </c>
      <c r="AB834" t="s">
        <v>43</v>
      </c>
      <c r="AC834">
        <v>13</v>
      </c>
      <c r="AD834">
        <v>3</v>
      </c>
      <c r="AE834">
        <v>3</v>
      </c>
      <c r="AF834">
        <v>80</v>
      </c>
      <c r="AG834">
        <v>2</v>
      </c>
      <c r="AH8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34">
        <v>9</v>
      </c>
      <c r="AJ834" t="s">
        <v>78</v>
      </c>
      <c r="AK834">
        <v>2</v>
      </c>
      <c r="AL834" t="s">
        <v>78</v>
      </c>
      <c r="AM834">
        <v>3</v>
      </c>
      <c r="AN834" t="s">
        <v>78</v>
      </c>
      <c r="AO834">
        <v>6</v>
      </c>
      <c r="AP834" t="s">
        <v>78</v>
      </c>
      <c r="AQ834">
        <v>2</v>
      </c>
      <c r="AR834">
        <v>1</v>
      </c>
      <c r="AS834">
        <v>3</v>
      </c>
    </row>
    <row r="835" spans="1:4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 t="str">
        <f>IF(Employee_data[[#This Row],[MonthlyIncome]]&lt;5000,"Low Income",
IF(Employee_data[[#This Row],[MonthlyIncome]]&lt;10000,"Medium Income","High Income"))</f>
        <v>Low Income</v>
      </c>
      <c r="U835" t="s">
        <v>91</v>
      </c>
      <c r="V835" t="s">
        <v>91</v>
      </c>
      <c r="W835" t="s">
        <v>91</v>
      </c>
      <c r="X835" t="s">
        <v>91</v>
      </c>
      <c r="Y835">
        <v>7950</v>
      </c>
      <c r="Z835">
        <v>1</v>
      </c>
      <c r="AA835" t="s">
        <v>42</v>
      </c>
      <c r="AB835" t="s">
        <v>43</v>
      </c>
      <c r="AC835">
        <v>13</v>
      </c>
      <c r="AD835">
        <v>3</v>
      </c>
      <c r="AE835">
        <v>3</v>
      </c>
      <c r="AF835">
        <v>80</v>
      </c>
      <c r="AG835">
        <v>1</v>
      </c>
      <c r="AH8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35">
        <v>4</v>
      </c>
      <c r="AJ835" t="s">
        <v>74</v>
      </c>
      <c r="AK835">
        <v>0</v>
      </c>
      <c r="AL835" t="s">
        <v>74</v>
      </c>
      <c r="AM835">
        <v>3</v>
      </c>
      <c r="AN835" t="s">
        <v>74</v>
      </c>
      <c r="AO835">
        <v>4</v>
      </c>
      <c r="AP835" t="s">
        <v>74</v>
      </c>
      <c r="AQ835">
        <v>2</v>
      </c>
      <c r="AR835">
        <v>2</v>
      </c>
      <c r="AS835">
        <v>2</v>
      </c>
    </row>
    <row r="836" spans="1:4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 t="str">
        <f>IF(Employee_data[[#This Row],[MonthlyIncome]]&lt;5000,"Low Income",
IF(Employee_data[[#This Row],[MonthlyIncome]]&lt;10000,"Medium Income","High Income"))</f>
        <v>Medium Income</v>
      </c>
      <c r="U836" t="s">
        <v>92</v>
      </c>
      <c r="V836" t="s">
        <v>92</v>
      </c>
      <c r="W836" t="s">
        <v>92</v>
      </c>
      <c r="X836" t="s">
        <v>92</v>
      </c>
      <c r="Y836">
        <v>5829</v>
      </c>
      <c r="Z836">
        <v>1</v>
      </c>
      <c r="AA836" t="s">
        <v>42</v>
      </c>
      <c r="AB836" t="s">
        <v>43</v>
      </c>
      <c r="AC836">
        <v>20</v>
      </c>
      <c r="AD836">
        <v>4</v>
      </c>
      <c r="AE836">
        <v>1</v>
      </c>
      <c r="AF836">
        <v>80</v>
      </c>
      <c r="AG836">
        <v>0</v>
      </c>
      <c r="AH8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36">
        <v>6</v>
      </c>
      <c r="AJ836" t="s">
        <v>78</v>
      </c>
      <c r="AK836">
        <v>3</v>
      </c>
      <c r="AL836" t="s">
        <v>78</v>
      </c>
      <c r="AM836">
        <v>2</v>
      </c>
      <c r="AN836" t="s">
        <v>78</v>
      </c>
      <c r="AO836">
        <v>6</v>
      </c>
      <c r="AP836" t="s">
        <v>78</v>
      </c>
      <c r="AQ836">
        <v>5</v>
      </c>
      <c r="AR836">
        <v>1</v>
      </c>
      <c r="AS836">
        <v>3</v>
      </c>
    </row>
    <row r="837" spans="1:4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 t="str">
        <f>IF(Employee_data[[#This Row],[MonthlyIncome]]&lt;5000,"Low Income",
IF(Employee_data[[#This Row],[MonthlyIncome]]&lt;10000,"Medium Income","High Income"))</f>
        <v>Low Income</v>
      </c>
      <c r="U837" t="s">
        <v>91</v>
      </c>
      <c r="V837" t="s">
        <v>91</v>
      </c>
      <c r="W837" t="s">
        <v>91</v>
      </c>
      <c r="X837" t="s">
        <v>91</v>
      </c>
      <c r="Y837">
        <v>7108</v>
      </c>
      <c r="Z837">
        <v>1</v>
      </c>
      <c r="AA837" t="s">
        <v>42</v>
      </c>
      <c r="AB837" t="s">
        <v>43</v>
      </c>
      <c r="AC837">
        <v>17</v>
      </c>
      <c r="AD837">
        <v>3</v>
      </c>
      <c r="AE837">
        <v>2</v>
      </c>
      <c r="AF837">
        <v>80</v>
      </c>
      <c r="AG837">
        <v>0</v>
      </c>
      <c r="AH8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37">
        <v>6</v>
      </c>
      <c r="AJ837" t="s">
        <v>78</v>
      </c>
      <c r="AK837">
        <v>2</v>
      </c>
      <c r="AL837" t="s">
        <v>78</v>
      </c>
      <c r="AM837">
        <v>1</v>
      </c>
      <c r="AN837" t="s">
        <v>78</v>
      </c>
      <c r="AO837">
        <v>5</v>
      </c>
      <c r="AP837" t="s">
        <v>78</v>
      </c>
      <c r="AQ837">
        <v>4</v>
      </c>
      <c r="AR837">
        <v>1</v>
      </c>
      <c r="AS837">
        <v>4</v>
      </c>
    </row>
    <row r="838" spans="1:4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 t="str">
        <f>IF(Employee_data[[#This Row],[MonthlyIncome]]&lt;5000,"Low Income",
IF(Employee_data[[#This Row],[MonthlyIncome]]&lt;10000,"Medium Income","High Income"))</f>
        <v>Medium Income</v>
      </c>
      <c r="U838" t="s">
        <v>92</v>
      </c>
      <c r="V838" t="s">
        <v>92</v>
      </c>
      <c r="W838" t="s">
        <v>92</v>
      </c>
      <c r="X838" t="s">
        <v>92</v>
      </c>
      <c r="Y838">
        <v>11162</v>
      </c>
      <c r="Z838">
        <v>1</v>
      </c>
      <c r="AA838" t="s">
        <v>42</v>
      </c>
      <c r="AB838" t="s">
        <v>43</v>
      </c>
      <c r="AC838">
        <v>13</v>
      </c>
      <c r="AD838">
        <v>3</v>
      </c>
      <c r="AE838">
        <v>1</v>
      </c>
      <c r="AF838">
        <v>80</v>
      </c>
      <c r="AG838">
        <v>1</v>
      </c>
      <c r="AH8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38">
        <v>11</v>
      </c>
      <c r="AJ838" t="s">
        <v>75</v>
      </c>
      <c r="AK838">
        <v>3</v>
      </c>
      <c r="AL838" t="s">
        <v>75</v>
      </c>
      <c r="AM838">
        <v>1</v>
      </c>
      <c r="AN838" t="s">
        <v>75</v>
      </c>
      <c r="AO838">
        <v>11</v>
      </c>
      <c r="AP838" t="s">
        <v>75</v>
      </c>
      <c r="AQ838">
        <v>8</v>
      </c>
      <c r="AR838">
        <v>3</v>
      </c>
      <c r="AS838">
        <v>10</v>
      </c>
    </row>
    <row r="839" spans="1:4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 t="str">
        <f>IF(Employee_data[[#This Row],[MonthlyIncome]]&lt;5000,"Low Income",
IF(Employee_data[[#This Row],[MonthlyIncome]]&lt;10000,"Medium Income","High Income"))</f>
        <v>High Income</v>
      </c>
      <c r="U839" t="s">
        <v>90</v>
      </c>
      <c r="V839" t="s">
        <v>90</v>
      </c>
      <c r="W839" t="s">
        <v>90</v>
      </c>
      <c r="X839" t="s">
        <v>90</v>
      </c>
      <c r="Y839">
        <v>13782</v>
      </c>
      <c r="Z839">
        <v>9</v>
      </c>
      <c r="AA839" t="s">
        <v>42</v>
      </c>
      <c r="AB839" t="s">
        <v>43</v>
      </c>
      <c r="AC839">
        <v>17</v>
      </c>
      <c r="AD839">
        <v>3</v>
      </c>
      <c r="AE839">
        <v>3</v>
      </c>
      <c r="AF839">
        <v>80</v>
      </c>
      <c r="AG839">
        <v>0</v>
      </c>
      <c r="AH8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839">
        <v>20</v>
      </c>
      <c r="AJ839" t="s">
        <v>76</v>
      </c>
      <c r="AK839">
        <v>3</v>
      </c>
      <c r="AL839" t="s">
        <v>76</v>
      </c>
      <c r="AM839">
        <v>2</v>
      </c>
      <c r="AN839" t="s">
        <v>76</v>
      </c>
      <c r="AO839">
        <v>18</v>
      </c>
      <c r="AP839" t="s">
        <v>76</v>
      </c>
      <c r="AQ839">
        <v>7</v>
      </c>
      <c r="AR839">
        <v>2</v>
      </c>
      <c r="AS839">
        <v>13</v>
      </c>
    </row>
    <row r="840" spans="1:4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 t="str">
        <f>IF(Employee_data[[#This Row],[MonthlyIncome]]&lt;5000,"Low Income",
IF(Employee_data[[#This Row],[MonthlyIncome]]&lt;10000,"Medium Income","High Income"))</f>
        <v>High Income</v>
      </c>
      <c r="U840" t="s">
        <v>90</v>
      </c>
      <c r="V840" t="s">
        <v>90</v>
      </c>
      <c r="W840" t="s">
        <v>90</v>
      </c>
      <c r="X840" t="s">
        <v>90</v>
      </c>
      <c r="Y840">
        <v>2447</v>
      </c>
      <c r="Z840">
        <v>0</v>
      </c>
      <c r="AA840" t="s">
        <v>42</v>
      </c>
      <c r="AB840" t="s">
        <v>35</v>
      </c>
      <c r="AC840">
        <v>12</v>
      </c>
      <c r="AD840">
        <v>3</v>
      </c>
      <c r="AE840">
        <v>2</v>
      </c>
      <c r="AF840">
        <v>80</v>
      </c>
      <c r="AG840">
        <v>0</v>
      </c>
      <c r="AH8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840">
        <v>22</v>
      </c>
      <c r="AJ840" t="s">
        <v>76</v>
      </c>
      <c r="AK840">
        <v>2</v>
      </c>
      <c r="AL840" t="s">
        <v>76</v>
      </c>
      <c r="AM840">
        <v>2</v>
      </c>
      <c r="AN840" t="s">
        <v>76</v>
      </c>
      <c r="AO840">
        <v>21</v>
      </c>
      <c r="AP840" t="s">
        <v>76</v>
      </c>
      <c r="AQ840">
        <v>9</v>
      </c>
      <c r="AR840">
        <v>13</v>
      </c>
      <c r="AS840">
        <v>14</v>
      </c>
    </row>
    <row r="841" spans="1:4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 t="str">
        <f>IF(Employee_data[[#This Row],[MonthlyIncome]]&lt;5000,"Low Income",
IF(Employee_data[[#This Row],[MonthlyIncome]]&lt;10000,"Medium Income","High Income"))</f>
        <v>Medium Income</v>
      </c>
      <c r="U841" t="s">
        <v>92</v>
      </c>
      <c r="V841" t="s">
        <v>92</v>
      </c>
      <c r="W841" t="s">
        <v>92</v>
      </c>
      <c r="X841" t="s">
        <v>92</v>
      </c>
      <c r="Y841">
        <v>2253</v>
      </c>
      <c r="Z841">
        <v>7</v>
      </c>
      <c r="AA841" t="s">
        <v>42</v>
      </c>
      <c r="AB841" t="s">
        <v>43</v>
      </c>
      <c r="AC841">
        <v>13</v>
      </c>
      <c r="AD841">
        <v>3</v>
      </c>
      <c r="AE841">
        <v>4</v>
      </c>
      <c r="AF841">
        <v>80</v>
      </c>
      <c r="AG841">
        <v>0</v>
      </c>
      <c r="AH8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41">
        <v>9</v>
      </c>
      <c r="AJ841" t="s">
        <v>78</v>
      </c>
      <c r="AK841">
        <v>3</v>
      </c>
      <c r="AL841" t="s">
        <v>78</v>
      </c>
      <c r="AM841">
        <v>4</v>
      </c>
      <c r="AN841" t="s">
        <v>78</v>
      </c>
      <c r="AO841">
        <v>6</v>
      </c>
      <c r="AP841" t="s">
        <v>78</v>
      </c>
      <c r="AQ841">
        <v>4</v>
      </c>
      <c r="AR841">
        <v>1</v>
      </c>
      <c r="AS841">
        <v>5</v>
      </c>
    </row>
    <row r="842" spans="1:4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 t="str">
        <f>IF(Employee_data[[#This Row],[MonthlyIncome]]&lt;5000,"Low Income",
IF(Employee_data[[#This Row],[MonthlyIncome]]&lt;10000,"Medium Income","High Income"))</f>
        <v>Low Income</v>
      </c>
      <c r="U842" t="s">
        <v>91</v>
      </c>
      <c r="V842" t="s">
        <v>91</v>
      </c>
      <c r="W842" t="s">
        <v>91</v>
      </c>
      <c r="X842" t="s">
        <v>91</v>
      </c>
      <c r="Y842">
        <v>16340</v>
      </c>
      <c r="Z842">
        <v>6</v>
      </c>
      <c r="AA842" t="s">
        <v>42</v>
      </c>
      <c r="AB842" t="s">
        <v>43</v>
      </c>
      <c r="AC842">
        <v>12</v>
      </c>
      <c r="AD842">
        <v>3</v>
      </c>
      <c r="AE842">
        <v>2</v>
      </c>
      <c r="AF842">
        <v>80</v>
      </c>
      <c r="AG842">
        <v>1</v>
      </c>
      <c r="AH8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42">
        <v>10</v>
      </c>
      <c r="AJ842" t="s">
        <v>78</v>
      </c>
      <c r="AK842">
        <v>2</v>
      </c>
      <c r="AL842" t="s">
        <v>78</v>
      </c>
      <c r="AM842">
        <v>3</v>
      </c>
      <c r="AN842" t="s">
        <v>78</v>
      </c>
      <c r="AO842">
        <v>8</v>
      </c>
      <c r="AP842" t="s">
        <v>78</v>
      </c>
      <c r="AQ842">
        <v>0</v>
      </c>
      <c r="AR842">
        <v>1</v>
      </c>
      <c r="AS842">
        <v>7</v>
      </c>
    </row>
    <row r="843" spans="1:4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 t="str">
        <f>IF(Employee_data[[#This Row],[MonthlyIncome]]&lt;5000,"Low Income",
IF(Employee_data[[#This Row],[MonthlyIncome]]&lt;10000,"Medium Income","High Income"))</f>
        <v>Low Income</v>
      </c>
      <c r="U843" t="s">
        <v>91</v>
      </c>
      <c r="V843" t="s">
        <v>91</v>
      </c>
      <c r="W843" t="s">
        <v>91</v>
      </c>
      <c r="X843" t="s">
        <v>91</v>
      </c>
      <c r="Y843">
        <v>6409</v>
      </c>
      <c r="Z843">
        <v>8</v>
      </c>
      <c r="AA843" t="s">
        <v>42</v>
      </c>
      <c r="AB843" t="s">
        <v>43</v>
      </c>
      <c r="AC843">
        <v>22</v>
      </c>
      <c r="AD843">
        <v>4</v>
      </c>
      <c r="AE843">
        <v>4</v>
      </c>
      <c r="AF843">
        <v>80</v>
      </c>
      <c r="AG843">
        <v>0</v>
      </c>
      <c r="AH8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43">
        <v>6</v>
      </c>
      <c r="AJ843" t="s">
        <v>74</v>
      </c>
      <c r="AK843">
        <v>2</v>
      </c>
      <c r="AL843" t="s">
        <v>74</v>
      </c>
      <c r="AM843">
        <v>3</v>
      </c>
      <c r="AN843" t="s">
        <v>74</v>
      </c>
      <c r="AO843">
        <v>4</v>
      </c>
      <c r="AP843" t="s">
        <v>74</v>
      </c>
      <c r="AQ843">
        <v>3</v>
      </c>
      <c r="AR843">
        <v>1</v>
      </c>
      <c r="AS843">
        <v>2</v>
      </c>
    </row>
    <row r="844" spans="1:4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 t="str">
        <f>IF(Employee_data[[#This Row],[MonthlyIncome]]&lt;5000,"Low Income",
IF(Employee_data[[#This Row],[MonthlyIncome]]&lt;10000,"Medium Income","High Income"))</f>
        <v>Low Income</v>
      </c>
      <c r="U844" t="s">
        <v>91</v>
      </c>
      <c r="V844" t="s">
        <v>91</v>
      </c>
      <c r="W844" t="s">
        <v>91</v>
      </c>
      <c r="X844" t="s">
        <v>91</v>
      </c>
      <c r="Y844">
        <v>22955</v>
      </c>
      <c r="Z844">
        <v>1</v>
      </c>
      <c r="AA844" t="s">
        <v>42</v>
      </c>
      <c r="AB844" t="s">
        <v>35</v>
      </c>
      <c r="AC844">
        <v>11</v>
      </c>
      <c r="AD844">
        <v>3</v>
      </c>
      <c r="AE844">
        <v>4</v>
      </c>
      <c r="AF844">
        <v>80</v>
      </c>
      <c r="AG844">
        <v>0</v>
      </c>
      <c r="AH8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44">
        <v>1</v>
      </c>
      <c r="AJ844" t="s">
        <v>74</v>
      </c>
      <c r="AK844">
        <v>4</v>
      </c>
      <c r="AL844" t="s">
        <v>74</v>
      </c>
      <c r="AM844">
        <v>2</v>
      </c>
      <c r="AN844" t="s">
        <v>74</v>
      </c>
      <c r="AO844">
        <v>1</v>
      </c>
      <c r="AP844" t="s">
        <v>74</v>
      </c>
      <c r="AQ844">
        <v>1</v>
      </c>
      <c r="AR844">
        <v>0</v>
      </c>
      <c r="AS844">
        <v>0</v>
      </c>
    </row>
    <row r="845" spans="1:4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 t="str">
        <f>IF(Employee_data[[#This Row],[MonthlyIncome]]&lt;5000,"Low Income",
IF(Employee_data[[#This Row],[MonthlyIncome]]&lt;10000,"Medium Income","High Income"))</f>
        <v>Low Income</v>
      </c>
      <c r="U845" t="s">
        <v>91</v>
      </c>
      <c r="V845" t="s">
        <v>91</v>
      </c>
      <c r="W845" t="s">
        <v>91</v>
      </c>
      <c r="X845" t="s">
        <v>91</v>
      </c>
      <c r="Y845">
        <v>13421</v>
      </c>
      <c r="Z845">
        <v>1</v>
      </c>
      <c r="AA845" t="s">
        <v>42</v>
      </c>
      <c r="AB845" t="s">
        <v>43</v>
      </c>
      <c r="AC845">
        <v>22</v>
      </c>
      <c r="AD845">
        <v>4</v>
      </c>
      <c r="AE845">
        <v>2</v>
      </c>
      <c r="AF845">
        <v>80</v>
      </c>
      <c r="AG845">
        <v>1</v>
      </c>
      <c r="AH8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45">
        <v>8</v>
      </c>
      <c r="AJ845" t="s">
        <v>78</v>
      </c>
      <c r="AK845">
        <v>2</v>
      </c>
      <c r="AL845" t="s">
        <v>78</v>
      </c>
      <c r="AM845">
        <v>3</v>
      </c>
      <c r="AN845" t="s">
        <v>78</v>
      </c>
      <c r="AO845">
        <v>8</v>
      </c>
      <c r="AP845" t="s">
        <v>78</v>
      </c>
      <c r="AQ845">
        <v>7</v>
      </c>
      <c r="AR845">
        <v>0</v>
      </c>
      <c r="AS845">
        <v>7</v>
      </c>
    </row>
    <row r="846" spans="1:4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 t="str">
        <f>IF(Employee_data[[#This Row],[MonthlyIncome]]&lt;5000,"Low Income",
IF(Employee_data[[#This Row],[MonthlyIncome]]&lt;10000,"Medium Income","High Income"))</f>
        <v>Medium Income</v>
      </c>
      <c r="U846" t="s">
        <v>92</v>
      </c>
      <c r="V846" t="s">
        <v>92</v>
      </c>
      <c r="W846" t="s">
        <v>92</v>
      </c>
      <c r="X846" t="s">
        <v>92</v>
      </c>
      <c r="Y846">
        <v>2706</v>
      </c>
      <c r="Z846">
        <v>1</v>
      </c>
      <c r="AA846" t="s">
        <v>42</v>
      </c>
      <c r="AB846" t="s">
        <v>43</v>
      </c>
      <c r="AC846">
        <v>18</v>
      </c>
      <c r="AD846">
        <v>3</v>
      </c>
      <c r="AE846">
        <v>1</v>
      </c>
      <c r="AF846">
        <v>80</v>
      </c>
      <c r="AG846">
        <v>1</v>
      </c>
      <c r="AH8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46">
        <v>10</v>
      </c>
      <c r="AJ846" t="s">
        <v>75</v>
      </c>
      <c r="AK846">
        <v>3</v>
      </c>
      <c r="AL846" t="s">
        <v>75</v>
      </c>
      <c r="AM846">
        <v>3</v>
      </c>
      <c r="AN846" t="s">
        <v>75</v>
      </c>
      <c r="AO846">
        <v>10</v>
      </c>
      <c r="AP846" t="s">
        <v>75</v>
      </c>
      <c r="AQ846">
        <v>3</v>
      </c>
      <c r="AR846">
        <v>1</v>
      </c>
      <c r="AS846">
        <v>4</v>
      </c>
    </row>
    <row r="847" spans="1:4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 t="str">
        <f>IF(Employee_data[[#This Row],[MonthlyIncome]]&lt;5000,"Low Income",
IF(Employee_data[[#This Row],[MonthlyIncome]]&lt;10000,"Medium Income","High Income"))</f>
        <v>Low Income</v>
      </c>
      <c r="U847" t="s">
        <v>91</v>
      </c>
      <c r="V847" t="s">
        <v>91</v>
      </c>
      <c r="W847" t="s">
        <v>91</v>
      </c>
      <c r="X847" t="s">
        <v>91</v>
      </c>
      <c r="Y847">
        <v>21203</v>
      </c>
      <c r="Z847">
        <v>3</v>
      </c>
      <c r="AA847" t="s">
        <v>42</v>
      </c>
      <c r="AB847" t="s">
        <v>35</v>
      </c>
      <c r="AC847">
        <v>13</v>
      </c>
      <c r="AD847">
        <v>3</v>
      </c>
      <c r="AE847">
        <v>4</v>
      </c>
      <c r="AF847">
        <v>80</v>
      </c>
      <c r="AG847">
        <v>1</v>
      </c>
      <c r="AH8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47">
        <v>16</v>
      </c>
      <c r="AJ847" t="s">
        <v>74</v>
      </c>
      <c r="AK847">
        <v>3</v>
      </c>
      <c r="AL847" t="s">
        <v>74</v>
      </c>
      <c r="AM847">
        <v>1</v>
      </c>
      <c r="AN847" t="s">
        <v>74</v>
      </c>
      <c r="AO847">
        <v>1</v>
      </c>
      <c r="AP847" t="s">
        <v>74</v>
      </c>
      <c r="AQ847">
        <v>1</v>
      </c>
      <c r="AR847">
        <v>0</v>
      </c>
      <c r="AS847">
        <v>0</v>
      </c>
    </row>
    <row r="848" spans="1:4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 t="str">
        <f>IF(Employee_data[[#This Row],[MonthlyIncome]]&lt;5000,"Low Income",
IF(Employee_data[[#This Row],[MonthlyIncome]]&lt;10000,"Medium Income","High Income"))</f>
        <v>High Income</v>
      </c>
      <c r="U848" t="s">
        <v>90</v>
      </c>
      <c r="V848" t="s">
        <v>90</v>
      </c>
      <c r="W848" t="s">
        <v>90</v>
      </c>
      <c r="X848" t="s">
        <v>90</v>
      </c>
      <c r="Y848">
        <v>19588</v>
      </c>
      <c r="Z848">
        <v>2</v>
      </c>
      <c r="AA848" t="s">
        <v>42</v>
      </c>
      <c r="AB848" t="s">
        <v>43</v>
      </c>
      <c r="AC848">
        <v>18</v>
      </c>
      <c r="AD848">
        <v>3</v>
      </c>
      <c r="AE848">
        <v>2</v>
      </c>
      <c r="AF848">
        <v>80</v>
      </c>
      <c r="AG848">
        <v>1</v>
      </c>
      <c r="AH8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48">
        <v>15</v>
      </c>
      <c r="AJ848" t="s">
        <v>78</v>
      </c>
      <c r="AK848">
        <v>2</v>
      </c>
      <c r="AL848" t="s">
        <v>78</v>
      </c>
      <c r="AM848">
        <v>4</v>
      </c>
      <c r="AN848" t="s">
        <v>78</v>
      </c>
      <c r="AO848">
        <v>7</v>
      </c>
      <c r="AP848" t="s">
        <v>78</v>
      </c>
      <c r="AQ848">
        <v>7</v>
      </c>
      <c r="AR848">
        <v>6</v>
      </c>
      <c r="AS848">
        <v>4</v>
      </c>
    </row>
    <row r="849" spans="1:4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 t="str">
        <f>IF(Employee_data[[#This Row],[MonthlyIncome]]&lt;5000,"Low Income",
IF(Employee_data[[#This Row],[MonthlyIncome]]&lt;10000,"Medium Income","High Income"))</f>
        <v>Medium Income</v>
      </c>
      <c r="U849" t="s">
        <v>92</v>
      </c>
      <c r="V849" t="s">
        <v>92</v>
      </c>
      <c r="W849" t="s">
        <v>92</v>
      </c>
      <c r="X849" t="s">
        <v>92</v>
      </c>
      <c r="Y849">
        <v>25755</v>
      </c>
      <c r="Z849">
        <v>0</v>
      </c>
      <c r="AA849" t="s">
        <v>42</v>
      </c>
      <c r="AB849" t="s">
        <v>43</v>
      </c>
      <c r="AC849">
        <v>20</v>
      </c>
      <c r="AD849">
        <v>4</v>
      </c>
      <c r="AE849">
        <v>3</v>
      </c>
      <c r="AF849">
        <v>80</v>
      </c>
      <c r="AG849">
        <v>0</v>
      </c>
      <c r="AH8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49">
        <v>14</v>
      </c>
      <c r="AJ849" t="s">
        <v>75</v>
      </c>
      <c r="AK849">
        <v>3</v>
      </c>
      <c r="AL849" t="s">
        <v>75</v>
      </c>
      <c r="AM849">
        <v>3</v>
      </c>
      <c r="AN849" t="s">
        <v>75</v>
      </c>
      <c r="AO849">
        <v>13</v>
      </c>
      <c r="AP849" t="s">
        <v>75</v>
      </c>
      <c r="AQ849">
        <v>9</v>
      </c>
      <c r="AR849">
        <v>4</v>
      </c>
      <c r="AS849">
        <v>9</v>
      </c>
    </row>
    <row r="850" spans="1:4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 t="str">
        <f>IF(Employee_data[[#This Row],[MonthlyIncome]]&lt;5000,"Low Income",
IF(Employee_data[[#This Row],[MonthlyIncome]]&lt;10000,"Medium Income","High Income"))</f>
        <v>Low Income</v>
      </c>
      <c r="U850" t="s">
        <v>91</v>
      </c>
      <c r="V850" t="s">
        <v>91</v>
      </c>
      <c r="W850" t="s">
        <v>91</v>
      </c>
      <c r="X850" t="s">
        <v>91</v>
      </c>
      <c r="Y850">
        <v>26537</v>
      </c>
      <c r="Z850">
        <v>1</v>
      </c>
      <c r="AA850" t="s">
        <v>42</v>
      </c>
      <c r="AB850" t="s">
        <v>43</v>
      </c>
      <c r="AC850">
        <v>13</v>
      </c>
      <c r="AD850">
        <v>3</v>
      </c>
      <c r="AE850">
        <v>2</v>
      </c>
      <c r="AF850">
        <v>80</v>
      </c>
      <c r="AG850">
        <v>1</v>
      </c>
      <c r="AH8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50">
        <v>2</v>
      </c>
      <c r="AJ850" t="s">
        <v>74</v>
      </c>
      <c r="AK850">
        <v>2</v>
      </c>
      <c r="AL850" t="s">
        <v>74</v>
      </c>
      <c r="AM850">
        <v>4</v>
      </c>
      <c r="AN850" t="s">
        <v>74</v>
      </c>
      <c r="AO850">
        <v>2</v>
      </c>
      <c r="AP850" t="s">
        <v>74</v>
      </c>
      <c r="AQ850">
        <v>2</v>
      </c>
      <c r="AR850">
        <v>2</v>
      </c>
      <c r="AS850">
        <v>2</v>
      </c>
    </row>
    <row r="851" spans="1:4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 t="str">
        <f>IF(Employee_data[[#This Row],[MonthlyIncome]]&lt;5000,"Low Income",
IF(Employee_data[[#This Row],[MonthlyIncome]]&lt;10000,"Medium Income","High Income"))</f>
        <v>Medium Income</v>
      </c>
      <c r="U851" t="s">
        <v>92</v>
      </c>
      <c r="V851" t="s">
        <v>92</v>
      </c>
      <c r="W851" t="s">
        <v>92</v>
      </c>
      <c r="X851" t="s">
        <v>92</v>
      </c>
      <c r="Y851">
        <v>9489</v>
      </c>
      <c r="Z851">
        <v>8</v>
      </c>
      <c r="AA851" t="s">
        <v>42</v>
      </c>
      <c r="AB851" t="s">
        <v>43</v>
      </c>
      <c r="AC851">
        <v>13</v>
      </c>
      <c r="AD851">
        <v>3</v>
      </c>
      <c r="AE851">
        <v>2</v>
      </c>
      <c r="AF851">
        <v>80</v>
      </c>
      <c r="AG851">
        <v>0</v>
      </c>
      <c r="AH8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51">
        <v>7</v>
      </c>
      <c r="AJ851" t="s">
        <v>74</v>
      </c>
      <c r="AK851">
        <v>2</v>
      </c>
      <c r="AL851" t="s">
        <v>74</v>
      </c>
      <c r="AM851">
        <v>2</v>
      </c>
      <c r="AN851" t="s">
        <v>74</v>
      </c>
      <c r="AO851">
        <v>4</v>
      </c>
      <c r="AP851" t="s">
        <v>74</v>
      </c>
      <c r="AQ851">
        <v>3</v>
      </c>
      <c r="AR851">
        <v>1</v>
      </c>
      <c r="AS851">
        <v>3</v>
      </c>
    </row>
    <row r="852" spans="1:4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 t="str">
        <f>IF(Employee_data[[#This Row],[MonthlyIncome]]&lt;5000,"Low Income",
IF(Employee_data[[#This Row],[MonthlyIncome]]&lt;10000,"Medium Income","High Income"))</f>
        <v>Low Income</v>
      </c>
      <c r="U852" t="s">
        <v>91</v>
      </c>
      <c r="V852" t="s">
        <v>91</v>
      </c>
      <c r="W852" t="s">
        <v>91</v>
      </c>
      <c r="X852" t="s">
        <v>91</v>
      </c>
      <c r="Y852">
        <v>14947</v>
      </c>
      <c r="Z852">
        <v>1</v>
      </c>
      <c r="AA852" t="s">
        <v>42</v>
      </c>
      <c r="AB852" t="s">
        <v>43</v>
      </c>
      <c r="AC852">
        <v>12</v>
      </c>
      <c r="AD852">
        <v>3</v>
      </c>
      <c r="AE852">
        <v>3</v>
      </c>
      <c r="AF852">
        <v>80</v>
      </c>
      <c r="AG852">
        <v>3</v>
      </c>
      <c r="AH8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52">
        <v>1</v>
      </c>
      <c r="AJ852" t="s">
        <v>74</v>
      </c>
      <c r="AK852">
        <v>3</v>
      </c>
      <c r="AL852" t="s">
        <v>74</v>
      </c>
      <c r="AM852">
        <v>3</v>
      </c>
      <c r="AN852" t="s">
        <v>74</v>
      </c>
      <c r="AO852">
        <v>1</v>
      </c>
      <c r="AP852" t="s">
        <v>74</v>
      </c>
      <c r="AQ852">
        <v>0</v>
      </c>
      <c r="AR852">
        <v>0</v>
      </c>
      <c r="AS852">
        <v>0</v>
      </c>
    </row>
    <row r="853" spans="1:4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 t="str">
        <f>IF(Employee_data[[#This Row],[MonthlyIncome]]&lt;5000,"Low Income",
IF(Employee_data[[#This Row],[MonthlyIncome]]&lt;10000,"Medium Income","High Income"))</f>
        <v>High Income</v>
      </c>
      <c r="U853" t="s">
        <v>90</v>
      </c>
      <c r="V853" t="s">
        <v>90</v>
      </c>
      <c r="W853" t="s">
        <v>90</v>
      </c>
      <c r="X853" t="s">
        <v>90</v>
      </c>
      <c r="Y853">
        <v>18575</v>
      </c>
      <c r="Z853">
        <v>4</v>
      </c>
      <c r="AA853" t="s">
        <v>42</v>
      </c>
      <c r="AB853" t="s">
        <v>43</v>
      </c>
      <c r="AC853">
        <v>13</v>
      </c>
      <c r="AD853">
        <v>3</v>
      </c>
      <c r="AE853">
        <v>4</v>
      </c>
      <c r="AF853">
        <v>80</v>
      </c>
      <c r="AG853">
        <v>1</v>
      </c>
      <c r="AH8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53">
        <v>28</v>
      </c>
      <c r="AJ853" t="s">
        <v>78</v>
      </c>
      <c r="AK853">
        <v>2</v>
      </c>
      <c r="AL853" t="s">
        <v>78</v>
      </c>
      <c r="AM853">
        <v>3</v>
      </c>
      <c r="AN853" t="s">
        <v>78</v>
      </c>
      <c r="AO853">
        <v>5</v>
      </c>
      <c r="AP853" t="s">
        <v>78</v>
      </c>
      <c r="AQ853">
        <v>2</v>
      </c>
      <c r="AR853">
        <v>4</v>
      </c>
      <c r="AS853">
        <v>2</v>
      </c>
    </row>
    <row r="854" spans="1:4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 t="str">
        <f>IF(Employee_data[[#This Row],[MonthlyIncome]]&lt;5000,"Low Income",
IF(Employee_data[[#This Row],[MonthlyIncome]]&lt;10000,"Medium Income","High Income"))</f>
        <v>Low Income</v>
      </c>
      <c r="U854" t="s">
        <v>91</v>
      </c>
      <c r="V854" t="s">
        <v>91</v>
      </c>
      <c r="W854" t="s">
        <v>91</v>
      </c>
      <c r="X854" t="s">
        <v>91</v>
      </c>
      <c r="Y854">
        <v>26342</v>
      </c>
      <c r="Z854">
        <v>1</v>
      </c>
      <c r="AA854" t="s">
        <v>42</v>
      </c>
      <c r="AB854" t="s">
        <v>43</v>
      </c>
      <c r="AC854">
        <v>13</v>
      </c>
      <c r="AD854">
        <v>3</v>
      </c>
      <c r="AE854">
        <v>1</v>
      </c>
      <c r="AF854">
        <v>80</v>
      </c>
      <c r="AG854">
        <v>1</v>
      </c>
      <c r="AH8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54">
        <v>10</v>
      </c>
      <c r="AJ854" t="s">
        <v>75</v>
      </c>
      <c r="AK854">
        <v>5</v>
      </c>
      <c r="AL854" t="s">
        <v>75</v>
      </c>
      <c r="AM854">
        <v>3</v>
      </c>
      <c r="AN854" t="s">
        <v>75</v>
      </c>
      <c r="AO854">
        <v>10</v>
      </c>
      <c r="AP854" t="s">
        <v>75</v>
      </c>
      <c r="AQ854">
        <v>8</v>
      </c>
      <c r="AR854">
        <v>0</v>
      </c>
      <c r="AS854">
        <v>8</v>
      </c>
    </row>
    <row r="855" spans="1:4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 t="str">
        <f>IF(Employee_data[[#This Row],[MonthlyIncome]]&lt;5000,"Low Income",
IF(Employee_data[[#This Row],[MonthlyIncome]]&lt;10000,"Medium Income","High Income"))</f>
        <v>Low Income</v>
      </c>
      <c r="U855" t="s">
        <v>91</v>
      </c>
      <c r="V855" t="s">
        <v>91</v>
      </c>
      <c r="W855" t="s">
        <v>91</v>
      </c>
      <c r="X855" t="s">
        <v>91</v>
      </c>
      <c r="Y855">
        <v>7172</v>
      </c>
      <c r="Z855">
        <v>1</v>
      </c>
      <c r="AA855" t="s">
        <v>42</v>
      </c>
      <c r="AB855" t="s">
        <v>43</v>
      </c>
      <c r="AC855">
        <v>25</v>
      </c>
      <c r="AD855">
        <v>4</v>
      </c>
      <c r="AE855">
        <v>3</v>
      </c>
      <c r="AF855">
        <v>80</v>
      </c>
      <c r="AG855">
        <v>0</v>
      </c>
      <c r="AH8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55">
        <v>1</v>
      </c>
      <c r="AJ855" t="s">
        <v>74</v>
      </c>
      <c r="AK855">
        <v>4</v>
      </c>
      <c r="AL855" t="s">
        <v>74</v>
      </c>
      <c r="AM855">
        <v>3</v>
      </c>
      <c r="AN855" t="s">
        <v>74</v>
      </c>
      <c r="AO855">
        <v>1</v>
      </c>
      <c r="AP855" t="s">
        <v>74</v>
      </c>
      <c r="AQ855">
        <v>1</v>
      </c>
      <c r="AR855">
        <v>0</v>
      </c>
      <c r="AS855">
        <v>0</v>
      </c>
    </row>
    <row r="856" spans="1:4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 t="str">
        <f>IF(Employee_data[[#This Row],[MonthlyIncome]]&lt;5000,"Low Income",
IF(Employee_data[[#This Row],[MonthlyIncome]]&lt;10000,"Medium Income","High Income"))</f>
        <v>Low Income</v>
      </c>
      <c r="U856" t="s">
        <v>91</v>
      </c>
      <c r="V856" t="s">
        <v>91</v>
      </c>
      <c r="W856" t="s">
        <v>91</v>
      </c>
      <c r="X856" t="s">
        <v>91</v>
      </c>
      <c r="Y856">
        <v>20100</v>
      </c>
      <c r="Z856">
        <v>4</v>
      </c>
      <c r="AA856" t="s">
        <v>42</v>
      </c>
      <c r="AB856" t="s">
        <v>35</v>
      </c>
      <c r="AC856">
        <v>19</v>
      </c>
      <c r="AD856">
        <v>3</v>
      </c>
      <c r="AE856">
        <v>3</v>
      </c>
      <c r="AF856">
        <v>80</v>
      </c>
      <c r="AG856">
        <v>1</v>
      </c>
      <c r="AH8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56">
        <v>7</v>
      </c>
      <c r="AJ856" t="s">
        <v>74</v>
      </c>
      <c r="AK856">
        <v>2</v>
      </c>
      <c r="AL856" t="s">
        <v>74</v>
      </c>
      <c r="AM856">
        <v>2</v>
      </c>
      <c r="AN856" t="s">
        <v>74</v>
      </c>
      <c r="AO856">
        <v>3</v>
      </c>
      <c r="AP856" t="s">
        <v>74</v>
      </c>
      <c r="AQ856">
        <v>2</v>
      </c>
      <c r="AR856">
        <v>0</v>
      </c>
      <c r="AS856">
        <v>2</v>
      </c>
    </row>
    <row r="857" spans="1:4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 t="str">
        <f>IF(Employee_data[[#This Row],[MonthlyIncome]]&lt;5000,"Low Income",
IF(Employee_data[[#This Row],[MonthlyIncome]]&lt;10000,"Medium Income","High Income"))</f>
        <v>Medium Income</v>
      </c>
      <c r="U857" t="s">
        <v>92</v>
      </c>
      <c r="V857" t="s">
        <v>92</v>
      </c>
      <c r="W857" t="s">
        <v>92</v>
      </c>
      <c r="X857" t="s">
        <v>92</v>
      </c>
      <c r="Y857">
        <v>9961</v>
      </c>
      <c r="Z857">
        <v>1</v>
      </c>
      <c r="AA857" t="s">
        <v>42</v>
      </c>
      <c r="AB857" t="s">
        <v>43</v>
      </c>
      <c r="AC857">
        <v>13</v>
      </c>
      <c r="AD857">
        <v>3</v>
      </c>
      <c r="AE857">
        <v>2</v>
      </c>
      <c r="AF857">
        <v>80</v>
      </c>
      <c r="AG857">
        <v>1</v>
      </c>
      <c r="AH8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57">
        <v>14</v>
      </c>
      <c r="AJ857" t="s">
        <v>75</v>
      </c>
      <c r="AK857">
        <v>2</v>
      </c>
      <c r="AL857" t="s">
        <v>75</v>
      </c>
      <c r="AM857">
        <v>2</v>
      </c>
      <c r="AN857" t="s">
        <v>75</v>
      </c>
      <c r="AO857">
        <v>14</v>
      </c>
      <c r="AP857" t="s">
        <v>75</v>
      </c>
      <c r="AQ857">
        <v>8</v>
      </c>
      <c r="AR857">
        <v>3</v>
      </c>
      <c r="AS857">
        <v>11</v>
      </c>
    </row>
    <row r="858" spans="1:4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 t="str">
        <f>IF(Employee_data[[#This Row],[MonthlyIncome]]&lt;5000,"Low Income",
IF(Employee_data[[#This Row],[MonthlyIncome]]&lt;10000,"Medium Income","High Income"))</f>
        <v>Low Income</v>
      </c>
      <c r="U858" t="s">
        <v>91</v>
      </c>
      <c r="V858" t="s">
        <v>91</v>
      </c>
      <c r="W858" t="s">
        <v>91</v>
      </c>
      <c r="X858" t="s">
        <v>91</v>
      </c>
      <c r="Y858">
        <v>12828</v>
      </c>
      <c r="Z858">
        <v>1</v>
      </c>
      <c r="AA858" t="s">
        <v>42</v>
      </c>
      <c r="AB858" t="s">
        <v>43</v>
      </c>
      <c r="AC858">
        <v>12</v>
      </c>
      <c r="AD858">
        <v>3</v>
      </c>
      <c r="AE858">
        <v>1</v>
      </c>
      <c r="AF858">
        <v>80</v>
      </c>
      <c r="AG858">
        <v>0</v>
      </c>
      <c r="AH8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58">
        <v>2</v>
      </c>
      <c r="AJ858" t="s">
        <v>74</v>
      </c>
      <c r="AK858">
        <v>2</v>
      </c>
      <c r="AL858" t="s">
        <v>74</v>
      </c>
      <c r="AM858">
        <v>2</v>
      </c>
      <c r="AN858" t="s">
        <v>74</v>
      </c>
      <c r="AO858">
        <v>2</v>
      </c>
      <c r="AP858" t="s">
        <v>74</v>
      </c>
      <c r="AQ858">
        <v>2</v>
      </c>
      <c r="AR858">
        <v>1</v>
      </c>
      <c r="AS858">
        <v>2</v>
      </c>
    </row>
    <row r="859" spans="1:4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 t="str">
        <f>IF(Employee_data[[#This Row],[MonthlyIncome]]&lt;5000,"Low Income",
IF(Employee_data[[#This Row],[MonthlyIncome]]&lt;10000,"Medium Income","High Income"))</f>
        <v>Low Income</v>
      </c>
      <c r="U859" t="s">
        <v>91</v>
      </c>
      <c r="V859" t="s">
        <v>91</v>
      </c>
      <c r="W859" t="s">
        <v>91</v>
      </c>
      <c r="X859" t="s">
        <v>91</v>
      </c>
      <c r="Y859">
        <v>10826</v>
      </c>
      <c r="Z859">
        <v>1</v>
      </c>
      <c r="AA859" t="s">
        <v>42</v>
      </c>
      <c r="AB859" t="s">
        <v>35</v>
      </c>
      <c r="AC859">
        <v>11</v>
      </c>
      <c r="AD859">
        <v>3</v>
      </c>
      <c r="AE859">
        <v>3</v>
      </c>
      <c r="AF859">
        <v>80</v>
      </c>
      <c r="AG859">
        <v>0</v>
      </c>
      <c r="AH8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59">
        <v>6</v>
      </c>
      <c r="AJ859" t="s">
        <v>78</v>
      </c>
      <c r="AK859">
        <v>4</v>
      </c>
      <c r="AL859" t="s">
        <v>78</v>
      </c>
      <c r="AM859">
        <v>3</v>
      </c>
      <c r="AN859" t="s">
        <v>78</v>
      </c>
      <c r="AO859">
        <v>6</v>
      </c>
      <c r="AP859" t="s">
        <v>78</v>
      </c>
      <c r="AQ859">
        <v>4</v>
      </c>
      <c r="AR859">
        <v>0</v>
      </c>
      <c r="AS859">
        <v>2</v>
      </c>
    </row>
    <row r="860" spans="1:4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 t="str">
        <f>IF(Employee_data[[#This Row],[MonthlyIncome]]&lt;5000,"Low Income",
IF(Employee_data[[#This Row],[MonthlyIncome]]&lt;10000,"Medium Income","High Income"))</f>
        <v>High Income</v>
      </c>
      <c r="U860" t="s">
        <v>90</v>
      </c>
      <c r="V860" t="s">
        <v>90</v>
      </c>
      <c r="W860" t="s">
        <v>90</v>
      </c>
      <c r="X860" t="s">
        <v>90</v>
      </c>
      <c r="Y860">
        <v>18640</v>
      </c>
      <c r="Z860">
        <v>3</v>
      </c>
      <c r="AA860" t="s">
        <v>42</v>
      </c>
      <c r="AB860" t="s">
        <v>43</v>
      </c>
      <c r="AC860">
        <v>18</v>
      </c>
      <c r="AD860">
        <v>3</v>
      </c>
      <c r="AE860">
        <v>2</v>
      </c>
      <c r="AF860">
        <v>80</v>
      </c>
      <c r="AG860">
        <v>1</v>
      </c>
      <c r="AH8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60">
        <v>26</v>
      </c>
      <c r="AJ860" t="s">
        <v>78</v>
      </c>
      <c r="AK860">
        <v>6</v>
      </c>
      <c r="AL860" t="s">
        <v>78</v>
      </c>
      <c r="AM860">
        <v>3</v>
      </c>
      <c r="AN860" t="s">
        <v>78</v>
      </c>
      <c r="AO860">
        <v>7</v>
      </c>
      <c r="AP860" t="s">
        <v>78</v>
      </c>
      <c r="AQ860">
        <v>7</v>
      </c>
      <c r="AR860">
        <v>4</v>
      </c>
      <c r="AS860">
        <v>7</v>
      </c>
    </row>
    <row r="861" spans="1:4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 t="str">
        <f>IF(Employee_data[[#This Row],[MonthlyIncome]]&lt;5000,"Low Income",
IF(Employee_data[[#This Row],[MonthlyIncome]]&lt;10000,"Medium Income","High Income"))</f>
        <v>Low Income</v>
      </c>
      <c r="U861" t="s">
        <v>91</v>
      </c>
      <c r="V861" t="s">
        <v>91</v>
      </c>
      <c r="W861" t="s">
        <v>91</v>
      </c>
      <c r="X861" t="s">
        <v>91</v>
      </c>
      <c r="Y861">
        <v>26933</v>
      </c>
      <c r="Z861">
        <v>0</v>
      </c>
      <c r="AA861" t="s">
        <v>42</v>
      </c>
      <c r="AB861" t="s">
        <v>35</v>
      </c>
      <c r="AC861">
        <v>18</v>
      </c>
      <c r="AD861">
        <v>3</v>
      </c>
      <c r="AE861">
        <v>1</v>
      </c>
      <c r="AF861">
        <v>80</v>
      </c>
      <c r="AG861">
        <v>1</v>
      </c>
      <c r="AH8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61">
        <v>6</v>
      </c>
      <c r="AJ861" t="s">
        <v>78</v>
      </c>
      <c r="AK861">
        <v>2</v>
      </c>
      <c r="AL861" t="s">
        <v>78</v>
      </c>
      <c r="AM861">
        <v>2</v>
      </c>
      <c r="AN861" t="s">
        <v>78</v>
      </c>
      <c r="AO861">
        <v>5</v>
      </c>
      <c r="AP861" t="s">
        <v>78</v>
      </c>
      <c r="AQ861">
        <v>4</v>
      </c>
      <c r="AR861">
        <v>1</v>
      </c>
      <c r="AS861">
        <v>3</v>
      </c>
    </row>
    <row r="862" spans="1:4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 t="str">
        <f>IF(Employee_data[[#This Row],[MonthlyIncome]]&lt;5000,"Low Income",
IF(Employee_data[[#This Row],[MonthlyIncome]]&lt;10000,"Medium Income","High Income"))</f>
        <v>Low Income</v>
      </c>
      <c r="U862" t="s">
        <v>91</v>
      </c>
      <c r="V862" t="s">
        <v>91</v>
      </c>
      <c r="W862" t="s">
        <v>91</v>
      </c>
      <c r="X862" t="s">
        <v>91</v>
      </c>
      <c r="Y862">
        <v>4223</v>
      </c>
      <c r="Z862">
        <v>0</v>
      </c>
      <c r="AA862" t="s">
        <v>42</v>
      </c>
      <c r="AB862" t="s">
        <v>35</v>
      </c>
      <c r="AC862">
        <v>11</v>
      </c>
      <c r="AD862">
        <v>3</v>
      </c>
      <c r="AE862">
        <v>2</v>
      </c>
      <c r="AF862">
        <v>80</v>
      </c>
      <c r="AG862">
        <v>1</v>
      </c>
      <c r="AH8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62">
        <v>1</v>
      </c>
      <c r="AJ862" t="s">
        <v>74</v>
      </c>
      <c r="AK862">
        <v>5</v>
      </c>
      <c r="AL862" t="s">
        <v>74</v>
      </c>
      <c r="AM862">
        <v>3</v>
      </c>
      <c r="AN862" t="s">
        <v>74</v>
      </c>
      <c r="AO862">
        <v>0</v>
      </c>
      <c r="AP862" t="s">
        <v>74</v>
      </c>
      <c r="AQ862">
        <v>0</v>
      </c>
      <c r="AR862">
        <v>0</v>
      </c>
      <c r="AS862">
        <v>0</v>
      </c>
    </row>
    <row r="863" spans="1:4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 t="str">
        <f>IF(Employee_data[[#This Row],[MonthlyIncome]]&lt;5000,"Low Income",
IF(Employee_data[[#This Row],[MonthlyIncome]]&lt;10000,"Medium Income","High Income"))</f>
        <v>High Income</v>
      </c>
      <c r="U863" t="s">
        <v>90</v>
      </c>
      <c r="V863" t="s">
        <v>90</v>
      </c>
      <c r="W863" t="s">
        <v>90</v>
      </c>
      <c r="X863" t="s">
        <v>90</v>
      </c>
      <c r="Y863">
        <v>24097</v>
      </c>
      <c r="Z863">
        <v>8</v>
      </c>
      <c r="AA863" t="s">
        <v>42</v>
      </c>
      <c r="AB863" t="s">
        <v>43</v>
      </c>
      <c r="AC863">
        <v>23</v>
      </c>
      <c r="AD863">
        <v>4</v>
      </c>
      <c r="AE863">
        <v>1</v>
      </c>
      <c r="AF863">
        <v>80</v>
      </c>
      <c r="AG863">
        <v>0</v>
      </c>
      <c r="AH8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863">
        <v>28</v>
      </c>
      <c r="AJ863" t="s">
        <v>77</v>
      </c>
      <c r="AK863">
        <v>2</v>
      </c>
      <c r="AL863" t="s">
        <v>77</v>
      </c>
      <c r="AM863">
        <v>3</v>
      </c>
      <c r="AN863" t="s">
        <v>77</v>
      </c>
      <c r="AO863">
        <v>26</v>
      </c>
      <c r="AP863" t="s">
        <v>77</v>
      </c>
      <c r="AQ863">
        <v>15</v>
      </c>
      <c r="AR863">
        <v>15</v>
      </c>
      <c r="AS863">
        <v>9</v>
      </c>
    </row>
    <row r="864" spans="1:4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 t="str">
        <f>IF(Employee_data[[#This Row],[MonthlyIncome]]&lt;5000,"Low Income",
IF(Employee_data[[#This Row],[MonthlyIncome]]&lt;10000,"Medium Income","High Income"))</f>
        <v>Low Income</v>
      </c>
      <c r="U864" t="s">
        <v>91</v>
      </c>
      <c r="V864" t="s">
        <v>91</v>
      </c>
      <c r="W864" t="s">
        <v>91</v>
      </c>
      <c r="X864" t="s">
        <v>91</v>
      </c>
      <c r="Y864">
        <v>4279</v>
      </c>
      <c r="Z864">
        <v>2</v>
      </c>
      <c r="AA864" t="s">
        <v>42</v>
      </c>
      <c r="AB864" t="s">
        <v>43</v>
      </c>
      <c r="AC864">
        <v>13</v>
      </c>
      <c r="AD864">
        <v>3</v>
      </c>
      <c r="AE864">
        <v>4</v>
      </c>
      <c r="AF864">
        <v>80</v>
      </c>
      <c r="AG864">
        <v>0</v>
      </c>
      <c r="AH8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64">
        <v>6</v>
      </c>
      <c r="AJ864" t="s">
        <v>74</v>
      </c>
      <c r="AK864">
        <v>3</v>
      </c>
      <c r="AL864" t="s">
        <v>74</v>
      </c>
      <c r="AM864">
        <v>3</v>
      </c>
      <c r="AN864" t="s">
        <v>74</v>
      </c>
      <c r="AO864">
        <v>0</v>
      </c>
      <c r="AP864" t="s">
        <v>74</v>
      </c>
      <c r="AQ864">
        <v>0</v>
      </c>
      <c r="AR864">
        <v>0</v>
      </c>
      <c r="AS864">
        <v>0</v>
      </c>
    </row>
    <row r="865" spans="1:4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 t="str">
        <f>IF(Employee_data[[#This Row],[MonthlyIncome]]&lt;5000,"Low Income",
IF(Employee_data[[#This Row],[MonthlyIncome]]&lt;10000,"Medium Income","High Income"))</f>
        <v>Low Income</v>
      </c>
      <c r="U865" t="s">
        <v>91</v>
      </c>
      <c r="V865" t="s">
        <v>91</v>
      </c>
      <c r="W865" t="s">
        <v>91</v>
      </c>
      <c r="X865" t="s">
        <v>91</v>
      </c>
      <c r="Y865">
        <v>8429</v>
      </c>
      <c r="Z865">
        <v>1</v>
      </c>
      <c r="AA865" t="s">
        <v>42</v>
      </c>
      <c r="AB865" t="s">
        <v>43</v>
      </c>
      <c r="AC865">
        <v>13</v>
      </c>
      <c r="AD865">
        <v>3</v>
      </c>
      <c r="AE865">
        <v>4</v>
      </c>
      <c r="AF865">
        <v>80</v>
      </c>
      <c r="AG865">
        <v>1</v>
      </c>
      <c r="AH8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65">
        <v>5</v>
      </c>
      <c r="AJ865" t="s">
        <v>78</v>
      </c>
      <c r="AK865">
        <v>2</v>
      </c>
      <c r="AL865" t="s">
        <v>78</v>
      </c>
      <c r="AM865">
        <v>3</v>
      </c>
      <c r="AN865" t="s">
        <v>78</v>
      </c>
      <c r="AO865">
        <v>5</v>
      </c>
      <c r="AP865" t="s">
        <v>78</v>
      </c>
      <c r="AQ865">
        <v>4</v>
      </c>
      <c r="AR865">
        <v>1</v>
      </c>
      <c r="AS865">
        <v>4</v>
      </c>
    </row>
    <row r="866" spans="1:4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 t="str">
        <f>IF(Employee_data[[#This Row],[MonthlyIncome]]&lt;5000,"Low Income",
IF(Employee_data[[#This Row],[MonthlyIncome]]&lt;10000,"Medium Income","High Income"))</f>
        <v>Low Income</v>
      </c>
      <c r="U866" t="s">
        <v>91</v>
      </c>
      <c r="V866" t="s">
        <v>91</v>
      </c>
      <c r="W866" t="s">
        <v>91</v>
      </c>
      <c r="X866" t="s">
        <v>91</v>
      </c>
      <c r="Y866">
        <v>20293</v>
      </c>
      <c r="Z866">
        <v>6</v>
      </c>
      <c r="AA866" t="s">
        <v>42</v>
      </c>
      <c r="AB866" t="s">
        <v>43</v>
      </c>
      <c r="AC866">
        <v>17</v>
      </c>
      <c r="AD866">
        <v>3</v>
      </c>
      <c r="AE866">
        <v>1</v>
      </c>
      <c r="AF866">
        <v>80</v>
      </c>
      <c r="AG866">
        <v>1</v>
      </c>
      <c r="AH8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66">
        <v>5</v>
      </c>
      <c r="AJ866" t="s">
        <v>74</v>
      </c>
      <c r="AK866">
        <v>2</v>
      </c>
      <c r="AL866" t="s">
        <v>74</v>
      </c>
      <c r="AM866">
        <v>1</v>
      </c>
      <c r="AN866" t="s">
        <v>74</v>
      </c>
      <c r="AO866">
        <v>1</v>
      </c>
      <c r="AP866" t="s">
        <v>74</v>
      </c>
      <c r="AQ866">
        <v>0</v>
      </c>
      <c r="AR866">
        <v>0</v>
      </c>
      <c r="AS866">
        <v>0</v>
      </c>
    </row>
    <row r="867" spans="1:4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 t="str">
        <f>IF(Employee_data[[#This Row],[MonthlyIncome]]&lt;5000,"Low Income",
IF(Employee_data[[#This Row],[MonthlyIncome]]&lt;10000,"Medium Income","High Income"))</f>
        <v>Low Income</v>
      </c>
      <c r="U867" t="s">
        <v>91</v>
      </c>
      <c r="V867" t="s">
        <v>91</v>
      </c>
      <c r="W867" t="s">
        <v>91</v>
      </c>
      <c r="X867" t="s">
        <v>91</v>
      </c>
      <c r="Y867">
        <v>13192</v>
      </c>
      <c r="Z867">
        <v>8</v>
      </c>
      <c r="AA867" t="s">
        <v>42</v>
      </c>
      <c r="AB867" t="s">
        <v>43</v>
      </c>
      <c r="AC867">
        <v>19</v>
      </c>
      <c r="AD867">
        <v>3</v>
      </c>
      <c r="AE867">
        <v>3</v>
      </c>
      <c r="AF867">
        <v>80</v>
      </c>
      <c r="AG867">
        <v>3</v>
      </c>
      <c r="AH8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67">
        <v>8</v>
      </c>
      <c r="AJ867" t="s">
        <v>74</v>
      </c>
      <c r="AK867">
        <v>3</v>
      </c>
      <c r="AL867" t="s">
        <v>74</v>
      </c>
      <c r="AM867">
        <v>3</v>
      </c>
      <c r="AN867" t="s">
        <v>74</v>
      </c>
      <c r="AO867">
        <v>4</v>
      </c>
      <c r="AP867" t="s">
        <v>74</v>
      </c>
      <c r="AQ867">
        <v>3</v>
      </c>
      <c r="AR867">
        <v>0</v>
      </c>
      <c r="AS867">
        <v>3</v>
      </c>
    </row>
    <row r="868" spans="1:4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 t="str">
        <f>IF(Employee_data[[#This Row],[MonthlyIncome]]&lt;5000,"Low Income",
IF(Employee_data[[#This Row],[MonthlyIncome]]&lt;10000,"Medium Income","High Income"))</f>
        <v>Low Income</v>
      </c>
      <c r="U868" t="s">
        <v>91</v>
      </c>
      <c r="V868" t="s">
        <v>91</v>
      </c>
      <c r="W868" t="s">
        <v>91</v>
      </c>
      <c r="X868" t="s">
        <v>91</v>
      </c>
      <c r="Y868">
        <v>25440</v>
      </c>
      <c r="Z868">
        <v>5</v>
      </c>
      <c r="AA868" t="s">
        <v>42</v>
      </c>
      <c r="AB868" t="s">
        <v>43</v>
      </c>
      <c r="AC868">
        <v>12</v>
      </c>
      <c r="AD868">
        <v>3</v>
      </c>
      <c r="AE868">
        <v>4</v>
      </c>
      <c r="AF868">
        <v>80</v>
      </c>
      <c r="AG868">
        <v>3</v>
      </c>
      <c r="AH8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68">
        <v>5</v>
      </c>
      <c r="AJ868" t="s">
        <v>74</v>
      </c>
      <c r="AK868">
        <v>2</v>
      </c>
      <c r="AL868" t="s">
        <v>74</v>
      </c>
      <c r="AM868">
        <v>3</v>
      </c>
      <c r="AN868" t="s">
        <v>74</v>
      </c>
      <c r="AO868">
        <v>0</v>
      </c>
      <c r="AP868" t="s">
        <v>74</v>
      </c>
      <c r="AQ868">
        <v>0</v>
      </c>
      <c r="AR868">
        <v>0</v>
      </c>
      <c r="AS868">
        <v>0</v>
      </c>
    </row>
    <row r="869" spans="1:4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 t="str">
        <f>IF(Employee_data[[#This Row],[MonthlyIncome]]&lt;5000,"Low Income",
IF(Employee_data[[#This Row],[MonthlyIncome]]&lt;10000,"Medium Income","High Income"))</f>
        <v>High Income</v>
      </c>
      <c r="U869" t="s">
        <v>90</v>
      </c>
      <c r="V869" t="s">
        <v>90</v>
      </c>
      <c r="W869" t="s">
        <v>90</v>
      </c>
      <c r="X869" t="s">
        <v>90</v>
      </c>
      <c r="Y869">
        <v>9490</v>
      </c>
      <c r="Z869">
        <v>2</v>
      </c>
      <c r="AA869" t="s">
        <v>42</v>
      </c>
      <c r="AB869" t="s">
        <v>43</v>
      </c>
      <c r="AC869">
        <v>22</v>
      </c>
      <c r="AD869">
        <v>4</v>
      </c>
      <c r="AE869">
        <v>3</v>
      </c>
      <c r="AF869">
        <v>80</v>
      </c>
      <c r="AG869">
        <v>1</v>
      </c>
      <c r="AH8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69">
        <v>32</v>
      </c>
      <c r="AJ869" t="s">
        <v>74</v>
      </c>
      <c r="AK869">
        <v>3</v>
      </c>
      <c r="AL869" t="s">
        <v>74</v>
      </c>
      <c r="AM869">
        <v>3</v>
      </c>
      <c r="AN869" t="s">
        <v>74</v>
      </c>
      <c r="AO869">
        <v>2</v>
      </c>
      <c r="AP869" t="s">
        <v>74</v>
      </c>
      <c r="AQ869">
        <v>2</v>
      </c>
      <c r="AR869">
        <v>2</v>
      </c>
      <c r="AS869">
        <v>2</v>
      </c>
    </row>
    <row r="870" spans="1:4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 t="str">
        <f>IF(Employee_data[[#This Row],[MonthlyIncome]]&lt;5000,"Low Income",
IF(Employee_data[[#This Row],[MonthlyIncome]]&lt;10000,"Medium Income","High Income"))</f>
        <v>Low Income</v>
      </c>
      <c r="U870" t="s">
        <v>91</v>
      </c>
      <c r="V870" t="s">
        <v>91</v>
      </c>
      <c r="W870" t="s">
        <v>91</v>
      </c>
      <c r="X870" t="s">
        <v>91</v>
      </c>
      <c r="Y870">
        <v>12449</v>
      </c>
      <c r="Z870">
        <v>1</v>
      </c>
      <c r="AA870" t="s">
        <v>42</v>
      </c>
      <c r="AB870" t="s">
        <v>43</v>
      </c>
      <c r="AC870">
        <v>12</v>
      </c>
      <c r="AD870">
        <v>3</v>
      </c>
      <c r="AE870">
        <v>3</v>
      </c>
      <c r="AF870">
        <v>80</v>
      </c>
      <c r="AG870">
        <v>3</v>
      </c>
      <c r="AH8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70">
        <v>6</v>
      </c>
      <c r="AJ870" t="s">
        <v>78</v>
      </c>
      <c r="AK870">
        <v>2</v>
      </c>
      <c r="AL870" t="s">
        <v>78</v>
      </c>
      <c r="AM870">
        <v>3</v>
      </c>
      <c r="AN870" t="s">
        <v>78</v>
      </c>
      <c r="AO870">
        <v>6</v>
      </c>
      <c r="AP870" t="s">
        <v>78</v>
      </c>
      <c r="AQ870">
        <v>5</v>
      </c>
      <c r="AR870">
        <v>3</v>
      </c>
      <c r="AS870">
        <v>3</v>
      </c>
    </row>
    <row r="871" spans="1:4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 t="str">
        <f>IF(Employee_data[[#This Row],[MonthlyIncome]]&lt;5000,"Low Income",
IF(Employee_data[[#This Row],[MonthlyIncome]]&lt;10000,"Medium Income","High Income"))</f>
        <v>High Income</v>
      </c>
      <c r="U871" t="s">
        <v>90</v>
      </c>
      <c r="V871" t="s">
        <v>90</v>
      </c>
      <c r="W871" t="s">
        <v>90</v>
      </c>
      <c r="X871" t="s">
        <v>90</v>
      </c>
      <c r="Y871">
        <v>10849</v>
      </c>
      <c r="Z871">
        <v>5</v>
      </c>
      <c r="AA871" t="s">
        <v>42</v>
      </c>
      <c r="AB871" t="s">
        <v>43</v>
      </c>
      <c r="AC871">
        <v>11</v>
      </c>
      <c r="AD871">
        <v>3</v>
      </c>
      <c r="AE871">
        <v>1</v>
      </c>
      <c r="AF871">
        <v>80</v>
      </c>
      <c r="AG871">
        <v>1</v>
      </c>
      <c r="AH8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71">
        <v>25</v>
      </c>
      <c r="AJ871" t="s">
        <v>74</v>
      </c>
      <c r="AK871">
        <v>2</v>
      </c>
      <c r="AL871" t="s">
        <v>74</v>
      </c>
      <c r="AM871">
        <v>3</v>
      </c>
      <c r="AN871" t="s">
        <v>74</v>
      </c>
      <c r="AO871">
        <v>4</v>
      </c>
      <c r="AP871" t="s">
        <v>74</v>
      </c>
      <c r="AQ871">
        <v>2</v>
      </c>
      <c r="AR871">
        <v>0</v>
      </c>
      <c r="AS871">
        <v>3</v>
      </c>
    </row>
    <row r="872" spans="1:4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 t="str">
        <f>IF(Employee_data[[#This Row],[MonthlyIncome]]&lt;5000,"Low Income",
IF(Employee_data[[#This Row],[MonthlyIncome]]&lt;10000,"Medium Income","High Income"))</f>
        <v>Medium Income</v>
      </c>
      <c r="U872" t="s">
        <v>92</v>
      </c>
      <c r="V872" t="s">
        <v>92</v>
      </c>
      <c r="W872" t="s">
        <v>92</v>
      </c>
      <c r="X872" t="s">
        <v>92</v>
      </c>
      <c r="Y872">
        <v>21026</v>
      </c>
      <c r="Z872">
        <v>3</v>
      </c>
      <c r="AA872" t="s">
        <v>42</v>
      </c>
      <c r="AB872" t="s">
        <v>35</v>
      </c>
      <c r="AC872">
        <v>15</v>
      </c>
      <c r="AD872">
        <v>3</v>
      </c>
      <c r="AE872">
        <v>4</v>
      </c>
      <c r="AF872">
        <v>80</v>
      </c>
      <c r="AG872">
        <v>3</v>
      </c>
      <c r="AH8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72">
        <v>15</v>
      </c>
      <c r="AJ872" t="s">
        <v>78</v>
      </c>
      <c r="AK872">
        <v>2</v>
      </c>
      <c r="AL872" t="s">
        <v>78</v>
      </c>
      <c r="AM872">
        <v>3</v>
      </c>
      <c r="AN872" t="s">
        <v>78</v>
      </c>
      <c r="AO872">
        <v>7</v>
      </c>
      <c r="AP872" t="s">
        <v>78</v>
      </c>
      <c r="AQ872">
        <v>7</v>
      </c>
      <c r="AR872">
        <v>1</v>
      </c>
      <c r="AS872">
        <v>7</v>
      </c>
    </row>
    <row r="873" spans="1:4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 t="str">
        <f>IF(Employee_data[[#This Row],[MonthlyIncome]]&lt;5000,"Low Income",
IF(Employee_data[[#This Row],[MonthlyIncome]]&lt;10000,"Medium Income","High Income"))</f>
        <v>Low Income</v>
      </c>
      <c r="U873" t="s">
        <v>91</v>
      </c>
      <c r="V873" t="s">
        <v>91</v>
      </c>
      <c r="W873" t="s">
        <v>91</v>
      </c>
      <c r="X873" t="s">
        <v>91</v>
      </c>
      <c r="Y873">
        <v>3372</v>
      </c>
      <c r="Z873">
        <v>1</v>
      </c>
      <c r="AA873" t="s">
        <v>42</v>
      </c>
      <c r="AB873" t="s">
        <v>43</v>
      </c>
      <c r="AC873">
        <v>13</v>
      </c>
      <c r="AD873">
        <v>3</v>
      </c>
      <c r="AE873">
        <v>1</v>
      </c>
      <c r="AF873">
        <v>80</v>
      </c>
      <c r="AG873">
        <v>1</v>
      </c>
      <c r="AH8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73">
        <v>1</v>
      </c>
      <c r="AJ873" t="s">
        <v>74</v>
      </c>
      <c r="AK873">
        <v>3</v>
      </c>
      <c r="AL873" t="s">
        <v>74</v>
      </c>
      <c r="AM873">
        <v>1</v>
      </c>
      <c r="AN873" t="s">
        <v>74</v>
      </c>
      <c r="AO873">
        <v>1</v>
      </c>
      <c r="AP873" t="s">
        <v>74</v>
      </c>
      <c r="AQ873">
        <v>0</v>
      </c>
      <c r="AR873">
        <v>0</v>
      </c>
      <c r="AS873">
        <v>0</v>
      </c>
    </row>
    <row r="874" spans="1:4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 t="str">
        <f>IF(Employee_data[[#This Row],[MonthlyIncome]]&lt;5000,"Low Income",
IF(Employee_data[[#This Row],[MonthlyIncome]]&lt;10000,"Medium Income","High Income"))</f>
        <v>Low Income</v>
      </c>
      <c r="U874" t="s">
        <v>91</v>
      </c>
      <c r="V874" t="s">
        <v>91</v>
      </c>
      <c r="W874" t="s">
        <v>91</v>
      </c>
      <c r="X874" t="s">
        <v>91</v>
      </c>
      <c r="Y874">
        <v>4905</v>
      </c>
      <c r="Z874">
        <v>1</v>
      </c>
      <c r="AA874" t="s">
        <v>42</v>
      </c>
      <c r="AB874" t="s">
        <v>43</v>
      </c>
      <c r="AC874">
        <v>12</v>
      </c>
      <c r="AD874">
        <v>3</v>
      </c>
      <c r="AE874">
        <v>1</v>
      </c>
      <c r="AF874">
        <v>80</v>
      </c>
      <c r="AG874">
        <v>1</v>
      </c>
      <c r="AH8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74">
        <v>10</v>
      </c>
      <c r="AJ874" t="s">
        <v>75</v>
      </c>
      <c r="AK874">
        <v>3</v>
      </c>
      <c r="AL874" t="s">
        <v>75</v>
      </c>
      <c r="AM874">
        <v>2</v>
      </c>
      <c r="AN874" t="s">
        <v>75</v>
      </c>
      <c r="AO874">
        <v>10</v>
      </c>
      <c r="AP874" t="s">
        <v>75</v>
      </c>
      <c r="AQ874">
        <v>7</v>
      </c>
      <c r="AR874">
        <v>0</v>
      </c>
      <c r="AS874">
        <v>1</v>
      </c>
    </row>
    <row r="875" spans="1:4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 t="str">
        <f>IF(Employee_data[[#This Row],[MonthlyIncome]]&lt;5000,"Low Income",
IF(Employee_data[[#This Row],[MonthlyIncome]]&lt;10000,"Medium Income","High Income"))</f>
        <v>Low Income</v>
      </c>
      <c r="U875" t="s">
        <v>91</v>
      </c>
      <c r="V875" t="s">
        <v>91</v>
      </c>
      <c r="W875" t="s">
        <v>91</v>
      </c>
      <c r="X875" t="s">
        <v>91</v>
      </c>
      <c r="Y875">
        <v>6865</v>
      </c>
      <c r="Z875">
        <v>1</v>
      </c>
      <c r="AA875" t="s">
        <v>42</v>
      </c>
      <c r="AB875" t="s">
        <v>43</v>
      </c>
      <c r="AC875">
        <v>14</v>
      </c>
      <c r="AD875">
        <v>3</v>
      </c>
      <c r="AE875">
        <v>3</v>
      </c>
      <c r="AF875">
        <v>80</v>
      </c>
      <c r="AG875">
        <v>1</v>
      </c>
      <c r="AH8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75">
        <v>7</v>
      </c>
      <c r="AJ875" t="s">
        <v>78</v>
      </c>
      <c r="AK875">
        <v>4</v>
      </c>
      <c r="AL875" t="s">
        <v>78</v>
      </c>
      <c r="AM875">
        <v>3</v>
      </c>
      <c r="AN875" t="s">
        <v>78</v>
      </c>
      <c r="AO875">
        <v>7</v>
      </c>
      <c r="AP875" t="s">
        <v>78</v>
      </c>
      <c r="AQ875">
        <v>7</v>
      </c>
      <c r="AR875">
        <v>1</v>
      </c>
      <c r="AS875">
        <v>7</v>
      </c>
    </row>
    <row r="876" spans="1:4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 t="str">
        <f>IF(Employee_data[[#This Row],[MonthlyIncome]]&lt;5000,"Low Income",
IF(Employee_data[[#This Row],[MonthlyIncome]]&lt;10000,"Medium Income","High Income"))</f>
        <v>Low Income</v>
      </c>
      <c r="U876" t="s">
        <v>91</v>
      </c>
      <c r="V876" t="s">
        <v>91</v>
      </c>
      <c r="W876" t="s">
        <v>91</v>
      </c>
      <c r="X876" t="s">
        <v>91</v>
      </c>
      <c r="Y876">
        <v>11309</v>
      </c>
      <c r="Z876">
        <v>1</v>
      </c>
      <c r="AA876" t="s">
        <v>42</v>
      </c>
      <c r="AB876" t="s">
        <v>43</v>
      </c>
      <c r="AC876">
        <v>13</v>
      </c>
      <c r="AD876">
        <v>3</v>
      </c>
      <c r="AE876">
        <v>1</v>
      </c>
      <c r="AF876">
        <v>80</v>
      </c>
      <c r="AG876">
        <v>3</v>
      </c>
      <c r="AH8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76">
        <v>10</v>
      </c>
      <c r="AJ876" t="s">
        <v>75</v>
      </c>
      <c r="AK876">
        <v>4</v>
      </c>
      <c r="AL876" t="s">
        <v>75</v>
      </c>
      <c r="AM876">
        <v>2</v>
      </c>
      <c r="AN876" t="s">
        <v>75</v>
      </c>
      <c r="AO876">
        <v>10</v>
      </c>
      <c r="AP876" t="s">
        <v>75</v>
      </c>
      <c r="AQ876">
        <v>7</v>
      </c>
      <c r="AR876">
        <v>8</v>
      </c>
      <c r="AS876">
        <v>9</v>
      </c>
    </row>
    <row r="877" spans="1:4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 t="str">
        <f>IF(Employee_data[[#This Row],[MonthlyIncome]]&lt;5000,"Low Income",
IF(Employee_data[[#This Row],[MonthlyIncome]]&lt;10000,"Medium Income","High Income"))</f>
        <v>Low Income</v>
      </c>
      <c r="U877" t="s">
        <v>91</v>
      </c>
      <c r="V877" t="s">
        <v>91</v>
      </c>
      <c r="W877" t="s">
        <v>91</v>
      </c>
      <c r="X877" t="s">
        <v>91</v>
      </c>
      <c r="Y877">
        <v>7744</v>
      </c>
      <c r="Z877">
        <v>1</v>
      </c>
      <c r="AA877" t="s">
        <v>42</v>
      </c>
      <c r="AB877" t="s">
        <v>43</v>
      </c>
      <c r="AC877">
        <v>25</v>
      </c>
      <c r="AD877">
        <v>4</v>
      </c>
      <c r="AE877">
        <v>2</v>
      </c>
      <c r="AF877">
        <v>80</v>
      </c>
      <c r="AG877">
        <v>0</v>
      </c>
      <c r="AH8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877">
        <v>20</v>
      </c>
      <c r="AJ877" t="s">
        <v>76</v>
      </c>
      <c r="AK877">
        <v>3</v>
      </c>
      <c r="AL877" t="s">
        <v>76</v>
      </c>
      <c r="AM877">
        <v>3</v>
      </c>
      <c r="AN877" t="s">
        <v>76</v>
      </c>
      <c r="AO877">
        <v>20</v>
      </c>
      <c r="AP877" t="s">
        <v>76</v>
      </c>
      <c r="AQ877">
        <v>11</v>
      </c>
      <c r="AR877">
        <v>13</v>
      </c>
      <c r="AS877">
        <v>17</v>
      </c>
    </row>
    <row r="878" spans="1:4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 t="str">
        <f>IF(Employee_data[[#This Row],[MonthlyIncome]]&lt;5000,"Low Income",
IF(Employee_data[[#This Row],[MonthlyIncome]]&lt;10000,"Medium Income","High Income"))</f>
        <v>Low Income</v>
      </c>
      <c r="U878" t="s">
        <v>91</v>
      </c>
      <c r="V878" t="s">
        <v>91</v>
      </c>
      <c r="W878" t="s">
        <v>91</v>
      </c>
      <c r="X878" t="s">
        <v>91</v>
      </c>
      <c r="Y878">
        <v>5050</v>
      </c>
      <c r="Z878">
        <v>1</v>
      </c>
      <c r="AA878" t="s">
        <v>42</v>
      </c>
      <c r="AB878" t="s">
        <v>43</v>
      </c>
      <c r="AC878">
        <v>17</v>
      </c>
      <c r="AD878">
        <v>3</v>
      </c>
      <c r="AE878">
        <v>4</v>
      </c>
      <c r="AF878">
        <v>80</v>
      </c>
      <c r="AG878">
        <v>0</v>
      </c>
      <c r="AH8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78">
        <v>2</v>
      </c>
      <c r="AJ878" t="s">
        <v>74</v>
      </c>
      <c r="AK878">
        <v>2</v>
      </c>
      <c r="AL878" t="s">
        <v>74</v>
      </c>
      <c r="AM878">
        <v>3</v>
      </c>
      <c r="AN878" t="s">
        <v>74</v>
      </c>
      <c r="AO878">
        <v>2</v>
      </c>
      <c r="AP878" t="s">
        <v>74</v>
      </c>
      <c r="AQ878">
        <v>1</v>
      </c>
      <c r="AR878">
        <v>2</v>
      </c>
      <c r="AS878">
        <v>2</v>
      </c>
    </row>
    <row r="879" spans="1:4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 t="str">
        <f>IF(Employee_data[[#This Row],[MonthlyIncome]]&lt;5000,"Low Income",
IF(Employee_data[[#This Row],[MonthlyIncome]]&lt;10000,"Medium Income","High Income"))</f>
        <v>Medium Income</v>
      </c>
      <c r="U879" t="s">
        <v>92</v>
      </c>
      <c r="V879" t="s">
        <v>92</v>
      </c>
      <c r="W879" t="s">
        <v>92</v>
      </c>
      <c r="X879" t="s">
        <v>92</v>
      </c>
      <c r="Y879">
        <v>17433</v>
      </c>
      <c r="Z879">
        <v>2</v>
      </c>
      <c r="AA879" t="s">
        <v>42</v>
      </c>
      <c r="AB879" t="s">
        <v>43</v>
      </c>
      <c r="AC879">
        <v>11</v>
      </c>
      <c r="AD879">
        <v>3</v>
      </c>
      <c r="AE879">
        <v>3</v>
      </c>
      <c r="AF879">
        <v>80</v>
      </c>
      <c r="AG879">
        <v>1</v>
      </c>
      <c r="AH8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79">
        <v>12</v>
      </c>
      <c r="AJ879" t="s">
        <v>78</v>
      </c>
      <c r="AK879">
        <v>3</v>
      </c>
      <c r="AL879" t="s">
        <v>78</v>
      </c>
      <c r="AM879">
        <v>2</v>
      </c>
      <c r="AN879" t="s">
        <v>78</v>
      </c>
      <c r="AO879">
        <v>6</v>
      </c>
      <c r="AP879" t="s">
        <v>78</v>
      </c>
      <c r="AQ879">
        <v>3</v>
      </c>
      <c r="AR879">
        <v>1</v>
      </c>
      <c r="AS879">
        <v>4</v>
      </c>
    </row>
    <row r="880" spans="1:4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 t="str">
        <f>IF(Employee_data[[#This Row],[MonthlyIncome]]&lt;5000,"Low Income",
IF(Employee_data[[#This Row],[MonthlyIncome]]&lt;10000,"Medium Income","High Income"))</f>
        <v>Medium Income</v>
      </c>
      <c r="U880" t="s">
        <v>92</v>
      </c>
      <c r="V880" t="s">
        <v>92</v>
      </c>
      <c r="W880" t="s">
        <v>92</v>
      </c>
      <c r="X880" t="s">
        <v>92</v>
      </c>
      <c r="Y880">
        <v>12858</v>
      </c>
      <c r="Z880">
        <v>7</v>
      </c>
      <c r="AA880" t="s">
        <v>42</v>
      </c>
      <c r="AB880" t="s">
        <v>43</v>
      </c>
      <c r="AC880">
        <v>16</v>
      </c>
      <c r="AD880">
        <v>3</v>
      </c>
      <c r="AE880">
        <v>1</v>
      </c>
      <c r="AF880">
        <v>80</v>
      </c>
      <c r="AG880">
        <v>1</v>
      </c>
      <c r="AH8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80">
        <v>10</v>
      </c>
      <c r="AJ880" t="s">
        <v>74</v>
      </c>
      <c r="AK880">
        <v>3</v>
      </c>
      <c r="AL880" t="s">
        <v>74</v>
      </c>
      <c r="AM880">
        <v>4</v>
      </c>
      <c r="AN880" t="s">
        <v>74</v>
      </c>
      <c r="AO880">
        <v>4</v>
      </c>
      <c r="AP880" t="s">
        <v>74</v>
      </c>
      <c r="AQ880">
        <v>3</v>
      </c>
      <c r="AR880">
        <v>0</v>
      </c>
      <c r="AS880">
        <v>3</v>
      </c>
    </row>
    <row r="881" spans="1:4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 t="str">
        <f>IF(Employee_data[[#This Row],[MonthlyIncome]]&lt;5000,"Low Income",
IF(Employee_data[[#This Row],[MonthlyIncome]]&lt;10000,"Medium Income","High Income"))</f>
        <v>Medium Income</v>
      </c>
      <c r="U881" t="s">
        <v>92</v>
      </c>
      <c r="V881" t="s">
        <v>92</v>
      </c>
      <c r="W881" t="s">
        <v>92</v>
      </c>
      <c r="X881" t="s">
        <v>92</v>
      </c>
      <c r="Y881">
        <v>10893</v>
      </c>
      <c r="Z881">
        <v>0</v>
      </c>
      <c r="AA881" t="s">
        <v>42</v>
      </c>
      <c r="AB881" t="s">
        <v>35</v>
      </c>
      <c r="AC881">
        <v>18</v>
      </c>
      <c r="AD881">
        <v>3</v>
      </c>
      <c r="AE881">
        <v>2</v>
      </c>
      <c r="AF881">
        <v>80</v>
      </c>
      <c r="AG881">
        <v>1</v>
      </c>
      <c r="AH8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81">
        <v>12</v>
      </c>
      <c r="AJ881" t="s">
        <v>75</v>
      </c>
      <c r="AK881">
        <v>3</v>
      </c>
      <c r="AL881" t="s">
        <v>75</v>
      </c>
      <c r="AM881">
        <v>3</v>
      </c>
      <c r="AN881" t="s">
        <v>75</v>
      </c>
      <c r="AO881">
        <v>11</v>
      </c>
      <c r="AP881" t="s">
        <v>75</v>
      </c>
      <c r="AQ881">
        <v>7</v>
      </c>
      <c r="AR881">
        <v>1</v>
      </c>
      <c r="AS881">
        <v>9</v>
      </c>
    </row>
    <row r="882" spans="1:4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 t="str">
        <f>IF(Employee_data[[#This Row],[MonthlyIncome]]&lt;5000,"Low Income",
IF(Employee_data[[#This Row],[MonthlyIncome]]&lt;10000,"Medium Income","High Income"))</f>
        <v>Low Income</v>
      </c>
      <c r="U882" t="s">
        <v>91</v>
      </c>
      <c r="V882" t="s">
        <v>91</v>
      </c>
      <c r="W882" t="s">
        <v>91</v>
      </c>
      <c r="X882" t="s">
        <v>91</v>
      </c>
      <c r="Y882">
        <v>7331</v>
      </c>
      <c r="Z882">
        <v>1</v>
      </c>
      <c r="AA882" t="s">
        <v>42</v>
      </c>
      <c r="AB882" t="s">
        <v>43</v>
      </c>
      <c r="AC882">
        <v>20</v>
      </c>
      <c r="AD882">
        <v>4</v>
      </c>
      <c r="AE882">
        <v>3</v>
      </c>
      <c r="AF882">
        <v>80</v>
      </c>
      <c r="AG882">
        <v>1</v>
      </c>
      <c r="AH8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82">
        <v>2</v>
      </c>
      <c r="AJ882" t="s">
        <v>74</v>
      </c>
      <c r="AK882">
        <v>2</v>
      </c>
      <c r="AL882" t="s">
        <v>74</v>
      </c>
      <c r="AM882">
        <v>3</v>
      </c>
      <c r="AN882" t="s">
        <v>74</v>
      </c>
      <c r="AO882">
        <v>2</v>
      </c>
      <c r="AP882" t="s">
        <v>74</v>
      </c>
      <c r="AQ882">
        <v>2</v>
      </c>
      <c r="AR882">
        <v>2</v>
      </c>
      <c r="AS882">
        <v>2</v>
      </c>
    </row>
    <row r="883" spans="1:4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 t="str">
        <f>IF(Employee_data[[#This Row],[MonthlyIncome]]&lt;5000,"Low Income",
IF(Employee_data[[#This Row],[MonthlyIncome]]&lt;10000,"Medium Income","High Income"))</f>
        <v>Low Income</v>
      </c>
      <c r="U883" t="s">
        <v>91</v>
      </c>
      <c r="V883" t="s">
        <v>91</v>
      </c>
      <c r="W883" t="s">
        <v>91</v>
      </c>
      <c r="X883" t="s">
        <v>91</v>
      </c>
      <c r="Y883">
        <v>2338</v>
      </c>
      <c r="Z883">
        <v>4</v>
      </c>
      <c r="AA883" t="s">
        <v>42</v>
      </c>
      <c r="AB883" t="s">
        <v>35</v>
      </c>
      <c r="AC883">
        <v>14</v>
      </c>
      <c r="AD883">
        <v>3</v>
      </c>
      <c r="AE883">
        <v>4</v>
      </c>
      <c r="AF883">
        <v>80</v>
      </c>
      <c r="AG883">
        <v>0</v>
      </c>
      <c r="AH8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83">
        <v>10</v>
      </c>
      <c r="AJ883" t="s">
        <v>78</v>
      </c>
      <c r="AK883">
        <v>2</v>
      </c>
      <c r="AL883" t="s">
        <v>78</v>
      </c>
      <c r="AM883">
        <v>3</v>
      </c>
      <c r="AN883" t="s">
        <v>78</v>
      </c>
      <c r="AO883">
        <v>8</v>
      </c>
      <c r="AP883" t="s">
        <v>78</v>
      </c>
      <c r="AQ883">
        <v>7</v>
      </c>
      <c r="AR883">
        <v>0</v>
      </c>
      <c r="AS883">
        <v>7</v>
      </c>
    </row>
    <row r="884" spans="1:4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 t="str">
        <f>IF(Employee_data[[#This Row],[MonthlyIncome]]&lt;5000,"Low Income",
IF(Employee_data[[#This Row],[MonthlyIncome]]&lt;10000,"Medium Income","High Income"))</f>
        <v>High Income</v>
      </c>
      <c r="U884" t="s">
        <v>90</v>
      </c>
      <c r="V884" t="s">
        <v>90</v>
      </c>
      <c r="W884" t="s">
        <v>90</v>
      </c>
      <c r="X884" t="s">
        <v>90</v>
      </c>
      <c r="Y884">
        <v>4235</v>
      </c>
      <c r="Z884">
        <v>2</v>
      </c>
      <c r="AA884" t="s">
        <v>42</v>
      </c>
      <c r="AB884" t="s">
        <v>35</v>
      </c>
      <c r="AC884">
        <v>21</v>
      </c>
      <c r="AD884">
        <v>4</v>
      </c>
      <c r="AE884">
        <v>3</v>
      </c>
      <c r="AF884">
        <v>80</v>
      </c>
      <c r="AG884">
        <v>1</v>
      </c>
      <c r="AH8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84">
        <v>17</v>
      </c>
      <c r="AJ884" t="s">
        <v>78</v>
      </c>
      <c r="AK884">
        <v>2</v>
      </c>
      <c r="AL884" t="s">
        <v>78</v>
      </c>
      <c r="AM884">
        <v>3</v>
      </c>
      <c r="AN884" t="s">
        <v>78</v>
      </c>
      <c r="AO884">
        <v>7</v>
      </c>
      <c r="AP884" t="s">
        <v>78</v>
      </c>
      <c r="AQ884">
        <v>7</v>
      </c>
      <c r="AR884">
        <v>7</v>
      </c>
      <c r="AS884">
        <v>7</v>
      </c>
    </row>
    <row r="885" spans="1:4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 t="str">
        <f>IF(Employee_data[[#This Row],[MonthlyIncome]]&lt;5000,"Low Income",
IF(Employee_data[[#This Row],[MonthlyIncome]]&lt;10000,"Medium Income","High Income"))</f>
        <v>Low Income</v>
      </c>
      <c r="U885" t="s">
        <v>91</v>
      </c>
      <c r="V885" t="s">
        <v>91</v>
      </c>
      <c r="W885" t="s">
        <v>91</v>
      </c>
      <c r="X885" t="s">
        <v>91</v>
      </c>
      <c r="Y885">
        <v>6311</v>
      </c>
      <c r="Z885">
        <v>0</v>
      </c>
      <c r="AA885" t="s">
        <v>42</v>
      </c>
      <c r="AB885" t="s">
        <v>43</v>
      </c>
      <c r="AC885">
        <v>13</v>
      </c>
      <c r="AD885">
        <v>3</v>
      </c>
      <c r="AE885">
        <v>2</v>
      </c>
      <c r="AF885">
        <v>80</v>
      </c>
      <c r="AG885">
        <v>1</v>
      </c>
      <c r="AH8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85">
        <v>15</v>
      </c>
      <c r="AJ885" t="s">
        <v>75</v>
      </c>
      <c r="AK885">
        <v>5</v>
      </c>
      <c r="AL885" t="s">
        <v>75</v>
      </c>
      <c r="AM885">
        <v>3</v>
      </c>
      <c r="AN885" t="s">
        <v>75</v>
      </c>
      <c r="AO885">
        <v>14</v>
      </c>
      <c r="AP885" t="s">
        <v>75</v>
      </c>
      <c r="AQ885">
        <v>10</v>
      </c>
      <c r="AR885">
        <v>4</v>
      </c>
      <c r="AS885">
        <v>10</v>
      </c>
    </row>
    <row r="886" spans="1:4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 t="str">
        <f>IF(Employee_data[[#This Row],[MonthlyIncome]]&lt;5000,"Low Income",
IF(Employee_data[[#This Row],[MonthlyIncome]]&lt;10000,"Medium Income","High Income"))</f>
        <v>Medium Income</v>
      </c>
      <c r="U886" t="s">
        <v>92</v>
      </c>
      <c r="V886" t="s">
        <v>92</v>
      </c>
      <c r="W886" t="s">
        <v>92</v>
      </c>
      <c r="X886" t="s">
        <v>92</v>
      </c>
      <c r="Y886">
        <v>11591</v>
      </c>
      <c r="Z886">
        <v>7</v>
      </c>
      <c r="AA886" t="s">
        <v>42</v>
      </c>
      <c r="AB886" t="s">
        <v>43</v>
      </c>
      <c r="AC886">
        <v>12</v>
      </c>
      <c r="AD886">
        <v>3</v>
      </c>
      <c r="AE886">
        <v>2</v>
      </c>
      <c r="AF886">
        <v>80</v>
      </c>
      <c r="AG886">
        <v>1</v>
      </c>
      <c r="AH8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86">
        <v>7</v>
      </c>
      <c r="AJ886" t="s">
        <v>78</v>
      </c>
      <c r="AK886">
        <v>2</v>
      </c>
      <c r="AL886" t="s">
        <v>78</v>
      </c>
      <c r="AM886">
        <v>4</v>
      </c>
      <c r="AN886" t="s">
        <v>78</v>
      </c>
      <c r="AO886">
        <v>5</v>
      </c>
      <c r="AP886" t="s">
        <v>78</v>
      </c>
      <c r="AQ886">
        <v>1</v>
      </c>
      <c r="AR886">
        <v>1</v>
      </c>
      <c r="AS886">
        <v>3</v>
      </c>
    </row>
    <row r="887" spans="1:4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 t="str">
        <f>IF(Employee_data[[#This Row],[MonthlyIncome]]&lt;5000,"Low Income",
IF(Employee_data[[#This Row],[MonthlyIncome]]&lt;10000,"Medium Income","High Income"))</f>
        <v>Low Income</v>
      </c>
      <c r="U887" t="s">
        <v>91</v>
      </c>
      <c r="V887" t="s">
        <v>91</v>
      </c>
      <c r="W887" t="s">
        <v>91</v>
      </c>
      <c r="X887" t="s">
        <v>91</v>
      </c>
      <c r="Y887">
        <v>20623</v>
      </c>
      <c r="Z887">
        <v>0</v>
      </c>
      <c r="AA887" t="s">
        <v>42</v>
      </c>
      <c r="AB887" t="s">
        <v>43</v>
      </c>
      <c r="AC887">
        <v>14</v>
      </c>
      <c r="AD887">
        <v>3</v>
      </c>
      <c r="AE887">
        <v>2</v>
      </c>
      <c r="AF887">
        <v>80</v>
      </c>
      <c r="AG887">
        <v>0</v>
      </c>
      <c r="AH8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87">
        <v>5</v>
      </c>
      <c r="AJ887" t="s">
        <v>74</v>
      </c>
      <c r="AK887">
        <v>4</v>
      </c>
      <c r="AL887" t="s">
        <v>74</v>
      </c>
      <c r="AM887">
        <v>3</v>
      </c>
      <c r="AN887" t="s">
        <v>74</v>
      </c>
      <c r="AO887">
        <v>4</v>
      </c>
      <c r="AP887" t="s">
        <v>74</v>
      </c>
      <c r="AQ887">
        <v>3</v>
      </c>
      <c r="AR887">
        <v>1</v>
      </c>
      <c r="AS887">
        <v>1</v>
      </c>
    </row>
    <row r="888" spans="1:4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 t="str">
        <f>IF(Employee_data[[#This Row],[MonthlyIncome]]&lt;5000,"Low Income",
IF(Employee_data[[#This Row],[MonthlyIncome]]&lt;10000,"Medium Income","High Income"))</f>
        <v>Low Income</v>
      </c>
      <c r="U888" t="s">
        <v>91</v>
      </c>
      <c r="V888" t="s">
        <v>91</v>
      </c>
      <c r="W888" t="s">
        <v>91</v>
      </c>
      <c r="X888" t="s">
        <v>91</v>
      </c>
      <c r="Y888">
        <v>9369</v>
      </c>
      <c r="Z888">
        <v>0</v>
      </c>
      <c r="AA888" t="s">
        <v>42</v>
      </c>
      <c r="AB888" t="s">
        <v>35</v>
      </c>
      <c r="AC888">
        <v>21</v>
      </c>
      <c r="AD888">
        <v>4</v>
      </c>
      <c r="AE888">
        <v>1</v>
      </c>
      <c r="AF888">
        <v>80</v>
      </c>
      <c r="AG888">
        <v>1</v>
      </c>
      <c r="AH8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88">
        <v>12</v>
      </c>
      <c r="AJ888" t="s">
        <v>75</v>
      </c>
      <c r="AK888">
        <v>2</v>
      </c>
      <c r="AL888" t="s">
        <v>75</v>
      </c>
      <c r="AM888">
        <v>3</v>
      </c>
      <c r="AN888" t="s">
        <v>75</v>
      </c>
      <c r="AO888">
        <v>11</v>
      </c>
      <c r="AP888" t="s">
        <v>75</v>
      </c>
      <c r="AQ888">
        <v>9</v>
      </c>
      <c r="AR888">
        <v>5</v>
      </c>
      <c r="AS888">
        <v>7</v>
      </c>
    </row>
    <row r="889" spans="1:4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 t="str">
        <f>IF(Employee_data[[#This Row],[MonthlyIncome]]&lt;5000,"Low Income",
IF(Employee_data[[#This Row],[MonthlyIncome]]&lt;10000,"Medium Income","High Income"))</f>
        <v>High Income</v>
      </c>
      <c r="U889" t="s">
        <v>90</v>
      </c>
      <c r="V889" t="s">
        <v>90</v>
      </c>
      <c r="W889" t="s">
        <v>90</v>
      </c>
      <c r="X889" t="s">
        <v>90</v>
      </c>
      <c r="Y889">
        <v>23281</v>
      </c>
      <c r="Z889">
        <v>3</v>
      </c>
      <c r="AA889" t="s">
        <v>42</v>
      </c>
      <c r="AB889" t="s">
        <v>35</v>
      </c>
      <c r="AC889">
        <v>17</v>
      </c>
      <c r="AD889">
        <v>3</v>
      </c>
      <c r="AE889">
        <v>3</v>
      </c>
      <c r="AF889">
        <v>80</v>
      </c>
      <c r="AG889">
        <v>0</v>
      </c>
      <c r="AH8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89">
        <v>20</v>
      </c>
      <c r="AJ889" t="s">
        <v>74</v>
      </c>
      <c r="AK889">
        <v>6</v>
      </c>
      <c r="AL889" t="s">
        <v>74</v>
      </c>
      <c r="AM889">
        <v>3</v>
      </c>
      <c r="AN889" t="s">
        <v>74</v>
      </c>
      <c r="AO889">
        <v>1</v>
      </c>
      <c r="AP889" t="s">
        <v>74</v>
      </c>
      <c r="AQ889">
        <v>0</v>
      </c>
      <c r="AR889">
        <v>0</v>
      </c>
      <c r="AS889">
        <v>0</v>
      </c>
    </row>
    <row r="890" spans="1:4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 t="str">
        <f>IF(Employee_data[[#This Row],[MonthlyIncome]]&lt;5000,"Low Income",
IF(Employee_data[[#This Row],[MonthlyIncome]]&lt;10000,"Medium Income","High Income"))</f>
        <v>High Income</v>
      </c>
      <c r="U890" t="s">
        <v>90</v>
      </c>
      <c r="V890" t="s">
        <v>90</v>
      </c>
      <c r="W890" t="s">
        <v>90</v>
      </c>
      <c r="X890" t="s">
        <v>90</v>
      </c>
      <c r="Y890">
        <v>13755</v>
      </c>
      <c r="Z890">
        <v>4</v>
      </c>
      <c r="AA890" t="s">
        <v>42</v>
      </c>
      <c r="AB890" t="s">
        <v>35</v>
      </c>
      <c r="AC890">
        <v>11</v>
      </c>
      <c r="AD890">
        <v>3</v>
      </c>
      <c r="AE890">
        <v>2</v>
      </c>
      <c r="AF890">
        <v>80</v>
      </c>
      <c r="AG890">
        <v>1</v>
      </c>
      <c r="AH8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90">
        <v>16</v>
      </c>
      <c r="AJ890" t="s">
        <v>75</v>
      </c>
      <c r="AK890">
        <v>6</v>
      </c>
      <c r="AL890" t="s">
        <v>75</v>
      </c>
      <c r="AM890">
        <v>2</v>
      </c>
      <c r="AN890" t="s">
        <v>75</v>
      </c>
      <c r="AO890">
        <v>13</v>
      </c>
      <c r="AP890" t="s">
        <v>75</v>
      </c>
      <c r="AQ890">
        <v>2</v>
      </c>
      <c r="AR890">
        <v>4</v>
      </c>
      <c r="AS890">
        <v>12</v>
      </c>
    </row>
    <row r="891" spans="1:4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 t="str">
        <f>IF(Employee_data[[#This Row],[MonthlyIncome]]&lt;5000,"Low Income",
IF(Employee_data[[#This Row],[MonthlyIncome]]&lt;10000,"Medium Income","High Income"))</f>
        <v>Low Income</v>
      </c>
      <c r="U891" t="s">
        <v>91</v>
      </c>
      <c r="V891" t="s">
        <v>91</v>
      </c>
      <c r="W891" t="s">
        <v>91</v>
      </c>
      <c r="X891" t="s">
        <v>91</v>
      </c>
      <c r="Y891">
        <v>14377</v>
      </c>
      <c r="Z891">
        <v>1</v>
      </c>
      <c r="AA891" t="s">
        <v>42</v>
      </c>
      <c r="AB891" t="s">
        <v>35</v>
      </c>
      <c r="AC891">
        <v>14</v>
      </c>
      <c r="AD891">
        <v>3</v>
      </c>
      <c r="AE891">
        <v>4</v>
      </c>
      <c r="AF891">
        <v>80</v>
      </c>
      <c r="AG891">
        <v>2</v>
      </c>
      <c r="AH8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91">
        <v>9</v>
      </c>
      <c r="AJ891" t="s">
        <v>78</v>
      </c>
      <c r="AK891">
        <v>3</v>
      </c>
      <c r="AL891" t="s">
        <v>78</v>
      </c>
      <c r="AM891">
        <v>2</v>
      </c>
      <c r="AN891" t="s">
        <v>78</v>
      </c>
      <c r="AO891">
        <v>9</v>
      </c>
      <c r="AP891" t="s">
        <v>78</v>
      </c>
      <c r="AQ891">
        <v>7</v>
      </c>
      <c r="AR891">
        <v>6</v>
      </c>
      <c r="AS891">
        <v>8</v>
      </c>
    </row>
    <row r="892" spans="1:4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 t="str">
        <f>IF(Employee_data[[#This Row],[MonthlyIncome]]&lt;5000,"Low Income",
IF(Employee_data[[#This Row],[MonthlyIncome]]&lt;10000,"Medium Income","High Income"))</f>
        <v>High Income</v>
      </c>
      <c r="U892" t="s">
        <v>90</v>
      </c>
      <c r="V892" t="s">
        <v>90</v>
      </c>
      <c r="W892" t="s">
        <v>90</v>
      </c>
      <c r="X892" t="s">
        <v>90</v>
      </c>
      <c r="Y892">
        <v>9659</v>
      </c>
      <c r="Z892">
        <v>7</v>
      </c>
      <c r="AA892" t="s">
        <v>42</v>
      </c>
      <c r="AB892" t="s">
        <v>43</v>
      </c>
      <c r="AC892">
        <v>17</v>
      </c>
      <c r="AD892">
        <v>3</v>
      </c>
      <c r="AE892">
        <v>1</v>
      </c>
      <c r="AF892">
        <v>80</v>
      </c>
      <c r="AG892">
        <v>1</v>
      </c>
      <c r="AH8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92">
        <v>33</v>
      </c>
      <c r="AJ892" t="s">
        <v>78</v>
      </c>
      <c r="AK892">
        <v>2</v>
      </c>
      <c r="AL892" t="s">
        <v>78</v>
      </c>
      <c r="AM892">
        <v>1</v>
      </c>
      <c r="AN892" t="s">
        <v>78</v>
      </c>
      <c r="AO892">
        <v>5</v>
      </c>
      <c r="AP892" t="s">
        <v>78</v>
      </c>
      <c r="AQ892">
        <v>4</v>
      </c>
      <c r="AR892">
        <v>1</v>
      </c>
      <c r="AS892">
        <v>4</v>
      </c>
    </row>
    <row r="893" spans="1:4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 t="str">
        <f>IF(Employee_data[[#This Row],[MonthlyIncome]]&lt;5000,"Low Income",
IF(Employee_data[[#This Row],[MonthlyIncome]]&lt;10000,"Medium Income","High Income"))</f>
        <v>Low Income</v>
      </c>
      <c r="U893" t="s">
        <v>91</v>
      </c>
      <c r="V893" t="s">
        <v>91</v>
      </c>
      <c r="W893" t="s">
        <v>91</v>
      </c>
      <c r="X893" t="s">
        <v>91</v>
      </c>
      <c r="Y893">
        <v>19982</v>
      </c>
      <c r="Z893">
        <v>1</v>
      </c>
      <c r="AA893" t="s">
        <v>42</v>
      </c>
      <c r="AB893" t="s">
        <v>43</v>
      </c>
      <c r="AC893">
        <v>13</v>
      </c>
      <c r="AD893">
        <v>3</v>
      </c>
      <c r="AE893">
        <v>4</v>
      </c>
      <c r="AF893">
        <v>80</v>
      </c>
      <c r="AG893">
        <v>1</v>
      </c>
      <c r="AH8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93">
        <v>10</v>
      </c>
      <c r="AJ893" t="s">
        <v>75</v>
      </c>
      <c r="AK893">
        <v>5</v>
      </c>
      <c r="AL893" t="s">
        <v>75</v>
      </c>
      <c r="AM893">
        <v>3</v>
      </c>
      <c r="AN893" t="s">
        <v>75</v>
      </c>
      <c r="AO893">
        <v>10</v>
      </c>
      <c r="AP893" t="s">
        <v>75</v>
      </c>
      <c r="AQ893">
        <v>5</v>
      </c>
      <c r="AR893">
        <v>7</v>
      </c>
      <c r="AS893">
        <v>7</v>
      </c>
    </row>
    <row r="894" spans="1:4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 t="str">
        <f>IF(Employee_data[[#This Row],[MonthlyIncome]]&lt;5000,"Low Income",
IF(Employee_data[[#This Row],[MonthlyIncome]]&lt;10000,"Medium Income","High Income"))</f>
        <v>Low Income</v>
      </c>
      <c r="U894" t="s">
        <v>91</v>
      </c>
      <c r="V894" t="s">
        <v>91</v>
      </c>
      <c r="W894" t="s">
        <v>91</v>
      </c>
      <c r="X894" t="s">
        <v>91</v>
      </c>
      <c r="Y894">
        <v>6148</v>
      </c>
      <c r="Z894">
        <v>1</v>
      </c>
      <c r="AA894" t="s">
        <v>42</v>
      </c>
      <c r="AB894" t="s">
        <v>35</v>
      </c>
      <c r="AC894">
        <v>25</v>
      </c>
      <c r="AD894">
        <v>4</v>
      </c>
      <c r="AE894">
        <v>2</v>
      </c>
      <c r="AF894">
        <v>80</v>
      </c>
      <c r="AG894">
        <v>0</v>
      </c>
      <c r="AH8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94">
        <v>1</v>
      </c>
      <c r="AJ894" t="s">
        <v>74</v>
      </c>
      <c r="AK894">
        <v>2</v>
      </c>
      <c r="AL894" t="s">
        <v>74</v>
      </c>
      <c r="AM894">
        <v>4</v>
      </c>
      <c r="AN894" t="s">
        <v>74</v>
      </c>
      <c r="AO894">
        <v>1</v>
      </c>
      <c r="AP894" t="s">
        <v>74</v>
      </c>
      <c r="AQ894">
        <v>1</v>
      </c>
      <c r="AR894">
        <v>0</v>
      </c>
      <c r="AS894">
        <v>0</v>
      </c>
    </row>
    <row r="895" spans="1:4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 t="str">
        <f>IF(Employee_data[[#This Row],[MonthlyIncome]]&lt;5000,"Low Income",
IF(Employee_data[[#This Row],[MonthlyIncome]]&lt;10000,"Medium Income","High Income"))</f>
        <v>Low Income</v>
      </c>
      <c r="U895" t="s">
        <v>91</v>
      </c>
      <c r="V895" t="s">
        <v>91</v>
      </c>
      <c r="W895" t="s">
        <v>91</v>
      </c>
      <c r="X895" t="s">
        <v>91</v>
      </c>
      <c r="Y895">
        <v>5598</v>
      </c>
      <c r="Z895">
        <v>1</v>
      </c>
      <c r="AA895" t="s">
        <v>42</v>
      </c>
      <c r="AB895" t="s">
        <v>43</v>
      </c>
      <c r="AC895">
        <v>15</v>
      </c>
      <c r="AD895">
        <v>3</v>
      </c>
      <c r="AE895">
        <v>1</v>
      </c>
      <c r="AF895">
        <v>80</v>
      </c>
      <c r="AG895">
        <v>3</v>
      </c>
      <c r="AH8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895">
        <v>3</v>
      </c>
      <c r="AJ895" t="s">
        <v>74</v>
      </c>
      <c r="AK895">
        <v>5</v>
      </c>
      <c r="AL895" t="s">
        <v>74</v>
      </c>
      <c r="AM895">
        <v>3</v>
      </c>
      <c r="AN895" t="s">
        <v>74</v>
      </c>
      <c r="AO895">
        <v>3</v>
      </c>
      <c r="AP895" t="s">
        <v>74</v>
      </c>
      <c r="AQ895">
        <v>2</v>
      </c>
      <c r="AR895">
        <v>1</v>
      </c>
      <c r="AS895">
        <v>2</v>
      </c>
    </row>
    <row r="896" spans="1:4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 t="str">
        <f>IF(Employee_data[[#This Row],[MonthlyIncome]]&lt;5000,"Low Income",
IF(Employee_data[[#This Row],[MonthlyIncome]]&lt;10000,"Medium Income","High Income"))</f>
        <v>High Income</v>
      </c>
      <c r="U896" t="s">
        <v>90</v>
      </c>
      <c r="V896" t="s">
        <v>90</v>
      </c>
      <c r="W896" t="s">
        <v>90</v>
      </c>
      <c r="X896" t="s">
        <v>90</v>
      </c>
      <c r="Y896">
        <v>23474</v>
      </c>
      <c r="Z896">
        <v>3</v>
      </c>
      <c r="AA896" t="s">
        <v>42</v>
      </c>
      <c r="AB896" t="s">
        <v>43</v>
      </c>
      <c r="AC896">
        <v>14</v>
      </c>
      <c r="AD896">
        <v>3</v>
      </c>
      <c r="AE896">
        <v>1</v>
      </c>
      <c r="AF896">
        <v>80</v>
      </c>
      <c r="AG896">
        <v>0</v>
      </c>
      <c r="AH8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96">
        <v>36</v>
      </c>
      <c r="AJ896" t="s">
        <v>75</v>
      </c>
      <c r="AK896">
        <v>2</v>
      </c>
      <c r="AL896" t="s">
        <v>75</v>
      </c>
      <c r="AM896">
        <v>3</v>
      </c>
      <c r="AN896" t="s">
        <v>75</v>
      </c>
      <c r="AO896">
        <v>10</v>
      </c>
      <c r="AP896" t="s">
        <v>75</v>
      </c>
      <c r="AQ896">
        <v>9</v>
      </c>
      <c r="AR896">
        <v>0</v>
      </c>
      <c r="AS896">
        <v>9</v>
      </c>
    </row>
    <row r="897" spans="1:4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 t="str">
        <f>IF(Employee_data[[#This Row],[MonthlyIncome]]&lt;5000,"Low Income",
IF(Employee_data[[#This Row],[MonthlyIncome]]&lt;10000,"Medium Income","High Income"))</f>
        <v>Medium Income</v>
      </c>
      <c r="U897" t="s">
        <v>92</v>
      </c>
      <c r="V897" t="s">
        <v>92</v>
      </c>
      <c r="W897" t="s">
        <v>92</v>
      </c>
      <c r="X897" t="s">
        <v>92</v>
      </c>
      <c r="Y897">
        <v>17089</v>
      </c>
      <c r="Z897">
        <v>1</v>
      </c>
      <c r="AA897" t="s">
        <v>42</v>
      </c>
      <c r="AB897" t="s">
        <v>35</v>
      </c>
      <c r="AC897">
        <v>12</v>
      </c>
      <c r="AD897">
        <v>3</v>
      </c>
      <c r="AE897">
        <v>4</v>
      </c>
      <c r="AF897">
        <v>80</v>
      </c>
      <c r="AG897">
        <v>0</v>
      </c>
      <c r="AH8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97">
        <v>6</v>
      </c>
      <c r="AJ897" t="s">
        <v>78</v>
      </c>
      <c r="AK897">
        <v>2</v>
      </c>
      <c r="AL897" t="s">
        <v>78</v>
      </c>
      <c r="AM897">
        <v>2</v>
      </c>
      <c r="AN897" t="s">
        <v>78</v>
      </c>
      <c r="AO897">
        <v>6</v>
      </c>
      <c r="AP897" t="s">
        <v>78</v>
      </c>
      <c r="AQ897">
        <v>5</v>
      </c>
      <c r="AR897">
        <v>0</v>
      </c>
      <c r="AS897">
        <v>1</v>
      </c>
    </row>
    <row r="898" spans="1:4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 t="str">
        <f>IF(Employee_data[[#This Row],[MonthlyIncome]]&lt;5000,"Low Income",
IF(Employee_data[[#This Row],[MonthlyIncome]]&lt;10000,"Medium Income","High Income"))</f>
        <v>Medium Income</v>
      </c>
      <c r="U898" t="s">
        <v>92</v>
      </c>
      <c r="V898" t="s">
        <v>92</v>
      </c>
      <c r="W898" t="s">
        <v>92</v>
      </c>
      <c r="X898" t="s">
        <v>92</v>
      </c>
      <c r="Y898">
        <v>17198</v>
      </c>
      <c r="Z898">
        <v>1</v>
      </c>
      <c r="AA898" t="s">
        <v>42</v>
      </c>
      <c r="AB898" t="s">
        <v>43</v>
      </c>
      <c r="AC898">
        <v>19</v>
      </c>
      <c r="AD898">
        <v>3</v>
      </c>
      <c r="AE898">
        <v>2</v>
      </c>
      <c r="AF898">
        <v>80</v>
      </c>
      <c r="AG898">
        <v>0</v>
      </c>
      <c r="AH8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898">
        <v>10</v>
      </c>
      <c r="AJ898" t="s">
        <v>75</v>
      </c>
      <c r="AK898">
        <v>2</v>
      </c>
      <c r="AL898" t="s">
        <v>75</v>
      </c>
      <c r="AM898">
        <v>3</v>
      </c>
      <c r="AN898" t="s">
        <v>75</v>
      </c>
      <c r="AO898">
        <v>10</v>
      </c>
      <c r="AP898" t="s">
        <v>75</v>
      </c>
      <c r="AQ898">
        <v>9</v>
      </c>
      <c r="AR898">
        <v>1</v>
      </c>
      <c r="AS898">
        <v>8</v>
      </c>
    </row>
    <row r="899" spans="1:4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 t="str">
        <f>IF(Employee_data[[#This Row],[MonthlyIncome]]&lt;5000,"Low Income",
IF(Employee_data[[#This Row],[MonthlyIncome]]&lt;10000,"Medium Income","High Income"))</f>
        <v>Medium Income</v>
      </c>
      <c r="U899" t="s">
        <v>92</v>
      </c>
      <c r="V899" t="s">
        <v>92</v>
      </c>
      <c r="W899" t="s">
        <v>92</v>
      </c>
      <c r="X899" t="s">
        <v>92</v>
      </c>
      <c r="Y899">
        <v>16490</v>
      </c>
      <c r="Z899">
        <v>5</v>
      </c>
      <c r="AA899" t="s">
        <v>42</v>
      </c>
      <c r="AB899" t="s">
        <v>43</v>
      </c>
      <c r="AC899">
        <v>17</v>
      </c>
      <c r="AD899">
        <v>3</v>
      </c>
      <c r="AE899">
        <v>4</v>
      </c>
      <c r="AF899">
        <v>80</v>
      </c>
      <c r="AG899">
        <v>0</v>
      </c>
      <c r="AH8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899">
        <v>13</v>
      </c>
      <c r="AJ899" t="s">
        <v>78</v>
      </c>
      <c r="AK899">
        <v>2</v>
      </c>
      <c r="AL899" t="s">
        <v>78</v>
      </c>
      <c r="AM899">
        <v>3</v>
      </c>
      <c r="AN899" t="s">
        <v>78</v>
      </c>
      <c r="AO899">
        <v>6</v>
      </c>
      <c r="AP899" t="s">
        <v>78</v>
      </c>
      <c r="AQ899">
        <v>1</v>
      </c>
      <c r="AR899">
        <v>0</v>
      </c>
      <c r="AS899">
        <v>5</v>
      </c>
    </row>
    <row r="900" spans="1:4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 t="str">
        <f>IF(Employee_data[[#This Row],[MonthlyIncome]]&lt;5000,"Low Income",
IF(Employee_data[[#This Row],[MonthlyIncome]]&lt;10000,"Medium Income","High Income"))</f>
        <v>High Income</v>
      </c>
      <c r="U900" t="s">
        <v>90</v>
      </c>
      <c r="V900" t="s">
        <v>90</v>
      </c>
      <c r="W900" t="s">
        <v>90</v>
      </c>
      <c r="X900" t="s">
        <v>90</v>
      </c>
      <c r="Y900">
        <v>18625</v>
      </c>
      <c r="Z900">
        <v>3</v>
      </c>
      <c r="AA900" t="s">
        <v>42</v>
      </c>
      <c r="AB900" t="s">
        <v>43</v>
      </c>
      <c r="AC900">
        <v>14</v>
      </c>
      <c r="AD900">
        <v>3</v>
      </c>
      <c r="AE900">
        <v>2</v>
      </c>
      <c r="AF900">
        <v>80</v>
      </c>
      <c r="AG900">
        <v>1</v>
      </c>
      <c r="AH9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00">
        <v>25</v>
      </c>
      <c r="AJ900" t="s">
        <v>78</v>
      </c>
      <c r="AK900">
        <v>2</v>
      </c>
      <c r="AL900" t="s">
        <v>78</v>
      </c>
      <c r="AM900">
        <v>3</v>
      </c>
      <c r="AN900" t="s">
        <v>78</v>
      </c>
      <c r="AO900">
        <v>8</v>
      </c>
      <c r="AP900" t="s">
        <v>78</v>
      </c>
      <c r="AQ900">
        <v>7</v>
      </c>
      <c r="AR900">
        <v>0</v>
      </c>
      <c r="AS900">
        <v>7</v>
      </c>
    </row>
    <row r="901" spans="1:4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 t="str">
        <f>IF(Employee_data[[#This Row],[MonthlyIncome]]&lt;5000,"Low Income",
IF(Employee_data[[#This Row],[MonthlyIncome]]&lt;10000,"Medium Income","High Income"))</f>
        <v>High Income</v>
      </c>
      <c r="U901" t="s">
        <v>90</v>
      </c>
      <c r="V901" t="s">
        <v>90</v>
      </c>
      <c r="W901" t="s">
        <v>90</v>
      </c>
      <c r="X901" t="s">
        <v>90</v>
      </c>
      <c r="Y901">
        <v>12124</v>
      </c>
      <c r="Z901">
        <v>2</v>
      </c>
      <c r="AA901" t="s">
        <v>42</v>
      </c>
      <c r="AB901" t="s">
        <v>43</v>
      </c>
      <c r="AC901">
        <v>13</v>
      </c>
      <c r="AD901">
        <v>3</v>
      </c>
      <c r="AE901">
        <v>3</v>
      </c>
      <c r="AF901">
        <v>80</v>
      </c>
      <c r="AG901">
        <v>1</v>
      </c>
      <c r="AH9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01">
        <v>23</v>
      </c>
      <c r="AJ901" t="s">
        <v>74</v>
      </c>
      <c r="AK901">
        <v>2</v>
      </c>
      <c r="AL901" t="s">
        <v>74</v>
      </c>
      <c r="AM901">
        <v>4</v>
      </c>
      <c r="AN901" t="s">
        <v>74</v>
      </c>
      <c r="AO901">
        <v>1</v>
      </c>
      <c r="AP901" t="s">
        <v>74</v>
      </c>
      <c r="AQ901">
        <v>0</v>
      </c>
      <c r="AR901">
        <v>0</v>
      </c>
      <c r="AS901">
        <v>0</v>
      </c>
    </row>
    <row r="902" spans="1:4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 t="str">
        <f>IF(Employee_data[[#This Row],[MonthlyIncome]]&lt;5000,"Low Income",
IF(Employee_data[[#This Row],[MonthlyIncome]]&lt;10000,"Medium Income","High Income"))</f>
        <v>Low Income</v>
      </c>
      <c r="U902" t="s">
        <v>91</v>
      </c>
      <c r="V902" t="s">
        <v>91</v>
      </c>
      <c r="W902" t="s">
        <v>91</v>
      </c>
      <c r="X902" t="s">
        <v>91</v>
      </c>
      <c r="Y902">
        <v>9256</v>
      </c>
      <c r="Z902">
        <v>1</v>
      </c>
      <c r="AA902" t="s">
        <v>42</v>
      </c>
      <c r="AB902" t="s">
        <v>43</v>
      </c>
      <c r="AC902">
        <v>12</v>
      </c>
      <c r="AD902">
        <v>3</v>
      </c>
      <c r="AE902">
        <v>3</v>
      </c>
      <c r="AF902">
        <v>80</v>
      </c>
      <c r="AG902">
        <v>0</v>
      </c>
      <c r="AH9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02">
        <v>12</v>
      </c>
      <c r="AJ902" t="s">
        <v>75</v>
      </c>
      <c r="AK902">
        <v>2</v>
      </c>
      <c r="AL902" t="s">
        <v>75</v>
      </c>
      <c r="AM902">
        <v>2</v>
      </c>
      <c r="AN902" t="s">
        <v>75</v>
      </c>
      <c r="AO902">
        <v>11</v>
      </c>
      <c r="AP902" t="s">
        <v>75</v>
      </c>
      <c r="AQ902">
        <v>10</v>
      </c>
      <c r="AR902">
        <v>0</v>
      </c>
      <c r="AS902">
        <v>7</v>
      </c>
    </row>
    <row r="903" spans="1:4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 t="str">
        <f>IF(Employee_data[[#This Row],[MonthlyIncome]]&lt;5000,"Low Income",
IF(Employee_data[[#This Row],[MonthlyIncome]]&lt;10000,"Medium Income","High Income"))</f>
        <v>Low Income</v>
      </c>
      <c r="U903" t="s">
        <v>91</v>
      </c>
      <c r="V903" t="s">
        <v>91</v>
      </c>
      <c r="W903" t="s">
        <v>91</v>
      </c>
      <c r="X903" t="s">
        <v>91</v>
      </c>
      <c r="Y903">
        <v>16620</v>
      </c>
      <c r="Z903">
        <v>5</v>
      </c>
      <c r="AA903" t="s">
        <v>42</v>
      </c>
      <c r="AB903" t="s">
        <v>43</v>
      </c>
      <c r="AC903">
        <v>11</v>
      </c>
      <c r="AD903">
        <v>3</v>
      </c>
      <c r="AE903">
        <v>3</v>
      </c>
      <c r="AF903">
        <v>80</v>
      </c>
      <c r="AG903">
        <v>0</v>
      </c>
      <c r="AH9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03">
        <v>7</v>
      </c>
      <c r="AJ903" t="s">
        <v>74</v>
      </c>
      <c r="AK903">
        <v>4</v>
      </c>
      <c r="AL903" t="s">
        <v>74</v>
      </c>
      <c r="AM903">
        <v>2</v>
      </c>
      <c r="AN903" t="s">
        <v>74</v>
      </c>
      <c r="AO903">
        <v>1</v>
      </c>
      <c r="AP903" t="s">
        <v>74</v>
      </c>
      <c r="AQ903">
        <v>0</v>
      </c>
      <c r="AR903">
        <v>0</v>
      </c>
      <c r="AS903">
        <v>0</v>
      </c>
    </row>
    <row r="904" spans="1:4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 t="str">
        <f>IF(Employee_data[[#This Row],[MonthlyIncome]]&lt;5000,"Low Income",
IF(Employee_data[[#This Row],[MonthlyIncome]]&lt;10000,"Medium Income","High Income"))</f>
        <v>Low Income</v>
      </c>
      <c r="U904" t="s">
        <v>91</v>
      </c>
      <c r="V904" t="s">
        <v>91</v>
      </c>
      <c r="W904" t="s">
        <v>91</v>
      </c>
      <c r="X904" t="s">
        <v>91</v>
      </c>
      <c r="Y904">
        <v>3208</v>
      </c>
      <c r="Z904">
        <v>1</v>
      </c>
      <c r="AA904" t="s">
        <v>42</v>
      </c>
      <c r="AB904" t="s">
        <v>43</v>
      </c>
      <c r="AC904">
        <v>11</v>
      </c>
      <c r="AD904">
        <v>3</v>
      </c>
      <c r="AE904">
        <v>2</v>
      </c>
      <c r="AF904">
        <v>80</v>
      </c>
      <c r="AG904">
        <v>3</v>
      </c>
      <c r="AH9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04">
        <v>5</v>
      </c>
      <c r="AJ904" t="s">
        <v>78</v>
      </c>
      <c r="AK904">
        <v>2</v>
      </c>
      <c r="AL904" t="s">
        <v>78</v>
      </c>
      <c r="AM904">
        <v>3</v>
      </c>
      <c r="AN904" t="s">
        <v>78</v>
      </c>
      <c r="AO904">
        <v>5</v>
      </c>
      <c r="AP904" t="s">
        <v>78</v>
      </c>
      <c r="AQ904">
        <v>3</v>
      </c>
      <c r="AR904">
        <v>0</v>
      </c>
      <c r="AS904">
        <v>3</v>
      </c>
    </row>
    <row r="905" spans="1:4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 t="str">
        <f>IF(Employee_data[[#This Row],[MonthlyIncome]]&lt;5000,"Low Income",
IF(Employee_data[[#This Row],[MonthlyIncome]]&lt;10000,"Medium Income","High Income"))</f>
        <v>Medium Income</v>
      </c>
      <c r="U905" t="s">
        <v>92</v>
      </c>
      <c r="V905" t="s">
        <v>92</v>
      </c>
      <c r="W905" t="s">
        <v>92</v>
      </c>
      <c r="X905" t="s">
        <v>92</v>
      </c>
      <c r="Y905">
        <v>4204</v>
      </c>
      <c r="Z905">
        <v>1</v>
      </c>
      <c r="AA905" t="s">
        <v>42</v>
      </c>
      <c r="AB905" t="s">
        <v>35</v>
      </c>
      <c r="AC905">
        <v>11</v>
      </c>
      <c r="AD905">
        <v>3</v>
      </c>
      <c r="AE905">
        <v>2</v>
      </c>
      <c r="AF905">
        <v>80</v>
      </c>
      <c r="AG905">
        <v>2</v>
      </c>
      <c r="AH9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05">
        <v>6</v>
      </c>
      <c r="AJ905" t="s">
        <v>78</v>
      </c>
      <c r="AK905">
        <v>2</v>
      </c>
      <c r="AL905" t="s">
        <v>78</v>
      </c>
      <c r="AM905">
        <v>3</v>
      </c>
      <c r="AN905" t="s">
        <v>78</v>
      </c>
      <c r="AO905">
        <v>6</v>
      </c>
      <c r="AP905" t="s">
        <v>78</v>
      </c>
      <c r="AQ905">
        <v>0</v>
      </c>
      <c r="AR905">
        <v>1</v>
      </c>
      <c r="AS905">
        <v>0</v>
      </c>
    </row>
    <row r="906" spans="1:4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 t="str">
        <f>IF(Employee_data[[#This Row],[MonthlyIncome]]&lt;5000,"Low Income",
IF(Employee_data[[#This Row],[MonthlyIncome]]&lt;10000,"Medium Income","High Income"))</f>
        <v>High Income</v>
      </c>
      <c r="U906" t="s">
        <v>90</v>
      </c>
      <c r="V906" t="s">
        <v>90</v>
      </c>
      <c r="W906" t="s">
        <v>90</v>
      </c>
      <c r="X906" t="s">
        <v>90</v>
      </c>
      <c r="Y906">
        <v>8733</v>
      </c>
      <c r="Z906">
        <v>6</v>
      </c>
      <c r="AA906" t="s">
        <v>42</v>
      </c>
      <c r="AB906" t="s">
        <v>43</v>
      </c>
      <c r="AC906">
        <v>12</v>
      </c>
      <c r="AD906">
        <v>3</v>
      </c>
      <c r="AE906">
        <v>3</v>
      </c>
      <c r="AF906">
        <v>80</v>
      </c>
      <c r="AG906">
        <v>0</v>
      </c>
      <c r="AH9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06">
        <v>25</v>
      </c>
      <c r="AJ906" t="s">
        <v>74</v>
      </c>
      <c r="AK906">
        <v>3</v>
      </c>
      <c r="AL906" t="s">
        <v>74</v>
      </c>
      <c r="AM906">
        <v>4</v>
      </c>
      <c r="AN906" t="s">
        <v>74</v>
      </c>
      <c r="AO906">
        <v>1</v>
      </c>
      <c r="AP906" t="s">
        <v>74</v>
      </c>
      <c r="AQ906">
        <v>0</v>
      </c>
      <c r="AR906">
        <v>0</v>
      </c>
      <c r="AS906">
        <v>0</v>
      </c>
    </row>
    <row r="907" spans="1:4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 t="str">
        <f>IF(Employee_data[[#This Row],[MonthlyIncome]]&lt;5000,"Low Income",
IF(Employee_data[[#This Row],[MonthlyIncome]]&lt;10000,"Medium Income","High Income"))</f>
        <v>High Income</v>
      </c>
      <c r="U907" t="s">
        <v>90</v>
      </c>
      <c r="V907" t="s">
        <v>90</v>
      </c>
      <c r="W907" t="s">
        <v>90</v>
      </c>
      <c r="X907" t="s">
        <v>90</v>
      </c>
      <c r="Y907">
        <v>3423</v>
      </c>
      <c r="Z907">
        <v>3</v>
      </c>
      <c r="AA907" t="s">
        <v>42</v>
      </c>
      <c r="AB907" t="s">
        <v>43</v>
      </c>
      <c r="AC907">
        <v>14</v>
      </c>
      <c r="AD907">
        <v>3</v>
      </c>
      <c r="AE907">
        <v>2</v>
      </c>
      <c r="AF907">
        <v>80</v>
      </c>
      <c r="AG907">
        <v>2</v>
      </c>
      <c r="AH9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07">
        <v>9</v>
      </c>
      <c r="AJ907" t="s">
        <v>78</v>
      </c>
      <c r="AK907">
        <v>2</v>
      </c>
      <c r="AL907" t="s">
        <v>78</v>
      </c>
      <c r="AM907">
        <v>2</v>
      </c>
      <c r="AN907" t="s">
        <v>78</v>
      </c>
      <c r="AO907">
        <v>7</v>
      </c>
      <c r="AP907" t="s">
        <v>78</v>
      </c>
      <c r="AQ907">
        <v>7</v>
      </c>
      <c r="AR907">
        <v>1</v>
      </c>
      <c r="AS907">
        <v>7</v>
      </c>
    </row>
    <row r="908" spans="1:4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 t="str">
        <f>IF(Employee_data[[#This Row],[MonthlyIncome]]&lt;5000,"Low Income",
IF(Employee_data[[#This Row],[MonthlyIncome]]&lt;10000,"Medium Income","High Income"))</f>
        <v>Low Income</v>
      </c>
      <c r="U908" t="s">
        <v>91</v>
      </c>
      <c r="V908" t="s">
        <v>91</v>
      </c>
      <c r="W908" t="s">
        <v>91</v>
      </c>
      <c r="X908" t="s">
        <v>91</v>
      </c>
      <c r="Y908">
        <v>21643</v>
      </c>
      <c r="Z908">
        <v>0</v>
      </c>
      <c r="AA908" t="s">
        <v>42</v>
      </c>
      <c r="AB908" t="s">
        <v>43</v>
      </c>
      <c r="AC908">
        <v>17</v>
      </c>
      <c r="AD908">
        <v>3</v>
      </c>
      <c r="AE908">
        <v>4</v>
      </c>
      <c r="AF908">
        <v>80</v>
      </c>
      <c r="AG908">
        <v>0</v>
      </c>
      <c r="AH9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08">
        <v>2</v>
      </c>
      <c r="AJ908" t="s">
        <v>74</v>
      </c>
      <c r="AK908">
        <v>5</v>
      </c>
      <c r="AL908" t="s">
        <v>74</v>
      </c>
      <c r="AM908">
        <v>2</v>
      </c>
      <c r="AN908" t="s">
        <v>74</v>
      </c>
      <c r="AO908">
        <v>1</v>
      </c>
      <c r="AP908" t="s">
        <v>74</v>
      </c>
      <c r="AQ908">
        <v>0</v>
      </c>
      <c r="AR908">
        <v>0</v>
      </c>
      <c r="AS908">
        <v>0</v>
      </c>
    </row>
    <row r="909" spans="1:4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 t="str">
        <f>IF(Employee_data[[#This Row],[MonthlyIncome]]&lt;5000,"Low Income",
IF(Employee_data[[#This Row],[MonthlyIncome]]&lt;10000,"Medium Income","High Income"))</f>
        <v>High Income</v>
      </c>
      <c r="U909" t="s">
        <v>90</v>
      </c>
      <c r="V909" t="s">
        <v>90</v>
      </c>
      <c r="W909" t="s">
        <v>90</v>
      </c>
      <c r="X909" t="s">
        <v>90</v>
      </c>
      <c r="Y909">
        <v>8751</v>
      </c>
      <c r="Z909">
        <v>7</v>
      </c>
      <c r="AA909" t="s">
        <v>42</v>
      </c>
      <c r="AB909" t="s">
        <v>43</v>
      </c>
      <c r="AC909">
        <v>11</v>
      </c>
      <c r="AD909">
        <v>3</v>
      </c>
      <c r="AE909">
        <v>3</v>
      </c>
      <c r="AF909">
        <v>80</v>
      </c>
      <c r="AG909">
        <v>1</v>
      </c>
      <c r="AH9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09">
        <v>26</v>
      </c>
      <c r="AJ909" t="s">
        <v>76</v>
      </c>
      <c r="AK909">
        <v>5</v>
      </c>
      <c r="AL909" t="s">
        <v>76</v>
      </c>
      <c r="AM909">
        <v>3</v>
      </c>
      <c r="AN909" t="s">
        <v>76</v>
      </c>
      <c r="AO909">
        <v>22</v>
      </c>
      <c r="AP909" t="s">
        <v>76</v>
      </c>
      <c r="AQ909">
        <v>9</v>
      </c>
      <c r="AR909">
        <v>3</v>
      </c>
      <c r="AS909">
        <v>10</v>
      </c>
    </row>
    <row r="910" spans="1:4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 t="str">
        <f>IF(Employee_data[[#This Row],[MonthlyIncome]]&lt;5000,"Low Income",
IF(Employee_data[[#This Row],[MonthlyIncome]]&lt;10000,"Medium Income","High Income"))</f>
        <v>Medium Income</v>
      </c>
      <c r="U910" t="s">
        <v>92</v>
      </c>
      <c r="V910" t="s">
        <v>92</v>
      </c>
      <c r="W910" t="s">
        <v>92</v>
      </c>
      <c r="X910" t="s">
        <v>92</v>
      </c>
      <c r="Y910">
        <v>21708</v>
      </c>
      <c r="Z910">
        <v>0</v>
      </c>
      <c r="AA910" t="s">
        <v>42</v>
      </c>
      <c r="AB910" t="s">
        <v>35</v>
      </c>
      <c r="AC910">
        <v>14</v>
      </c>
      <c r="AD910">
        <v>3</v>
      </c>
      <c r="AE910">
        <v>4</v>
      </c>
      <c r="AF910">
        <v>80</v>
      </c>
      <c r="AG910">
        <v>2</v>
      </c>
      <c r="AH9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10">
        <v>10</v>
      </c>
      <c r="AJ910" t="s">
        <v>78</v>
      </c>
      <c r="AK910">
        <v>3</v>
      </c>
      <c r="AL910" t="s">
        <v>78</v>
      </c>
      <c r="AM910">
        <v>3</v>
      </c>
      <c r="AN910" t="s">
        <v>78</v>
      </c>
      <c r="AO910">
        <v>9</v>
      </c>
      <c r="AP910" t="s">
        <v>78</v>
      </c>
      <c r="AQ910">
        <v>8</v>
      </c>
      <c r="AR910">
        <v>0</v>
      </c>
      <c r="AS910">
        <v>8</v>
      </c>
    </row>
    <row r="911" spans="1:4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 t="str">
        <f>IF(Employee_data[[#This Row],[MonthlyIncome]]&lt;5000,"Low Income",
IF(Employee_data[[#This Row],[MonthlyIncome]]&lt;10000,"Medium Income","High Income"))</f>
        <v>Low Income</v>
      </c>
      <c r="U911" t="s">
        <v>91</v>
      </c>
      <c r="V911" t="s">
        <v>91</v>
      </c>
      <c r="W911" t="s">
        <v>91</v>
      </c>
      <c r="X911" t="s">
        <v>91</v>
      </c>
      <c r="Y911">
        <v>21221</v>
      </c>
      <c r="Z911">
        <v>1</v>
      </c>
      <c r="AA911" t="s">
        <v>42</v>
      </c>
      <c r="AB911" t="s">
        <v>35</v>
      </c>
      <c r="AC911">
        <v>12</v>
      </c>
      <c r="AD911">
        <v>3</v>
      </c>
      <c r="AE911">
        <v>4</v>
      </c>
      <c r="AF911">
        <v>80</v>
      </c>
      <c r="AG911">
        <v>0</v>
      </c>
      <c r="AH9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11">
        <v>1</v>
      </c>
      <c r="AJ911" t="s">
        <v>74</v>
      </c>
      <c r="AK911">
        <v>2</v>
      </c>
      <c r="AL911" t="s">
        <v>74</v>
      </c>
      <c r="AM911">
        <v>3</v>
      </c>
      <c r="AN911" t="s">
        <v>74</v>
      </c>
      <c r="AO911">
        <v>1</v>
      </c>
      <c r="AP911" t="s">
        <v>74</v>
      </c>
      <c r="AQ911">
        <v>0</v>
      </c>
      <c r="AR911">
        <v>0</v>
      </c>
      <c r="AS911">
        <v>1</v>
      </c>
    </row>
    <row r="912" spans="1:4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 t="str">
        <f>IF(Employee_data[[#This Row],[MonthlyIncome]]&lt;5000,"Low Income",
IF(Employee_data[[#This Row],[MonthlyIncome]]&lt;10000,"Medium Income","High Income"))</f>
        <v>Low Income</v>
      </c>
      <c r="U912" t="s">
        <v>91</v>
      </c>
      <c r="V912" t="s">
        <v>91</v>
      </c>
      <c r="W912" t="s">
        <v>91</v>
      </c>
      <c r="X912" t="s">
        <v>91</v>
      </c>
      <c r="Y912">
        <v>16901</v>
      </c>
      <c r="Z912">
        <v>1</v>
      </c>
      <c r="AA912" t="s">
        <v>42</v>
      </c>
      <c r="AB912" t="s">
        <v>43</v>
      </c>
      <c r="AC912">
        <v>22</v>
      </c>
      <c r="AD912">
        <v>4</v>
      </c>
      <c r="AE912">
        <v>4</v>
      </c>
      <c r="AF912">
        <v>80</v>
      </c>
      <c r="AG912">
        <v>1</v>
      </c>
      <c r="AH9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12">
        <v>1</v>
      </c>
      <c r="AJ912" t="s">
        <v>74</v>
      </c>
      <c r="AK912">
        <v>2</v>
      </c>
      <c r="AL912" t="s">
        <v>74</v>
      </c>
      <c r="AM912">
        <v>3</v>
      </c>
      <c r="AN912" t="s">
        <v>74</v>
      </c>
      <c r="AO912">
        <v>1</v>
      </c>
      <c r="AP912" t="s">
        <v>74</v>
      </c>
      <c r="AQ912">
        <v>0</v>
      </c>
      <c r="AR912">
        <v>0</v>
      </c>
      <c r="AS912">
        <v>1</v>
      </c>
    </row>
    <row r="913" spans="1:4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 t="str">
        <f>IF(Employee_data[[#This Row],[MonthlyIncome]]&lt;5000,"Low Income",
IF(Employee_data[[#This Row],[MonthlyIncome]]&lt;10000,"Medium Income","High Income"))</f>
        <v>Low Income</v>
      </c>
      <c r="U913" t="s">
        <v>91</v>
      </c>
      <c r="V913" t="s">
        <v>91</v>
      </c>
      <c r="W913" t="s">
        <v>91</v>
      </c>
      <c r="X913" t="s">
        <v>91</v>
      </c>
      <c r="Y913">
        <v>8040</v>
      </c>
      <c r="Z913">
        <v>1</v>
      </c>
      <c r="AA913" t="s">
        <v>42</v>
      </c>
      <c r="AB913" t="s">
        <v>35</v>
      </c>
      <c r="AC913">
        <v>14</v>
      </c>
      <c r="AD913">
        <v>3</v>
      </c>
      <c r="AE913">
        <v>4</v>
      </c>
      <c r="AF913">
        <v>80</v>
      </c>
      <c r="AG913">
        <v>0</v>
      </c>
      <c r="AH9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13">
        <v>1</v>
      </c>
      <c r="AJ913" t="s">
        <v>74</v>
      </c>
      <c r="AK913">
        <v>4</v>
      </c>
      <c r="AL913" t="s">
        <v>74</v>
      </c>
      <c r="AM913">
        <v>3</v>
      </c>
      <c r="AN913" t="s">
        <v>74</v>
      </c>
      <c r="AO913">
        <v>1</v>
      </c>
      <c r="AP913" t="s">
        <v>74</v>
      </c>
      <c r="AQ913">
        <v>0</v>
      </c>
      <c r="AR913">
        <v>1</v>
      </c>
      <c r="AS913">
        <v>0</v>
      </c>
    </row>
    <row r="914" spans="1:4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 t="str">
        <f>IF(Employee_data[[#This Row],[MonthlyIncome]]&lt;5000,"Low Income",
IF(Employee_data[[#This Row],[MonthlyIncome]]&lt;10000,"Medium Income","High Income"))</f>
        <v>Low Income</v>
      </c>
      <c r="U914" t="s">
        <v>91</v>
      </c>
      <c r="V914" t="s">
        <v>91</v>
      </c>
      <c r="W914" t="s">
        <v>91</v>
      </c>
      <c r="X914" t="s">
        <v>91</v>
      </c>
      <c r="Y914">
        <v>9973</v>
      </c>
      <c r="Z914">
        <v>1</v>
      </c>
      <c r="AA914" t="s">
        <v>42</v>
      </c>
      <c r="AB914" t="s">
        <v>35</v>
      </c>
      <c r="AC914">
        <v>20</v>
      </c>
      <c r="AD914">
        <v>4</v>
      </c>
      <c r="AE914">
        <v>2</v>
      </c>
      <c r="AF914">
        <v>80</v>
      </c>
      <c r="AG914">
        <v>0</v>
      </c>
      <c r="AH9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14">
        <v>8</v>
      </c>
      <c r="AJ914" t="s">
        <v>78</v>
      </c>
      <c r="AK914">
        <v>2</v>
      </c>
      <c r="AL914" t="s">
        <v>78</v>
      </c>
      <c r="AM914">
        <v>2</v>
      </c>
      <c r="AN914" t="s">
        <v>78</v>
      </c>
      <c r="AO914">
        <v>8</v>
      </c>
      <c r="AP914" t="s">
        <v>78</v>
      </c>
      <c r="AQ914">
        <v>5</v>
      </c>
      <c r="AR914">
        <v>2</v>
      </c>
      <c r="AS914">
        <v>2</v>
      </c>
    </row>
    <row r="915" spans="1:4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 t="str">
        <f>IF(Employee_data[[#This Row],[MonthlyIncome]]&lt;5000,"Low Income",
IF(Employee_data[[#This Row],[MonthlyIncome]]&lt;10000,"Medium Income","High Income"))</f>
        <v>High Income</v>
      </c>
      <c r="U915" t="s">
        <v>90</v>
      </c>
      <c r="V915" t="s">
        <v>90</v>
      </c>
      <c r="W915" t="s">
        <v>90</v>
      </c>
      <c r="X915" t="s">
        <v>90</v>
      </c>
      <c r="Y915">
        <v>2493</v>
      </c>
      <c r="Z915">
        <v>2</v>
      </c>
      <c r="AA915" t="s">
        <v>42</v>
      </c>
      <c r="AB915" t="s">
        <v>35</v>
      </c>
      <c r="AC915">
        <v>16</v>
      </c>
      <c r="AD915">
        <v>3</v>
      </c>
      <c r="AE915">
        <v>1</v>
      </c>
      <c r="AF915">
        <v>80</v>
      </c>
      <c r="AG915">
        <v>0</v>
      </c>
      <c r="AH9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15">
        <v>26</v>
      </c>
      <c r="AJ915" t="s">
        <v>76</v>
      </c>
      <c r="AK915">
        <v>2</v>
      </c>
      <c r="AL915" t="s">
        <v>76</v>
      </c>
      <c r="AM915">
        <v>3</v>
      </c>
      <c r="AN915" t="s">
        <v>76</v>
      </c>
      <c r="AO915">
        <v>24</v>
      </c>
      <c r="AP915" t="s">
        <v>76</v>
      </c>
      <c r="AQ915">
        <v>10</v>
      </c>
      <c r="AR915">
        <v>1</v>
      </c>
      <c r="AS915">
        <v>11</v>
      </c>
    </row>
    <row r="916" spans="1:4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 t="str">
        <f>IF(Employee_data[[#This Row],[MonthlyIncome]]&lt;5000,"Low Income",
IF(Employee_data[[#This Row],[MonthlyIncome]]&lt;10000,"Medium Income","High Income"))</f>
        <v>High Income</v>
      </c>
      <c r="U916" t="s">
        <v>90</v>
      </c>
      <c r="V916" t="s">
        <v>90</v>
      </c>
      <c r="W916" t="s">
        <v>90</v>
      </c>
      <c r="X916" t="s">
        <v>90</v>
      </c>
      <c r="Y916">
        <v>25592</v>
      </c>
      <c r="Z916">
        <v>1</v>
      </c>
      <c r="AA916" t="s">
        <v>42</v>
      </c>
      <c r="AB916" t="s">
        <v>35</v>
      </c>
      <c r="AC916">
        <v>15</v>
      </c>
      <c r="AD916">
        <v>3</v>
      </c>
      <c r="AE916">
        <v>4</v>
      </c>
      <c r="AF916">
        <v>80</v>
      </c>
      <c r="AG916">
        <v>1</v>
      </c>
      <c r="AH9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916">
        <v>34</v>
      </c>
      <c r="AJ916" t="s">
        <v>77</v>
      </c>
      <c r="AK916">
        <v>3</v>
      </c>
      <c r="AL916" t="s">
        <v>77</v>
      </c>
      <c r="AM916">
        <v>3</v>
      </c>
      <c r="AN916" t="s">
        <v>77</v>
      </c>
      <c r="AO916">
        <v>33</v>
      </c>
      <c r="AP916" t="s">
        <v>77</v>
      </c>
      <c r="AQ916">
        <v>9</v>
      </c>
      <c r="AR916">
        <v>15</v>
      </c>
      <c r="AS916">
        <v>0</v>
      </c>
    </row>
    <row r="917" spans="1:4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 t="str">
        <f>IF(Employee_data[[#This Row],[MonthlyIncome]]&lt;5000,"Low Income",
IF(Employee_data[[#This Row],[MonthlyIncome]]&lt;10000,"Medium Income","High Income"))</f>
        <v>Low Income</v>
      </c>
      <c r="U917" t="s">
        <v>91</v>
      </c>
      <c r="V917" t="s">
        <v>91</v>
      </c>
      <c r="W917" t="s">
        <v>91</v>
      </c>
      <c r="X917" t="s">
        <v>91</v>
      </c>
      <c r="Y917">
        <v>25308</v>
      </c>
      <c r="Z917">
        <v>1</v>
      </c>
      <c r="AA917" t="s">
        <v>42</v>
      </c>
      <c r="AB917" t="s">
        <v>43</v>
      </c>
      <c r="AC917">
        <v>20</v>
      </c>
      <c r="AD917">
        <v>4</v>
      </c>
      <c r="AE917">
        <v>3</v>
      </c>
      <c r="AF917">
        <v>80</v>
      </c>
      <c r="AG917">
        <v>0</v>
      </c>
      <c r="AH9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17">
        <v>2</v>
      </c>
      <c r="AJ917" t="s">
        <v>74</v>
      </c>
      <c r="AK917">
        <v>2</v>
      </c>
      <c r="AL917" t="s">
        <v>74</v>
      </c>
      <c r="AM917">
        <v>1</v>
      </c>
      <c r="AN917" t="s">
        <v>74</v>
      </c>
      <c r="AO917">
        <v>2</v>
      </c>
      <c r="AP917" t="s">
        <v>74</v>
      </c>
      <c r="AQ917">
        <v>2</v>
      </c>
      <c r="AR917">
        <v>2</v>
      </c>
      <c r="AS917">
        <v>2</v>
      </c>
    </row>
    <row r="918" spans="1:4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 t="str">
        <f>IF(Employee_data[[#This Row],[MonthlyIncome]]&lt;5000,"Low Income",
IF(Employee_data[[#This Row],[MonthlyIncome]]&lt;10000,"Medium Income","High Income"))</f>
        <v>High Income</v>
      </c>
      <c r="U918" t="s">
        <v>90</v>
      </c>
      <c r="V918" t="s">
        <v>90</v>
      </c>
      <c r="W918" t="s">
        <v>90</v>
      </c>
      <c r="X918" t="s">
        <v>90</v>
      </c>
      <c r="Y918">
        <v>9946</v>
      </c>
      <c r="Z918">
        <v>2</v>
      </c>
      <c r="AA918" t="s">
        <v>42</v>
      </c>
      <c r="AB918" t="s">
        <v>43</v>
      </c>
      <c r="AC918">
        <v>14</v>
      </c>
      <c r="AD918">
        <v>3</v>
      </c>
      <c r="AE918">
        <v>3</v>
      </c>
      <c r="AF918">
        <v>80</v>
      </c>
      <c r="AG918">
        <v>1</v>
      </c>
      <c r="AH9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18">
        <v>26</v>
      </c>
      <c r="AJ918" t="s">
        <v>75</v>
      </c>
      <c r="AK918">
        <v>2</v>
      </c>
      <c r="AL918" t="s">
        <v>75</v>
      </c>
      <c r="AM918">
        <v>3</v>
      </c>
      <c r="AN918" t="s">
        <v>75</v>
      </c>
      <c r="AO918">
        <v>11</v>
      </c>
      <c r="AP918" t="s">
        <v>75</v>
      </c>
      <c r="AQ918">
        <v>4</v>
      </c>
      <c r="AR918">
        <v>0</v>
      </c>
      <c r="AS918">
        <v>8</v>
      </c>
    </row>
    <row r="919" spans="1:4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 t="str">
        <f>IF(Employee_data[[#This Row],[MonthlyIncome]]&lt;5000,"Low Income",
IF(Employee_data[[#This Row],[MonthlyIncome]]&lt;10000,"Medium Income","High Income"))</f>
        <v>Low Income</v>
      </c>
      <c r="U919" t="s">
        <v>91</v>
      </c>
      <c r="V919" t="s">
        <v>91</v>
      </c>
      <c r="W919" t="s">
        <v>91</v>
      </c>
      <c r="X919" t="s">
        <v>91</v>
      </c>
      <c r="Y919">
        <v>6039</v>
      </c>
      <c r="Z919">
        <v>0</v>
      </c>
      <c r="AA919" t="s">
        <v>42</v>
      </c>
      <c r="AB919" t="s">
        <v>35</v>
      </c>
      <c r="AC919">
        <v>12</v>
      </c>
      <c r="AD919">
        <v>3</v>
      </c>
      <c r="AE919">
        <v>4</v>
      </c>
      <c r="AF919">
        <v>80</v>
      </c>
      <c r="AG919">
        <v>0</v>
      </c>
      <c r="AH9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19">
        <v>4</v>
      </c>
      <c r="AJ919" t="s">
        <v>74</v>
      </c>
      <c r="AK919">
        <v>3</v>
      </c>
      <c r="AL919" t="s">
        <v>74</v>
      </c>
      <c r="AM919">
        <v>3</v>
      </c>
      <c r="AN919" t="s">
        <v>74</v>
      </c>
      <c r="AO919">
        <v>3</v>
      </c>
      <c r="AP919" t="s">
        <v>74</v>
      </c>
      <c r="AQ919">
        <v>2</v>
      </c>
      <c r="AR919">
        <v>0</v>
      </c>
      <c r="AS919">
        <v>2</v>
      </c>
    </row>
    <row r="920" spans="1:4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 t="str">
        <f>IF(Employee_data[[#This Row],[MonthlyIncome]]&lt;5000,"Low Income",
IF(Employee_data[[#This Row],[MonthlyIncome]]&lt;10000,"Medium Income","High Income"))</f>
        <v>High Income</v>
      </c>
      <c r="U920" t="s">
        <v>90</v>
      </c>
      <c r="V920" t="s">
        <v>90</v>
      </c>
      <c r="W920" t="s">
        <v>90</v>
      </c>
      <c r="X920" t="s">
        <v>90</v>
      </c>
      <c r="Y920">
        <v>19196</v>
      </c>
      <c r="Z920">
        <v>4</v>
      </c>
      <c r="AA920" t="s">
        <v>42</v>
      </c>
      <c r="AB920" t="s">
        <v>35</v>
      </c>
      <c r="AC920">
        <v>24</v>
      </c>
      <c r="AD920">
        <v>4</v>
      </c>
      <c r="AE920">
        <v>1</v>
      </c>
      <c r="AF920">
        <v>80</v>
      </c>
      <c r="AG920">
        <v>1</v>
      </c>
      <c r="AH9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920">
        <v>31</v>
      </c>
      <c r="AJ920" t="s">
        <v>77</v>
      </c>
      <c r="AK920">
        <v>5</v>
      </c>
      <c r="AL920" t="s">
        <v>77</v>
      </c>
      <c r="AM920">
        <v>2</v>
      </c>
      <c r="AN920" t="s">
        <v>77</v>
      </c>
      <c r="AO920">
        <v>29</v>
      </c>
      <c r="AP920" t="s">
        <v>77</v>
      </c>
      <c r="AQ920">
        <v>10</v>
      </c>
      <c r="AR920">
        <v>11</v>
      </c>
      <c r="AS920">
        <v>10</v>
      </c>
    </row>
    <row r="921" spans="1:4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 t="str">
        <f>IF(Employee_data[[#This Row],[MonthlyIncome]]&lt;5000,"Low Income",
IF(Employee_data[[#This Row],[MonthlyIncome]]&lt;10000,"Medium Income","High Income"))</f>
        <v>High Income</v>
      </c>
      <c r="U921" t="s">
        <v>90</v>
      </c>
      <c r="V921" t="s">
        <v>90</v>
      </c>
      <c r="W921" t="s">
        <v>90</v>
      </c>
      <c r="X921" t="s">
        <v>90</v>
      </c>
      <c r="Y921">
        <v>20002</v>
      </c>
      <c r="Z921">
        <v>6</v>
      </c>
      <c r="AA921" t="s">
        <v>42</v>
      </c>
      <c r="AB921" t="s">
        <v>43</v>
      </c>
      <c r="AC921">
        <v>12</v>
      </c>
      <c r="AD921">
        <v>3</v>
      </c>
      <c r="AE921">
        <v>4</v>
      </c>
      <c r="AF921">
        <v>80</v>
      </c>
      <c r="AG921">
        <v>0</v>
      </c>
      <c r="AH9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21">
        <v>25</v>
      </c>
      <c r="AJ921" t="s">
        <v>78</v>
      </c>
      <c r="AK921">
        <v>6</v>
      </c>
      <c r="AL921" t="s">
        <v>78</v>
      </c>
      <c r="AM921">
        <v>2</v>
      </c>
      <c r="AN921" t="s">
        <v>78</v>
      </c>
      <c r="AO921">
        <v>9</v>
      </c>
      <c r="AP921" t="s">
        <v>78</v>
      </c>
      <c r="AQ921">
        <v>7</v>
      </c>
      <c r="AR921">
        <v>5</v>
      </c>
      <c r="AS921">
        <v>4</v>
      </c>
    </row>
    <row r="922" spans="1:4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 t="str">
        <f>IF(Employee_data[[#This Row],[MonthlyIncome]]&lt;5000,"Low Income",
IF(Employee_data[[#This Row],[MonthlyIncome]]&lt;10000,"Medium Income","High Income"))</f>
        <v>Low Income</v>
      </c>
      <c r="U922" t="s">
        <v>91</v>
      </c>
      <c r="V922" t="s">
        <v>91</v>
      </c>
      <c r="W922" t="s">
        <v>91</v>
      </c>
      <c r="X922" t="s">
        <v>91</v>
      </c>
      <c r="Y922">
        <v>22534</v>
      </c>
      <c r="Z922">
        <v>4</v>
      </c>
      <c r="AA922" t="s">
        <v>42</v>
      </c>
      <c r="AB922" t="s">
        <v>43</v>
      </c>
      <c r="AC922">
        <v>13</v>
      </c>
      <c r="AD922">
        <v>3</v>
      </c>
      <c r="AE922">
        <v>3</v>
      </c>
      <c r="AF922">
        <v>80</v>
      </c>
      <c r="AG922">
        <v>2</v>
      </c>
      <c r="AH9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22">
        <v>15</v>
      </c>
      <c r="AJ922" t="s">
        <v>75</v>
      </c>
      <c r="AK922">
        <v>2</v>
      </c>
      <c r="AL922" t="s">
        <v>75</v>
      </c>
      <c r="AM922">
        <v>4</v>
      </c>
      <c r="AN922" t="s">
        <v>75</v>
      </c>
      <c r="AO922">
        <v>11</v>
      </c>
      <c r="AP922" t="s">
        <v>75</v>
      </c>
      <c r="AQ922">
        <v>8</v>
      </c>
      <c r="AR922">
        <v>5</v>
      </c>
      <c r="AS922">
        <v>10</v>
      </c>
    </row>
    <row r="923" spans="1:4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 t="str">
        <f>IF(Employee_data[[#This Row],[MonthlyIncome]]&lt;5000,"Low Income",
IF(Employee_data[[#This Row],[MonthlyIncome]]&lt;10000,"Medium Income","High Income"))</f>
        <v>Low Income</v>
      </c>
      <c r="U923" t="s">
        <v>91</v>
      </c>
      <c r="V923" t="s">
        <v>91</v>
      </c>
      <c r="W923" t="s">
        <v>91</v>
      </c>
      <c r="X923" t="s">
        <v>91</v>
      </c>
      <c r="Y923">
        <v>6842</v>
      </c>
      <c r="Z923">
        <v>0</v>
      </c>
      <c r="AA923" t="s">
        <v>42</v>
      </c>
      <c r="AB923" t="s">
        <v>35</v>
      </c>
      <c r="AC923">
        <v>11</v>
      </c>
      <c r="AD923">
        <v>3</v>
      </c>
      <c r="AE923">
        <v>3</v>
      </c>
      <c r="AF923">
        <v>80</v>
      </c>
      <c r="AG923">
        <v>0</v>
      </c>
      <c r="AH9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23">
        <v>5</v>
      </c>
      <c r="AJ923" t="s">
        <v>74</v>
      </c>
      <c r="AK923">
        <v>2</v>
      </c>
      <c r="AL923" t="s">
        <v>74</v>
      </c>
      <c r="AM923">
        <v>2</v>
      </c>
      <c r="AN923" t="s">
        <v>74</v>
      </c>
      <c r="AO923">
        <v>4</v>
      </c>
      <c r="AP923" t="s">
        <v>74</v>
      </c>
      <c r="AQ923">
        <v>2</v>
      </c>
      <c r="AR923">
        <v>0</v>
      </c>
      <c r="AS923">
        <v>2</v>
      </c>
    </row>
    <row r="924" spans="1:4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 t="str">
        <f>IF(Employee_data[[#This Row],[MonthlyIncome]]&lt;5000,"Low Income",
IF(Employee_data[[#This Row],[MonthlyIncome]]&lt;10000,"Medium Income","High Income"))</f>
        <v>High Income</v>
      </c>
      <c r="U924" t="s">
        <v>90</v>
      </c>
      <c r="V924" t="s">
        <v>90</v>
      </c>
      <c r="W924" t="s">
        <v>90</v>
      </c>
      <c r="X924" t="s">
        <v>90</v>
      </c>
      <c r="Y924">
        <v>17477</v>
      </c>
      <c r="Z924">
        <v>1</v>
      </c>
      <c r="AA924" t="s">
        <v>42</v>
      </c>
      <c r="AB924" t="s">
        <v>43</v>
      </c>
      <c r="AC924">
        <v>14</v>
      </c>
      <c r="AD924">
        <v>3</v>
      </c>
      <c r="AE924">
        <v>4</v>
      </c>
      <c r="AF924">
        <v>80</v>
      </c>
      <c r="AG924">
        <v>2</v>
      </c>
      <c r="AH9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924">
        <v>26</v>
      </c>
      <c r="AJ924" t="s">
        <v>77</v>
      </c>
      <c r="AK924">
        <v>4</v>
      </c>
      <c r="AL924" t="s">
        <v>77</v>
      </c>
      <c r="AM924">
        <v>2</v>
      </c>
      <c r="AN924" t="s">
        <v>77</v>
      </c>
      <c r="AO924">
        <v>25</v>
      </c>
      <c r="AP924" t="s">
        <v>77</v>
      </c>
      <c r="AQ924">
        <v>9</v>
      </c>
      <c r="AR924">
        <v>14</v>
      </c>
      <c r="AS924">
        <v>13</v>
      </c>
    </row>
    <row r="925" spans="1:4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 t="str">
        <f>IF(Employee_data[[#This Row],[MonthlyIncome]]&lt;5000,"Low Income",
IF(Employee_data[[#This Row],[MonthlyIncome]]&lt;10000,"Medium Income","High Income"))</f>
        <v>Low Income</v>
      </c>
      <c r="U925" t="s">
        <v>91</v>
      </c>
      <c r="V925" t="s">
        <v>91</v>
      </c>
      <c r="W925" t="s">
        <v>91</v>
      </c>
      <c r="X925" t="s">
        <v>91</v>
      </c>
      <c r="Y925">
        <v>21833</v>
      </c>
      <c r="Z925">
        <v>4</v>
      </c>
      <c r="AA925" t="s">
        <v>42</v>
      </c>
      <c r="AB925" t="s">
        <v>43</v>
      </c>
      <c r="AC925">
        <v>11</v>
      </c>
      <c r="AD925">
        <v>3</v>
      </c>
      <c r="AE925">
        <v>4</v>
      </c>
      <c r="AF925">
        <v>80</v>
      </c>
      <c r="AG925">
        <v>2</v>
      </c>
      <c r="AH9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25">
        <v>14</v>
      </c>
      <c r="AJ925" t="s">
        <v>75</v>
      </c>
      <c r="AK925">
        <v>5</v>
      </c>
      <c r="AL925" t="s">
        <v>75</v>
      </c>
      <c r="AM925">
        <v>4</v>
      </c>
      <c r="AN925" t="s">
        <v>75</v>
      </c>
      <c r="AO925">
        <v>10</v>
      </c>
      <c r="AP925" t="s">
        <v>75</v>
      </c>
      <c r="AQ925">
        <v>9</v>
      </c>
      <c r="AR925">
        <v>1</v>
      </c>
      <c r="AS925">
        <v>8</v>
      </c>
    </row>
    <row r="926" spans="1:4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 t="str">
        <f>IF(Employee_data[[#This Row],[MonthlyIncome]]&lt;5000,"Low Income",
IF(Employee_data[[#This Row],[MonthlyIncome]]&lt;10000,"Medium Income","High Income"))</f>
        <v>Low Income</v>
      </c>
      <c r="U926" t="s">
        <v>91</v>
      </c>
      <c r="V926" t="s">
        <v>91</v>
      </c>
      <c r="W926" t="s">
        <v>91</v>
      </c>
      <c r="X926" t="s">
        <v>91</v>
      </c>
      <c r="Y926">
        <v>6020</v>
      </c>
      <c r="Z926">
        <v>0</v>
      </c>
      <c r="AA926" t="s">
        <v>42</v>
      </c>
      <c r="AB926" t="s">
        <v>35</v>
      </c>
      <c r="AC926">
        <v>14</v>
      </c>
      <c r="AD926">
        <v>3</v>
      </c>
      <c r="AE926">
        <v>4</v>
      </c>
      <c r="AF926">
        <v>80</v>
      </c>
      <c r="AG926">
        <v>0</v>
      </c>
      <c r="AH9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26">
        <v>4</v>
      </c>
      <c r="AJ926" t="s">
        <v>74</v>
      </c>
      <c r="AK926">
        <v>3</v>
      </c>
      <c r="AL926" t="s">
        <v>74</v>
      </c>
      <c r="AM926">
        <v>3</v>
      </c>
      <c r="AN926" t="s">
        <v>74</v>
      </c>
      <c r="AO926">
        <v>3</v>
      </c>
      <c r="AP926" t="s">
        <v>74</v>
      </c>
      <c r="AQ926">
        <v>2</v>
      </c>
      <c r="AR926">
        <v>2</v>
      </c>
      <c r="AS926">
        <v>2</v>
      </c>
    </row>
    <row r="927" spans="1:4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 t="str">
        <f>IF(Employee_data[[#This Row],[MonthlyIncome]]&lt;5000,"Low Income",
IF(Employee_data[[#This Row],[MonthlyIncome]]&lt;10000,"Medium Income","High Income"))</f>
        <v>Low Income</v>
      </c>
      <c r="U927" t="s">
        <v>91</v>
      </c>
      <c r="V927" t="s">
        <v>91</v>
      </c>
      <c r="W927" t="s">
        <v>91</v>
      </c>
      <c r="X927" t="s">
        <v>91</v>
      </c>
      <c r="Y927">
        <v>5628</v>
      </c>
      <c r="Z927">
        <v>6</v>
      </c>
      <c r="AA927" t="s">
        <v>42</v>
      </c>
      <c r="AB927" t="s">
        <v>35</v>
      </c>
      <c r="AC927">
        <v>16</v>
      </c>
      <c r="AD927">
        <v>3</v>
      </c>
      <c r="AE927">
        <v>4</v>
      </c>
      <c r="AF927">
        <v>80</v>
      </c>
      <c r="AG927">
        <v>0</v>
      </c>
      <c r="AH9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27">
        <v>18</v>
      </c>
      <c r="AJ927" t="s">
        <v>74</v>
      </c>
      <c r="AK927">
        <v>2</v>
      </c>
      <c r="AL927" t="s">
        <v>74</v>
      </c>
      <c r="AM927">
        <v>3</v>
      </c>
      <c r="AN927" t="s">
        <v>74</v>
      </c>
      <c r="AO927">
        <v>1</v>
      </c>
      <c r="AP927" t="s">
        <v>74</v>
      </c>
      <c r="AQ927">
        <v>0</v>
      </c>
      <c r="AR927">
        <v>0</v>
      </c>
      <c r="AS927">
        <v>0</v>
      </c>
    </row>
    <row r="928" spans="1:4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 t="str">
        <f>IF(Employee_data[[#This Row],[MonthlyIncome]]&lt;5000,"Low Income",
IF(Employee_data[[#This Row],[MonthlyIncome]]&lt;10000,"Medium Income","High Income"))</f>
        <v>High Income</v>
      </c>
      <c r="U928" t="s">
        <v>90</v>
      </c>
      <c r="V928" t="s">
        <v>90</v>
      </c>
      <c r="W928" t="s">
        <v>90</v>
      </c>
      <c r="X928" t="s">
        <v>90</v>
      </c>
      <c r="Y928">
        <v>20364</v>
      </c>
      <c r="Z928">
        <v>3</v>
      </c>
      <c r="AA928" t="s">
        <v>42</v>
      </c>
      <c r="AB928" t="s">
        <v>43</v>
      </c>
      <c r="AC928">
        <v>14</v>
      </c>
      <c r="AD928">
        <v>3</v>
      </c>
      <c r="AE928">
        <v>4</v>
      </c>
      <c r="AF928">
        <v>80</v>
      </c>
      <c r="AG928">
        <v>0</v>
      </c>
      <c r="AH9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28">
        <v>23</v>
      </c>
      <c r="AJ928" t="s">
        <v>76</v>
      </c>
      <c r="AK928">
        <v>3</v>
      </c>
      <c r="AL928" t="s">
        <v>76</v>
      </c>
      <c r="AM928">
        <v>4</v>
      </c>
      <c r="AN928" t="s">
        <v>76</v>
      </c>
      <c r="AO928">
        <v>21</v>
      </c>
      <c r="AP928" t="s">
        <v>76</v>
      </c>
      <c r="AQ928">
        <v>7</v>
      </c>
      <c r="AR928">
        <v>15</v>
      </c>
      <c r="AS928">
        <v>17</v>
      </c>
    </row>
    <row r="929" spans="1:4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 t="str">
        <f>IF(Employee_data[[#This Row],[MonthlyIncome]]&lt;5000,"Low Income",
IF(Employee_data[[#This Row],[MonthlyIncome]]&lt;10000,"Medium Income","High Income"))</f>
        <v>Medium Income</v>
      </c>
      <c r="U929" t="s">
        <v>92</v>
      </c>
      <c r="V929" t="s">
        <v>92</v>
      </c>
      <c r="W929" t="s">
        <v>92</v>
      </c>
      <c r="X929" t="s">
        <v>92</v>
      </c>
      <c r="Y929">
        <v>2323</v>
      </c>
      <c r="Z929">
        <v>9</v>
      </c>
      <c r="AA929" t="s">
        <v>42</v>
      </c>
      <c r="AB929" t="s">
        <v>35</v>
      </c>
      <c r="AC929">
        <v>11</v>
      </c>
      <c r="AD929">
        <v>3</v>
      </c>
      <c r="AE929">
        <v>4</v>
      </c>
      <c r="AF929">
        <v>80</v>
      </c>
      <c r="AG929">
        <v>0</v>
      </c>
      <c r="AH9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29">
        <v>18</v>
      </c>
      <c r="AJ929" t="s">
        <v>76</v>
      </c>
      <c r="AK929">
        <v>2</v>
      </c>
      <c r="AL929" t="s">
        <v>76</v>
      </c>
      <c r="AM929">
        <v>3</v>
      </c>
      <c r="AN929" t="s">
        <v>76</v>
      </c>
      <c r="AO929">
        <v>16</v>
      </c>
      <c r="AP929" t="s">
        <v>76</v>
      </c>
      <c r="AQ929">
        <v>14</v>
      </c>
      <c r="AR929">
        <v>5</v>
      </c>
      <c r="AS929">
        <v>12</v>
      </c>
    </row>
    <row r="930" spans="1:4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 t="str">
        <f>IF(Employee_data[[#This Row],[MonthlyIncome]]&lt;5000,"Low Income",
IF(Employee_data[[#This Row],[MonthlyIncome]]&lt;10000,"Medium Income","High Income"))</f>
        <v>Medium Income</v>
      </c>
      <c r="U930" t="s">
        <v>92</v>
      </c>
      <c r="V930" t="s">
        <v>92</v>
      </c>
      <c r="W930" t="s">
        <v>92</v>
      </c>
      <c r="X930" t="s">
        <v>92</v>
      </c>
      <c r="Y930">
        <v>14075</v>
      </c>
      <c r="Z930">
        <v>1</v>
      </c>
      <c r="AA930" t="s">
        <v>42</v>
      </c>
      <c r="AB930" t="s">
        <v>43</v>
      </c>
      <c r="AC930">
        <v>11</v>
      </c>
      <c r="AD930">
        <v>3</v>
      </c>
      <c r="AE930">
        <v>4</v>
      </c>
      <c r="AF930">
        <v>80</v>
      </c>
      <c r="AG930">
        <v>1</v>
      </c>
      <c r="AH9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30">
        <v>10</v>
      </c>
      <c r="AJ930" t="s">
        <v>75</v>
      </c>
      <c r="AK930">
        <v>2</v>
      </c>
      <c r="AL930" t="s">
        <v>75</v>
      </c>
      <c r="AM930">
        <v>3</v>
      </c>
      <c r="AN930" t="s">
        <v>75</v>
      </c>
      <c r="AO930">
        <v>10</v>
      </c>
      <c r="AP930" t="s">
        <v>75</v>
      </c>
      <c r="AQ930">
        <v>7</v>
      </c>
      <c r="AR930">
        <v>0</v>
      </c>
      <c r="AS930">
        <v>5</v>
      </c>
    </row>
    <row r="931" spans="1:4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 t="str">
        <f>IF(Employee_data[[#This Row],[MonthlyIncome]]&lt;5000,"Low Income",
IF(Employee_data[[#This Row],[MonthlyIncome]]&lt;10000,"Medium Income","High Income"))</f>
        <v>Low Income</v>
      </c>
      <c r="U931" t="s">
        <v>91</v>
      </c>
      <c r="V931" t="s">
        <v>91</v>
      </c>
      <c r="W931" t="s">
        <v>91</v>
      </c>
      <c r="X931" t="s">
        <v>91</v>
      </c>
      <c r="Y931">
        <v>14222</v>
      </c>
      <c r="Z931">
        <v>1</v>
      </c>
      <c r="AA931" t="s">
        <v>42</v>
      </c>
      <c r="AB931" t="s">
        <v>35</v>
      </c>
      <c r="AC931">
        <v>12</v>
      </c>
      <c r="AD931">
        <v>3</v>
      </c>
      <c r="AE931">
        <v>2</v>
      </c>
      <c r="AF931">
        <v>80</v>
      </c>
      <c r="AG931">
        <v>1</v>
      </c>
      <c r="AH9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31">
        <v>2</v>
      </c>
      <c r="AJ931" t="s">
        <v>74</v>
      </c>
      <c r="AK931">
        <v>2</v>
      </c>
      <c r="AL931" t="s">
        <v>74</v>
      </c>
      <c r="AM931">
        <v>3</v>
      </c>
      <c r="AN931" t="s">
        <v>74</v>
      </c>
      <c r="AO931">
        <v>2</v>
      </c>
      <c r="AP931" t="s">
        <v>74</v>
      </c>
      <c r="AQ931">
        <v>2</v>
      </c>
      <c r="AR931">
        <v>2</v>
      </c>
      <c r="AS931">
        <v>2</v>
      </c>
    </row>
    <row r="932" spans="1:4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 t="str">
        <f>IF(Employee_data[[#This Row],[MonthlyIncome]]&lt;5000,"Low Income",
IF(Employee_data[[#This Row],[MonthlyIncome]]&lt;10000,"Medium Income","High Income"))</f>
        <v>Low Income</v>
      </c>
      <c r="U932" t="s">
        <v>91</v>
      </c>
      <c r="V932" t="s">
        <v>91</v>
      </c>
      <c r="W932" t="s">
        <v>91</v>
      </c>
      <c r="X932" t="s">
        <v>91</v>
      </c>
      <c r="Y932">
        <v>4257</v>
      </c>
      <c r="Z932">
        <v>0</v>
      </c>
      <c r="AA932" t="s">
        <v>42</v>
      </c>
      <c r="AB932" t="s">
        <v>43</v>
      </c>
      <c r="AC932">
        <v>14</v>
      </c>
      <c r="AD932">
        <v>3</v>
      </c>
      <c r="AE932">
        <v>2</v>
      </c>
      <c r="AF932">
        <v>80</v>
      </c>
      <c r="AG932">
        <v>0</v>
      </c>
      <c r="AH9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32">
        <v>8</v>
      </c>
      <c r="AJ932" t="s">
        <v>78</v>
      </c>
      <c r="AK932">
        <v>6</v>
      </c>
      <c r="AL932" t="s">
        <v>78</v>
      </c>
      <c r="AM932">
        <v>2</v>
      </c>
      <c r="AN932" t="s">
        <v>78</v>
      </c>
      <c r="AO932">
        <v>7</v>
      </c>
      <c r="AP932" t="s">
        <v>78</v>
      </c>
      <c r="AQ932">
        <v>0</v>
      </c>
      <c r="AR932">
        <v>7</v>
      </c>
      <c r="AS932">
        <v>7</v>
      </c>
    </row>
    <row r="933" spans="1:4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 t="str">
        <f>IF(Employee_data[[#This Row],[MonthlyIncome]]&lt;5000,"Low Income",
IF(Employee_data[[#This Row],[MonthlyIncome]]&lt;10000,"Medium Income","High Income"))</f>
        <v>Low Income</v>
      </c>
      <c r="U933" t="s">
        <v>91</v>
      </c>
      <c r="V933" t="s">
        <v>91</v>
      </c>
      <c r="W933" t="s">
        <v>91</v>
      </c>
      <c r="X933" t="s">
        <v>91</v>
      </c>
      <c r="Y933">
        <v>12858</v>
      </c>
      <c r="Z933">
        <v>7</v>
      </c>
      <c r="AA933" t="s">
        <v>42</v>
      </c>
      <c r="AB933" t="s">
        <v>35</v>
      </c>
      <c r="AC933">
        <v>18</v>
      </c>
      <c r="AD933">
        <v>3</v>
      </c>
      <c r="AE933">
        <v>3</v>
      </c>
      <c r="AF933">
        <v>80</v>
      </c>
      <c r="AG933">
        <v>0</v>
      </c>
      <c r="AH9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33">
        <v>10</v>
      </c>
      <c r="AJ933" t="s">
        <v>78</v>
      </c>
      <c r="AK933">
        <v>3</v>
      </c>
      <c r="AL933" t="s">
        <v>78</v>
      </c>
      <c r="AM933">
        <v>3</v>
      </c>
      <c r="AN933" t="s">
        <v>78</v>
      </c>
      <c r="AO933">
        <v>8</v>
      </c>
      <c r="AP933" t="s">
        <v>78</v>
      </c>
      <c r="AQ933">
        <v>4</v>
      </c>
      <c r="AR933">
        <v>1</v>
      </c>
      <c r="AS933">
        <v>7</v>
      </c>
    </row>
    <row r="934" spans="1:4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 t="str">
        <f>IF(Employee_data[[#This Row],[MonthlyIncome]]&lt;5000,"Low Income",
IF(Employee_data[[#This Row],[MonthlyIncome]]&lt;10000,"Medium Income","High Income"))</f>
        <v>Low Income</v>
      </c>
      <c r="U934" t="s">
        <v>91</v>
      </c>
      <c r="V934" t="s">
        <v>91</v>
      </c>
      <c r="W934" t="s">
        <v>91</v>
      </c>
      <c r="X934" t="s">
        <v>91</v>
      </c>
      <c r="Y934">
        <v>17285</v>
      </c>
      <c r="Z934">
        <v>3</v>
      </c>
      <c r="AA934" t="s">
        <v>42</v>
      </c>
      <c r="AB934" t="s">
        <v>35</v>
      </c>
      <c r="AC934">
        <v>13</v>
      </c>
      <c r="AD934">
        <v>3</v>
      </c>
      <c r="AE934">
        <v>1</v>
      </c>
      <c r="AF934">
        <v>80</v>
      </c>
      <c r="AG934">
        <v>2</v>
      </c>
      <c r="AH9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34">
        <v>10</v>
      </c>
      <c r="AJ934" t="s">
        <v>78</v>
      </c>
      <c r="AK934">
        <v>2</v>
      </c>
      <c r="AL934" t="s">
        <v>78</v>
      </c>
      <c r="AM934">
        <v>3</v>
      </c>
      <c r="AN934" t="s">
        <v>78</v>
      </c>
      <c r="AO934">
        <v>7</v>
      </c>
      <c r="AP934" t="s">
        <v>78</v>
      </c>
      <c r="AQ934">
        <v>7</v>
      </c>
      <c r="AR934">
        <v>7</v>
      </c>
      <c r="AS934">
        <v>7</v>
      </c>
    </row>
    <row r="935" spans="1:4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 t="str">
        <f>IF(Employee_data[[#This Row],[MonthlyIncome]]&lt;5000,"Low Income",
IF(Employee_data[[#This Row],[MonthlyIncome]]&lt;10000,"Medium Income","High Income"))</f>
        <v>Low Income</v>
      </c>
      <c r="U935" t="s">
        <v>91</v>
      </c>
      <c r="V935" t="s">
        <v>91</v>
      </c>
      <c r="W935" t="s">
        <v>91</v>
      </c>
      <c r="X935" t="s">
        <v>91</v>
      </c>
      <c r="Y935">
        <v>4732</v>
      </c>
      <c r="Z935">
        <v>2</v>
      </c>
      <c r="AA935" t="s">
        <v>42</v>
      </c>
      <c r="AB935" t="s">
        <v>43</v>
      </c>
      <c r="AC935">
        <v>11</v>
      </c>
      <c r="AD935">
        <v>3</v>
      </c>
      <c r="AE935">
        <v>2</v>
      </c>
      <c r="AF935">
        <v>80</v>
      </c>
      <c r="AG935">
        <v>0</v>
      </c>
      <c r="AH9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35">
        <v>5</v>
      </c>
      <c r="AJ935" t="s">
        <v>74</v>
      </c>
      <c r="AK935">
        <v>2</v>
      </c>
      <c r="AL935" t="s">
        <v>74</v>
      </c>
      <c r="AM935">
        <v>2</v>
      </c>
      <c r="AN935" t="s">
        <v>74</v>
      </c>
      <c r="AO935">
        <v>3</v>
      </c>
      <c r="AP935" t="s">
        <v>74</v>
      </c>
      <c r="AQ935">
        <v>2</v>
      </c>
      <c r="AR935">
        <v>1</v>
      </c>
      <c r="AS935">
        <v>2</v>
      </c>
    </row>
    <row r="936" spans="1:4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 t="str">
        <f>IF(Employee_data[[#This Row],[MonthlyIncome]]&lt;5000,"Low Income",
IF(Employee_data[[#This Row],[MonthlyIncome]]&lt;10000,"Medium Income","High Income"))</f>
        <v>Low Income</v>
      </c>
      <c r="U936" t="s">
        <v>91</v>
      </c>
      <c r="V936" t="s">
        <v>91</v>
      </c>
      <c r="W936" t="s">
        <v>91</v>
      </c>
      <c r="X936" t="s">
        <v>91</v>
      </c>
      <c r="Y936">
        <v>18830</v>
      </c>
      <c r="Z936">
        <v>1</v>
      </c>
      <c r="AA936" t="s">
        <v>42</v>
      </c>
      <c r="AB936" t="s">
        <v>43</v>
      </c>
      <c r="AC936">
        <v>18</v>
      </c>
      <c r="AD936">
        <v>3</v>
      </c>
      <c r="AE936">
        <v>4</v>
      </c>
      <c r="AF936">
        <v>80</v>
      </c>
      <c r="AG936">
        <v>0</v>
      </c>
      <c r="AH9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36">
        <v>2</v>
      </c>
      <c r="AJ936" t="s">
        <v>74</v>
      </c>
      <c r="AK936">
        <v>3</v>
      </c>
      <c r="AL936" t="s">
        <v>74</v>
      </c>
      <c r="AM936">
        <v>2</v>
      </c>
      <c r="AN936" t="s">
        <v>74</v>
      </c>
      <c r="AO936">
        <v>2</v>
      </c>
      <c r="AP936" t="s">
        <v>74</v>
      </c>
      <c r="AQ936">
        <v>2</v>
      </c>
      <c r="AR936">
        <v>2</v>
      </c>
      <c r="AS936">
        <v>1</v>
      </c>
    </row>
    <row r="937" spans="1:4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 t="str">
        <f>IF(Employee_data[[#This Row],[MonthlyIncome]]&lt;5000,"Low Income",
IF(Employee_data[[#This Row],[MonthlyIncome]]&lt;10000,"Medium Income","High Income"))</f>
        <v>Medium Income</v>
      </c>
      <c r="U937" t="s">
        <v>92</v>
      </c>
      <c r="V937" t="s">
        <v>92</v>
      </c>
      <c r="W937" t="s">
        <v>92</v>
      </c>
      <c r="X937" t="s">
        <v>92</v>
      </c>
      <c r="Y937">
        <v>11693</v>
      </c>
      <c r="Z937">
        <v>1</v>
      </c>
      <c r="AA937" t="s">
        <v>42</v>
      </c>
      <c r="AB937" t="s">
        <v>43</v>
      </c>
      <c r="AC937">
        <v>15</v>
      </c>
      <c r="AD937">
        <v>3</v>
      </c>
      <c r="AE937">
        <v>3</v>
      </c>
      <c r="AF937">
        <v>80</v>
      </c>
      <c r="AG937">
        <v>2</v>
      </c>
      <c r="AH9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37">
        <v>10</v>
      </c>
      <c r="AJ937" t="s">
        <v>75</v>
      </c>
      <c r="AK937">
        <v>4</v>
      </c>
      <c r="AL937" t="s">
        <v>75</v>
      </c>
      <c r="AM937">
        <v>4</v>
      </c>
      <c r="AN937" t="s">
        <v>75</v>
      </c>
      <c r="AO937">
        <v>10</v>
      </c>
      <c r="AP937" t="s">
        <v>75</v>
      </c>
      <c r="AQ937">
        <v>7</v>
      </c>
      <c r="AR937">
        <v>0</v>
      </c>
      <c r="AS937">
        <v>8</v>
      </c>
    </row>
    <row r="938" spans="1:4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 t="str">
        <f>IF(Employee_data[[#This Row],[MonthlyIncome]]&lt;5000,"Low Income",
IF(Employee_data[[#This Row],[MonthlyIncome]]&lt;10000,"Medium Income","High Income"))</f>
        <v>High Income</v>
      </c>
      <c r="U938" t="s">
        <v>90</v>
      </c>
      <c r="V938" t="s">
        <v>90</v>
      </c>
      <c r="W938" t="s">
        <v>90</v>
      </c>
      <c r="X938" t="s">
        <v>90</v>
      </c>
      <c r="Y938">
        <v>13035</v>
      </c>
      <c r="Z938">
        <v>3</v>
      </c>
      <c r="AA938" t="s">
        <v>42</v>
      </c>
      <c r="AB938" t="s">
        <v>43</v>
      </c>
      <c r="AC938">
        <v>22</v>
      </c>
      <c r="AD938">
        <v>4</v>
      </c>
      <c r="AE938">
        <v>3</v>
      </c>
      <c r="AF938">
        <v>80</v>
      </c>
      <c r="AG938">
        <v>0</v>
      </c>
      <c r="AH9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38">
        <v>22</v>
      </c>
      <c r="AJ938" t="s">
        <v>74</v>
      </c>
      <c r="AK938">
        <v>4</v>
      </c>
      <c r="AL938" t="s">
        <v>74</v>
      </c>
      <c r="AM938">
        <v>3</v>
      </c>
      <c r="AN938" t="s">
        <v>74</v>
      </c>
      <c r="AO938">
        <v>0</v>
      </c>
      <c r="AP938" t="s">
        <v>74</v>
      </c>
      <c r="AQ938">
        <v>0</v>
      </c>
      <c r="AR938">
        <v>0</v>
      </c>
      <c r="AS938">
        <v>0</v>
      </c>
    </row>
    <row r="939" spans="1:4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 t="str">
        <f>IF(Employee_data[[#This Row],[MonthlyIncome]]&lt;5000,"Low Income",
IF(Employee_data[[#This Row],[MonthlyIncome]]&lt;10000,"Medium Income","High Income"))</f>
        <v>High Income</v>
      </c>
      <c r="U939" t="s">
        <v>90</v>
      </c>
      <c r="V939" t="s">
        <v>90</v>
      </c>
      <c r="W939" t="s">
        <v>90</v>
      </c>
      <c r="X939" t="s">
        <v>90</v>
      </c>
      <c r="Y939">
        <v>17334</v>
      </c>
      <c r="Z939">
        <v>6</v>
      </c>
      <c r="AA939" t="s">
        <v>42</v>
      </c>
      <c r="AB939" t="s">
        <v>35</v>
      </c>
      <c r="AC939">
        <v>13</v>
      </c>
      <c r="AD939">
        <v>3</v>
      </c>
      <c r="AE939">
        <v>4</v>
      </c>
      <c r="AF939">
        <v>80</v>
      </c>
      <c r="AG939">
        <v>2</v>
      </c>
      <c r="AH9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39">
        <v>21</v>
      </c>
      <c r="AJ939" t="s">
        <v>76</v>
      </c>
      <c r="AK939">
        <v>4</v>
      </c>
      <c r="AL939" t="s">
        <v>76</v>
      </c>
      <c r="AM939">
        <v>3</v>
      </c>
      <c r="AN939" t="s">
        <v>76</v>
      </c>
      <c r="AO939">
        <v>19</v>
      </c>
      <c r="AP939" t="s">
        <v>76</v>
      </c>
      <c r="AQ939">
        <v>9</v>
      </c>
      <c r="AR939">
        <v>15</v>
      </c>
      <c r="AS939">
        <v>2</v>
      </c>
    </row>
    <row r="940" spans="1:4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 t="str">
        <f>IF(Employee_data[[#This Row],[MonthlyIncome]]&lt;5000,"Low Income",
IF(Employee_data[[#This Row],[MonthlyIncome]]&lt;10000,"Medium Income","High Income"))</f>
        <v>Low Income</v>
      </c>
      <c r="U940" t="s">
        <v>91</v>
      </c>
      <c r="V940" t="s">
        <v>91</v>
      </c>
      <c r="W940" t="s">
        <v>91</v>
      </c>
      <c r="X940" t="s">
        <v>91</v>
      </c>
      <c r="Y940">
        <v>26076</v>
      </c>
      <c r="Z940">
        <v>1</v>
      </c>
      <c r="AA940" t="s">
        <v>42</v>
      </c>
      <c r="AB940" t="s">
        <v>43</v>
      </c>
      <c r="AC940">
        <v>12</v>
      </c>
      <c r="AD940">
        <v>3</v>
      </c>
      <c r="AE940">
        <v>4</v>
      </c>
      <c r="AF940">
        <v>80</v>
      </c>
      <c r="AG940">
        <v>2</v>
      </c>
      <c r="AH9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40">
        <v>2</v>
      </c>
      <c r="AJ940" t="s">
        <v>74</v>
      </c>
      <c r="AK940">
        <v>3</v>
      </c>
      <c r="AL940" t="s">
        <v>74</v>
      </c>
      <c r="AM940">
        <v>3</v>
      </c>
      <c r="AN940" t="s">
        <v>74</v>
      </c>
      <c r="AO940">
        <v>2</v>
      </c>
      <c r="AP940" t="s">
        <v>74</v>
      </c>
      <c r="AQ940">
        <v>2</v>
      </c>
      <c r="AR940">
        <v>2</v>
      </c>
      <c r="AS940">
        <v>2</v>
      </c>
    </row>
    <row r="941" spans="1:4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 t="str">
        <f>IF(Employee_data[[#This Row],[MonthlyIncome]]&lt;5000,"Low Income",
IF(Employee_data[[#This Row],[MonthlyIncome]]&lt;10000,"Medium Income","High Income"))</f>
        <v>Low Income</v>
      </c>
      <c r="U941" t="s">
        <v>91</v>
      </c>
      <c r="V941" t="s">
        <v>91</v>
      </c>
      <c r="W941" t="s">
        <v>91</v>
      </c>
      <c r="X941" t="s">
        <v>91</v>
      </c>
      <c r="Y941">
        <v>22845</v>
      </c>
      <c r="Z941">
        <v>1</v>
      </c>
      <c r="AA941" t="s">
        <v>42</v>
      </c>
      <c r="AB941" t="s">
        <v>43</v>
      </c>
      <c r="AC941">
        <v>18</v>
      </c>
      <c r="AD941">
        <v>3</v>
      </c>
      <c r="AE941">
        <v>1</v>
      </c>
      <c r="AF941">
        <v>80</v>
      </c>
      <c r="AG941">
        <v>1</v>
      </c>
      <c r="AH9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41">
        <v>10</v>
      </c>
      <c r="AJ941" t="s">
        <v>75</v>
      </c>
      <c r="AK941">
        <v>3</v>
      </c>
      <c r="AL941" t="s">
        <v>75</v>
      </c>
      <c r="AM941">
        <v>3</v>
      </c>
      <c r="AN941" t="s">
        <v>75</v>
      </c>
      <c r="AO941">
        <v>10</v>
      </c>
      <c r="AP941" t="s">
        <v>75</v>
      </c>
      <c r="AQ941">
        <v>4</v>
      </c>
      <c r="AR941">
        <v>1</v>
      </c>
      <c r="AS941">
        <v>1</v>
      </c>
    </row>
    <row r="942" spans="1:4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 t="str">
        <f>IF(Employee_data[[#This Row],[MonthlyIncome]]&lt;5000,"Low Income",
IF(Employee_data[[#This Row],[MonthlyIncome]]&lt;10000,"Medium Income","High Income"))</f>
        <v>Low Income</v>
      </c>
      <c r="U942" t="s">
        <v>91</v>
      </c>
      <c r="V942" t="s">
        <v>91</v>
      </c>
      <c r="W942" t="s">
        <v>91</v>
      </c>
      <c r="X942" t="s">
        <v>91</v>
      </c>
      <c r="Y942">
        <v>22154</v>
      </c>
      <c r="Z942">
        <v>0</v>
      </c>
      <c r="AA942" t="s">
        <v>42</v>
      </c>
      <c r="AB942" t="s">
        <v>43</v>
      </c>
      <c r="AC942">
        <v>13</v>
      </c>
      <c r="AD942">
        <v>3</v>
      </c>
      <c r="AE942">
        <v>1</v>
      </c>
      <c r="AF942">
        <v>80</v>
      </c>
      <c r="AG942">
        <v>0</v>
      </c>
      <c r="AH9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42">
        <v>6</v>
      </c>
      <c r="AJ942" t="s">
        <v>78</v>
      </c>
      <c r="AK942">
        <v>2</v>
      </c>
      <c r="AL942" t="s">
        <v>78</v>
      </c>
      <c r="AM942">
        <v>3</v>
      </c>
      <c r="AN942" t="s">
        <v>78</v>
      </c>
      <c r="AO942">
        <v>5</v>
      </c>
      <c r="AP942" t="s">
        <v>78</v>
      </c>
      <c r="AQ942">
        <v>2</v>
      </c>
      <c r="AR942">
        <v>0</v>
      </c>
      <c r="AS942">
        <v>3</v>
      </c>
    </row>
    <row r="943" spans="1:4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 t="str">
        <f>IF(Employee_data[[#This Row],[MonthlyIncome]]&lt;5000,"Low Income",
IF(Employee_data[[#This Row],[MonthlyIncome]]&lt;10000,"Medium Income","High Income"))</f>
        <v>Low Income</v>
      </c>
      <c r="U943" t="s">
        <v>91</v>
      </c>
      <c r="V943" t="s">
        <v>91</v>
      </c>
      <c r="W943" t="s">
        <v>91</v>
      </c>
      <c r="X943" t="s">
        <v>91</v>
      </c>
      <c r="Y943">
        <v>23631</v>
      </c>
      <c r="Z943">
        <v>0</v>
      </c>
      <c r="AA943" t="s">
        <v>42</v>
      </c>
      <c r="AB943" t="s">
        <v>43</v>
      </c>
      <c r="AC943">
        <v>12</v>
      </c>
      <c r="AD943">
        <v>3</v>
      </c>
      <c r="AE943">
        <v>1</v>
      </c>
      <c r="AF943">
        <v>80</v>
      </c>
      <c r="AG943">
        <v>1</v>
      </c>
      <c r="AH9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43">
        <v>10</v>
      </c>
      <c r="AJ943" t="s">
        <v>78</v>
      </c>
      <c r="AK943">
        <v>6</v>
      </c>
      <c r="AL943" t="s">
        <v>78</v>
      </c>
      <c r="AM943">
        <v>3</v>
      </c>
      <c r="AN943" t="s">
        <v>78</v>
      </c>
      <c r="AO943">
        <v>9</v>
      </c>
      <c r="AP943" t="s">
        <v>78</v>
      </c>
      <c r="AQ943">
        <v>2</v>
      </c>
      <c r="AR943">
        <v>6</v>
      </c>
      <c r="AS943">
        <v>7</v>
      </c>
    </row>
    <row r="944" spans="1:4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 t="str">
        <f>IF(Employee_data[[#This Row],[MonthlyIncome]]&lt;5000,"Low Income",
IF(Employee_data[[#This Row],[MonthlyIncome]]&lt;10000,"Medium Income","High Income"))</f>
        <v>Medium Income</v>
      </c>
      <c r="U944" t="s">
        <v>92</v>
      </c>
      <c r="V944" t="s">
        <v>92</v>
      </c>
      <c r="W944" t="s">
        <v>92</v>
      </c>
      <c r="X944" t="s">
        <v>92</v>
      </c>
      <c r="Y944">
        <v>5747</v>
      </c>
      <c r="Z944">
        <v>3</v>
      </c>
      <c r="AA944" t="s">
        <v>42</v>
      </c>
      <c r="AB944" t="s">
        <v>43</v>
      </c>
      <c r="AC944">
        <v>12</v>
      </c>
      <c r="AD944">
        <v>3</v>
      </c>
      <c r="AE944">
        <v>1</v>
      </c>
      <c r="AF944">
        <v>80</v>
      </c>
      <c r="AG944">
        <v>0</v>
      </c>
      <c r="AH9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44">
        <v>10</v>
      </c>
      <c r="AJ944" t="s">
        <v>78</v>
      </c>
      <c r="AK944">
        <v>0</v>
      </c>
      <c r="AL944" t="s">
        <v>78</v>
      </c>
      <c r="AM944">
        <v>3</v>
      </c>
      <c r="AN944" t="s">
        <v>78</v>
      </c>
      <c r="AO944">
        <v>7</v>
      </c>
      <c r="AP944" t="s">
        <v>78</v>
      </c>
      <c r="AQ944">
        <v>7</v>
      </c>
      <c r="AR944">
        <v>1</v>
      </c>
      <c r="AS944">
        <v>7</v>
      </c>
    </row>
    <row r="945" spans="1:4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 t="str">
        <f>IF(Employee_data[[#This Row],[MonthlyIncome]]&lt;5000,"Low Income",
IF(Employee_data[[#This Row],[MonthlyIncome]]&lt;10000,"Medium Income","High Income"))</f>
        <v>Low Income</v>
      </c>
      <c r="U945" t="s">
        <v>91</v>
      </c>
      <c r="V945" t="s">
        <v>91</v>
      </c>
      <c r="W945" t="s">
        <v>91</v>
      </c>
      <c r="X945" t="s">
        <v>91</v>
      </c>
      <c r="Y945">
        <v>22957</v>
      </c>
      <c r="Z945">
        <v>6</v>
      </c>
      <c r="AA945" t="s">
        <v>42</v>
      </c>
      <c r="AB945" t="s">
        <v>43</v>
      </c>
      <c r="AC945">
        <v>12</v>
      </c>
      <c r="AD945">
        <v>3</v>
      </c>
      <c r="AE945">
        <v>3</v>
      </c>
      <c r="AF945">
        <v>80</v>
      </c>
      <c r="AG945">
        <v>0</v>
      </c>
      <c r="AH9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45">
        <v>10</v>
      </c>
      <c r="AJ945" t="s">
        <v>78</v>
      </c>
      <c r="AK945">
        <v>3</v>
      </c>
      <c r="AL945" t="s">
        <v>78</v>
      </c>
      <c r="AM945">
        <v>4</v>
      </c>
      <c r="AN945" t="s">
        <v>78</v>
      </c>
      <c r="AO945">
        <v>7</v>
      </c>
      <c r="AP945" t="s">
        <v>78</v>
      </c>
      <c r="AQ945">
        <v>6</v>
      </c>
      <c r="AR945">
        <v>5</v>
      </c>
      <c r="AS945">
        <v>7</v>
      </c>
    </row>
    <row r="946" spans="1:4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 t="str">
        <f>IF(Employee_data[[#This Row],[MonthlyIncome]]&lt;5000,"Low Income",
IF(Employee_data[[#This Row],[MonthlyIncome]]&lt;10000,"Medium Income","High Income"))</f>
        <v>Medium Income</v>
      </c>
      <c r="U946" t="s">
        <v>92</v>
      </c>
      <c r="V946" t="s">
        <v>92</v>
      </c>
      <c r="W946" t="s">
        <v>92</v>
      </c>
      <c r="X946" t="s">
        <v>92</v>
      </c>
      <c r="Y946">
        <v>16392</v>
      </c>
      <c r="Z946">
        <v>0</v>
      </c>
      <c r="AA946" t="s">
        <v>42</v>
      </c>
      <c r="AB946" t="s">
        <v>43</v>
      </c>
      <c r="AC946">
        <v>11</v>
      </c>
      <c r="AD946">
        <v>3</v>
      </c>
      <c r="AE946">
        <v>1</v>
      </c>
      <c r="AF946">
        <v>80</v>
      </c>
      <c r="AG946">
        <v>3</v>
      </c>
      <c r="AH9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46">
        <v>10</v>
      </c>
      <c r="AJ946" t="s">
        <v>78</v>
      </c>
      <c r="AK946">
        <v>6</v>
      </c>
      <c r="AL946" t="s">
        <v>78</v>
      </c>
      <c r="AM946">
        <v>3</v>
      </c>
      <c r="AN946" t="s">
        <v>78</v>
      </c>
      <c r="AO946">
        <v>9</v>
      </c>
      <c r="AP946" t="s">
        <v>78</v>
      </c>
      <c r="AQ946">
        <v>8</v>
      </c>
      <c r="AR946">
        <v>7</v>
      </c>
      <c r="AS946">
        <v>5</v>
      </c>
    </row>
    <row r="947" spans="1:4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 t="str">
        <f>IF(Employee_data[[#This Row],[MonthlyIncome]]&lt;5000,"Low Income",
IF(Employee_data[[#This Row],[MonthlyIncome]]&lt;10000,"Medium Income","High Income"))</f>
        <v>High Income</v>
      </c>
      <c r="U947" t="s">
        <v>90</v>
      </c>
      <c r="V947" t="s">
        <v>90</v>
      </c>
      <c r="W947" t="s">
        <v>90</v>
      </c>
      <c r="X947" t="s">
        <v>90</v>
      </c>
      <c r="Y947">
        <v>22422</v>
      </c>
      <c r="Z947">
        <v>4</v>
      </c>
      <c r="AA947" t="s">
        <v>42</v>
      </c>
      <c r="AB947" t="s">
        <v>35</v>
      </c>
      <c r="AC947">
        <v>11</v>
      </c>
      <c r="AD947">
        <v>3</v>
      </c>
      <c r="AE947">
        <v>2</v>
      </c>
      <c r="AF947">
        <v>80</v>
      </c>
      <c r="AG947">
        <v>0</v>
      </c>
      <c r="AH9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47">
        <v>25</v>
      </c>
      <c r="AJ947" t="s">
        <v>74</v>
      </c>
      <c r="AK947">
        <v>2</v>
      </c>
      <c r="AL947" t="s">
        <v>74</v>
      </c>
      <c r="AM947">
        <v>3</v>
      </c>
      <c r="AN947" t="s">
        <v>74</v>
      </c>
      <c r="AO947">
        <v>3</v>
      </c>
      <c r="AP947" t="s">
        <v>74</v>
      </c>
      <c r="AQ947">
        <v>2</v>
      </c>
      <c r="AR947">
        <v>1</v>
      </c>
      <c r="AS947">
        <v>2</v>
      </c>
    </row>
    <row r="948" spans="1:4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 t="str">
        <f>IF(Employee_data[[#This Row],[MonthlyIncome]]&lt;5000,"Low Income",
IF(Employee_data[[#This Row],[MonthlyIncome]]&lt;10000,"Medium Income","High Income"))</f>
        <v>Medium Income</v>
      </c>
      <c r="U948" t="s">
        <v>92</v>
      </c>
      <c r="V948" t="s">
        <v>92</v>
      </c>
      <c r="W948" t="s">
        <v>92</v>
      </c>
      <c r="X948" t="s">
        <v>92</v>
      </c>
      <c r="Y948">
        <v>17235</v>
      </c>
      <c r="Z948">
        <v>2</v>
      </c>
      <c r="AA948" t="s">
        <v>42</v>
      </c>
      <c r="AB948" t="s">
        <v>35</v>
      </c>
      <c r="AC948">
        <v>12</v>
      </c>
      <c r="AD948">
        <v>3</v>
      </c>
      <c r="AE948">
        <v>3</v>
      </c>
      <c r="AF948">
        <v>80</v>
      </c>
      <c r="AG948">
        <v>0</v>
      </c>
      <c r="AH9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48">
        <v>9</v>
      </c>
      <c r="AJ948" t="s">
        <v>78</v>
      </c>
      <c r="AK948">
        <v>2</v>
      </c>
      <c r="AL948" t="s">
        <v>78</v>
      </c>
      <c r="AM948">
        <v>3</v>
      </c>
      <c r="AN948" t="s">
        <v>78</v>
      </c>
      <c r="AO948">
        <v>5</v>
      </c>
      <c r="AP948" t="s">
        <v>78</v>
      </c>
      <c r="AQ948">
        <v>4</v>
      </c>
      <c r="AR948">
        <v>1</v>
      </c>
      <c r="AS948">
        <v>0</v>
      </c>
    </row>
    <row r="949" spans="1:4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 t="str">
        <f>IF(Employee_data[[#This Row],[MonthlyIncome]]&lt;5000,"Low Income",
IF(Employee_data[[#This Row],[MonthlyIncome]]&lt;10000,"Medium Income","High Income"))</f>
        <v>Medium Income</v>
      </c>
      <c r="U949" t="s">
        <v>92</v>
      </c>
      <c r="V949" t="s">
        <v>92</v>
      </c>
      <c r="W949" t="s">
        <v>92</v>
      </c>
      <c r="X949" t="s">
        <v>92</v>
      </c>
      <c r="Y949">
        <v>21534</v>
      </c>
      <c r="Z949">
        <v>9</v>
      </c>
      <c r="AA949" t="s">
        <v>42</v>
      </c>
      <c r="AB949" t="s">
        <v>35</v>
      </c>
      <c r="AC949">
        <v>19</v>
      </c>
      <c r="AD949">
        <v>3</v>
      </c>
      <c r="AE949">
        <v>3</v>
      </c>
      <c r="AF949">
        <v>80</v>
      </c>
      <c r="AG949">
        <v>0</v>
      </c>
      <c r="AH9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49">
        <v>10</v>
      </c>
      <c r="AJ949" t="s">
        <v>78</v>
      </c>
      <c r="AK949">
        <v>2</v>
      </c>
      <c r="AL949" t="s">
        <v>78</v>
      </c>
      <c r="AM949">
        <v>2</v>
      </c>
      <c r="AN949" t="s">
        <v>78</v>
      </c>
      <c r="AO949">
        <v>8</v>
      </c>
      <c r="AP949" t="s">
        <v>78</v>
      </c>
      <c r="AQ949">
        <v>7</v>
      </c>
      <c r="AR949">
        <v>7</v>
      </c>
      <c r="AS949">
        <v>7</v>
      </c>
    </row>
    <row r="950" spans="1:4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 t="str">
        <f>IF(Employee_data[[#This Row],[MonthlyIncome]]&lt;5000,"Low Income",
IF(Employee_data[[#This Row],[MonthlyIncome]]&lt;10000,"Medium Income","High Income"))</f>
        <v>High Income</v>
      </c>
      <c r="U950" t="s">
        <v>90</v>
      </c>
      <c r="V950" t="s">
        <v>90</v>
      </c>
      <c r="W950" t="s">
        <v>90</v>
      </c>
      <c r="X950" t="s">
        <v>90</v>
      </c>
      <c r="Y950">
        <v>25927</v>
      </c>
      <c r="Z950">
        <v>1</v>
      </c>
      <c r="AA950" t="s">
        <v>42</v>
      </c>
      <c r="AB950" t="s">
        <v>35</v>
      </c>
      <c r="AC950">
        <v>23</v>
      </c>
      <c r="AD950">
        <v>4</v>
      </c>
      <c r="AE950">
        <v>4</v>
      </c>
      <c r="AF950">
        <v>80</v>
      </c>
      <c r="AG950">
        <v>2</v>
      </c>
      <c r="AH9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50">
        <v>9</v>
      </c>
      <c r="AJ950" t="s">
        <v>78</v>
      </c>
      <c r="AK950">
        <v>2</v>
      </c>
      <c r="AL950" t="s">
        <v>78</v>
      </c>
      <c r="AM950">
        <v>3</v>
      </c>
      <c r="AN950" t="s">
        <v>78</v>
      </c>
      <c r="AO950">
        <v>9</v>
      </c>
      <c r="AP950" t="s">
        <v>78</v>
      </c>
      <c r="AQ950">
        <v>1</v>
      </c>
      <c r="AR950">
        <v>0</v>
      </c>
      <c r="AS950">
        <v>8</v>
      </c>
    </row>
    <row r="951" spans="1:4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 t="str">
        <f>IF(Employee_data[[#This Row],[MonthlyIncome]]&lt;5000,"Low Income",
IF(Employee_data[[#This Row],[MonthlyIncome]]&lt;10000,"Medium Income","High Income"))</f>
        <v>Low Income</v>
      </c>
      <c r="U951" t="s">
        <v>91</v>
      </c>
      <c r="V951" t="s">
        <v>91</v>
      </c>
      <c r="W951" t="s">
        <v>91</v>
      </c>
      <c r="X951" t="s">
        <v>91</v>
      </c>
      <c r="Y951">
        <v>13352</v>
      </c>
      <c r="Z951">
        <v>0</v>
      </c>
      <c r="AA951" t="s">
        <v>42</v>
      </c>
      <c r="AB951" t="s">
        <v>43</v>
      </c>
      <c r="AC951">
        <v>11</v>
      </c>
      <c r="AD951">
        <v>3</v>
      </c>
      <c r="AE951">
        <v>1</v>
      </c>
      <c r="AF951">
        <v>80</v>
      </c>
      <c r="AG951">
        <v>0</v>
      </c>
      <c r="AH9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51">
        <v>9</v>
      </c>
      <c r="AJ951" t="s">
        <v>78</v>
      </c>
      <c r="AK951">
        <v>6</v>
      </c>
      <c r="AL951" t="s">
        <v>78</v>
      </c>
      <c r="AM951">
        <v>3</v>
      </c>
      <c r="AN951" t="s">
        <v>78</v>
      </c>
      <c r="AO951">
        <v>8</v>
      </c>
      <c r="AP951" t="s">
        <v>78</v>
      </c>
      <c r="AQ951">
        <v>7</v>
      </c>
      <c r="AR951">
        <v>1</v>
      </c>
      <c r="AS951">
        <v>7</v>
      </c>
    </row>
    <row r="952" spans="1:4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 t="str">
        <f>IF(Employee_data[[#This Row],[MonthlyIncome]]&lt;5000,"Low Income",
IF(Employee_data[[#This Row],[MonthlyIncome]]&lt;10000,"Medium Income","High Income"))</f>
        <v>Medium Income</v>
      </c>
      <c r="U952" t="s">
        <v>92</v>
      </c>
      <c r="V952" t="s">
        <v>92</v>
      </c>
      <c r="W952" t="s">
        <v>92</v>
      </c>
      <c r="X952" t="s">
        <v>92</v>
      </c>
      <c r="Y952">
        <v>8935</v>
      </c>
      <c r="Z952">
        <v>1</v>
      </c>
      <c r="AA952" t="s">
        <v>42</v>
      </c>
      <c r="AB952" t="s">
        <v>35</v>
      </c>
      <c r="AC952">
        <v>19</v>
      </c>
      <c r="AD952">
        <v>3</v>
      </c>
      <c r="AE952">
        <v>1</v>
      </c>
      <c r="AF952">
        <v>80</v>
      </c>
      <c r="AG952">
        <v>1</v>
      </c>
      <c r="AH9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52">
        <v>10</v>
      </c>
      <c r="AJ952" t="s">
        <v>75</v>
      </c>
      <c r="AK952">
        <v>5</v>
      </c>
      <c r="AL952" t="s">
        <v>75</v>
      </c>
      <c r="AM952">
        <v>2</v>
      </c>
      <c r="AN952" t="s">
        <v>75</v>
      </c>
      <c r="AO952">
        <v>10</v>
      </c>
      <c r="AP952" t="s">
        <v>75</v>
      </c>
      <c r="AQ952">
        <v>8</v>
      </c>
      <c r="AR952">
        <v>9</v>
      </c>
      <c r="AS952">
        <v>6</v>
      </c>
    </row>
    <row r="953" spans="1:4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 t="str">
        <f>IF(Employee_data[[#This Row],[MonthlyIncome]]&lt;5000,"Low Income",
IF(Employee_data[[#This Row],[MonthlyIncome]]&lt;10000,"Medium Income","High Income"))</f>
        <v>Medium Income</v>
      </c>
      <c r="U953" t="s">
        <v>92</v>
      </c>
      <c r="V953" t="s">
        <v>92</v>
      </c>
      <c r="W953" t="s">
        <v>92</v>
      </c>
      <c r="X953" t="s">
        <v>92</v>
      </c>
      <c r="Y953">
        <v>22074</v>
      </c>
      <c r="Z953">
        <v>1</v>
      </c>
      <c r="AA953" t="s">
        <v>42</v>
      </c>
      <c r="AB953" t="s">
        <v>43</v>
      </c>
      <c r="AC953">
        <v>13</v>
      </c>
      <c r="AD953">
        <v>3</v>
      </c>
      <c r="AE953">
        <v>1</v>
      </c>
      <c r="AF953">
        <v>80</v>
      </c>
      <c r="AG953">
        <v>0</v>
      </c>
      <c r="AH9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53">
        <v>19</v>
      </c>
      <c r="AJ953" t="s">
        <v>76</v>
      </c>
      <c r="AK953">
        <v>4</v>
      </c>
      <c r="AL953" t="s">
        <v>76</v>
      </c>
      <c r="AM953">
        <v>3</v>
      </c>
      <c r="AN953" t="s">
        <v>76</v>
      </c>
      <c r="AO953">
        <v>19</v>
      </c>
      <c r="AP953" t="s">
        <v>76</v>
      </c>
      <c r="AQ953">
        <v>2</v>
      </c>
      <c r="AR953">
        <v>11</v>
      </c>
      <c r="AS953">
        <v>9</v>
      </c>
    </row>
    <row r="954" spans="1:4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 t="str">
        <f>IF(Employee_data[[#This Row],[MonthlyIncome]]&lt;5000,"Low Income",
IF(Employee_data[[#This Row],[MonthlyIncome]]&lt;10000,"Medium Income","High Income"))</f>
        <v>Low Income</v>
      </c>
      <c r="U954" t="s">
        <v>91</v>
      </c>
      <c r="V954" t="s">
        <v>91</v>
      </c>
      <c r="W954" t="s">
        <v>91</v>
      </c>
      <c r="X954" t="s">
        <v>91</v>
      </c>
      <c r="Y954">
        <v>8319</v>
      </c>
      <c r="Z954">
        <v>1</v>
      </c>
      <c r="AA954" t="s">
        <v>42</v>
      </c>
      <c r="AB954" t="s">
        <v>35</v>
      </c>
      <c r="AC954">
        <v>11</v>
      </c>
      <c r="AD954">
        <v>3</v>
      </c>
      <c r="AE954">
        <v>1</v>
      </c>
      <c r="AF954">
        <v>80</v>
      </c>
      <c r="AG954">
        <v>0</v>
      </c>
      <c r="AH9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54">
        <v>3</v>
      </c>
      <c r="AJ954" t="s">
        <v>74</v>
      </c>
      <c r="AK954">
        <v>2</v>
      </c>
      <c r="AL954" t="s">
        <v>74</v>
      </c>
      <c r="AM954">
        <v>4</v>
      </c>
      <c r="AN954" t="s">
        <v>74</v>
      </c>
      <c r="AO954">
        <v>3</v>
      </c>
      <c r="AP954" t="s">
        <v>74</v>
      </c>
      <c r="AQ954">
        <v>2</v>
      </c>
      <c r="AR954">
        <v>2</v>
      </c>
      <c r="AS954">
        <v>2</v>
      </c>
    </row>
    <row r="955" spans="1:4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 t="str">
        <f>IF(Employee_data[[#This Row],[MonthlyIncome]]&lt;5000,"Low Income",
IF(Employee_data[[#This Row],[MonthlyIncome]]&lt;10000,"Medium Income","High Income"))</f>
        <v>Low Income</v>
      </c>
      <c r="U955" t="s">
        <v>91</v>
      </c>
      <c r="V955" t="s">
        <v>91</v>
      </c>
      <c r="W955" t="s">
        <v>91</v>
      </c>
      <c r="X955" t="s">
        <v>91</v>
      </c>
      <c r="Y955">
        <v>14669</v>
      </c>
      <c r="Z955">
        <v>4</v>
      </c>
      <c r="AA955" t="s">
        <v>42</v>
      </c>
      <c r="AB955" t="s">
        <v>43</v>
      </c>
      <c r="AC955">
        <v>12</v>
      </c>
      <c r="AD955">
        <v>3</v>
      </c>
      <c r="AE955">
        <v>3</v>
      </c>
      <c r="AF955">
        <v>80</v>
      </c>
      <c r="AG955">
        <v>0</v>
      </c>
      <c r="AH9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55">
        <v>10</v>
      </c>
      <c r="AJ955" t="s">
        <v>74</v>
      </c>
      <c r="AK955">
        <v>4</v>
      </c>
      <c r="AL955" t="s">
        <v>74</v>
      </c>
      <c r="AM955">
        <v>4</v>
      </c>
      <c r="AN955" t="s">
        <v>74</v>
      </c>
      <c r="AO955">
        <v>3</v>
      </c>
      <c r="AP955" t="s">
        <v>74</v>
      </c>
      <c r="AQ955">
        <v>2</v>
      </c>
      <c r="AR955">
        <v>1</v>
      </c>
      <c r="AS955">
        <v>2</v>
      </c>
    </row>
    <row r="956" spans="1:4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 t="str">
        <f>IF(Employee_data[[#This Row],[MonthlyIncome]]&lt;5000,"Low Income",
IF(Employee_data[[#This Row],[MonthlyIncome]]&lt;10000,"Medium Income","High Income"))</f>
        <v>High Income</v>
      </c>
      <c r="U956" t="s">
        <v>90</v>
      </c>
      <c r="V956" t="s">
        <v>90</v>
      </c>
      <c r="W956" t="s">
        <v>90</v>
      </c>
      <c r="X956" t="s">
        <v>90</v>
      </c>
      <c r="Y956">
        <v>26582</v>
      </c>
      <c r="Z956">
        <v>0</v>
      </c>
      <c r="AA956" t="s">
        <v>42</v>
      </c>
      <c r="AB956" t="s">
        <v>35</v>
      </c>
      <c r="AC956">
        <v>13</v>
      </c>
      <c r="AD956">
        <v>3</v>
      </c>
      <c r="AE956">
        <v>4</v>
      </c>
      <c r="AF956">
        <v>80</v>
      </c>
      <c r="AG956">
        <v>0</v>
      </c>
      <c r="AH9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56">
        <v>21</v>
      </c>
      <c r="AJ956" t="s">
        <v>76</v>
      </c>
      <c r="AK956">
        <v>3</v>
      </c>
      <c r="AL956" t="s">
        <v>76</v>
      </c>
      <c r="AM956">
        <v>2</v>
      </c>
      <c r="AN956" t="s">
        <v>76</v>
      </c>
      <c r="AO956">
        <v>20</v>
      </c>
      <c r="AP956" t="s">
        <v>76</v>
      </c>
      <c r="AQ956">
        <v>8</v>
      </c>
      <c r="AR956">
        <v>2</v>
      </c>
      <c r="AS956">
        <v>10</v>
      </c>
    </row>
    <row r="957" spans="1:4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 t="str">
        <f>IF(Employee_data[[#This Row],[MonthlyIncome]]&lt;5000,"Low Income",
IF(Employee_data[[#This Row],[MonthlyIncome]]&lt;10000,"Medium Income","High Income"))</f>
        <v>High Income</v>
      </c>
      <c r="U957" t="s">
        <v>90</v>
      </c>
      <c r="V957" t="s">
        <v>90</v>
      </c>
      <c r="W957" t="s">
        <v>90</v>
      </c>
      <c r="X957" t="s">
        <v>90</v>
      </c>
      <c r="Y957">
        <v>6992</v>
      </c>
      <c r="Z957">
        <v>4</v>
      </c>
      <c r="AA957" t="s">
        <v>42</v>
      </c>
      <c r="AB957" t="s">
        <v>43</v>
      </c>
      <c r="AC957">
        <v>14</v>
      </c>
      <c r="AD957">
        <v>3</v>
      </c>
      <c r="AE957">
        <v>4</v>
      </c>
      <c r="AF957">
        <v>80</v>
      </c>
      <c r="AG957">
        <v>1</v>
      </c>
      <c r="AH9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57">
        <v>23</v>
      </c>
      <c r="AJ957" t="s">
        <v>76</v>
      </c>
      <c r="AK957">
        <v>5</v>
      </c>
      <c r="AL957" t="s">
        <v>76</v>
      </c>
      <c r="AM957">
        <v>3</v>
      </c>
      <c r="AN957" t="s">
        <v>76</v>
      </c>
      <c r="AO957">
        <v>19</v>
      </c>
      <c r="AP957" t="s">
        <v>76</v>
      </c>
      <c r="AQ957">
        <v>9</v>
      </c>
      <c r="AR957">
        <v>9</v>
      </c>
      <c r="AS957">
        <v>11</v>
      </c>
    </row>
    <row r="958" spans="1:4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 t="str">
        <f>IF(Employee_data[[#This Row],[MonthlyIncome]]&lt;5000,"Low Income",
IF(Employee_data[[#This Row],[MonthlyIncome]]&lt;10000,"Medium Income","High Income"))</f>
        <v>High Income</v>
      </c>
      <c r="U958" t="s">
        <v>90</v>
      </c>
      <c r="V958" t="s">
        <v>90</v>
      </c>
      <c r="W958" t="s">
        <v>90</v>
      </c>
      <c r="X958" t="s">
        <v>90</v>
      </c>
      <c r="Y958">
        <v>4022</v>
      </c>
      <c r="Z958">
        <v>6</v>
      </c>
      <c r="AA958" t="s">
        <v>42</v>
      </c>
      <c r="AB958" t="s">
        <v>43</v>
      </c>
      <c r="AC958">
        <v>14</v>
      </c>
      <c r="AD958">
        <v>3</v>
      </c>
      <c r="AE958">
        <v>1</v>
      </c>
      <c r="AF958">
        <v>80</v>
      </c>
      <c r="AG958">
        <v>0</v>
      </c>
      <c r="AH9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58">
        <v>36</v>
      </c>
      <c r="AJ958" t="s">
        <v>78</v>
      </c>
      <c r="AK958">
        <v>4</v>
      </c>
      <c r="AL958" t="s">
        <v>78</v>
      </c>
      <c r="AM958">
        <v>3</v>
      </c>
      <c r="AN958" t="s">
        <v>78</v>
      </c>
      <c r="AO958">
        <v>7</v>
      </c>
      <c r="AP958" t="s">
        <v>78</v>
      </c>
      <c r="AQ958">
        <v>3</v>
      </c>
      <c r="AR958">
        <v>7</v>
      </c>
      <c r="AS958">
        <v>7</v>
      </c>
    </row>
    <row r="959" spans="1:4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 t="str">
        <f>IF(Employee_data[[#This Row],[MonthlyIncome]]&lt;5000,"Low Income",
IF(Employee_data[[#This Row],[MonthlyIncome]]&lt;10000,"Medium Income","High Income"))</f>
        <v>Low Income</v>
      </c>
      <c r="U959" t="s">
        <v>91</v>
      </c>
      <c r="V959" t="s">
        <v>91</v>
      </c>
      <c r="W959" t="s">
        <v>91</v>
      </c>
      <c r="X959" t="s">
        <v>91</v>
      </c>
      <c r="Y959">
        <v>8532</v>
      </c>
      <c r="Z959">
        <v>9</v>
      </c>
      <c r="AA959" t="s">
        <v>42</v>
      </c>
      <c r="AB959" t="s">
        <v>43</v>
      </c>
      <c r="AC959">
        <v>16</v>
      </c>
      <c r="AD959">
        <v>3</v>
      </c>
      <c r="AE959">
        <v>2</v>
      </c>
      <c r="AF959">
        <v>80</v>
      </c>
      <c r="AG959">
        <v>1</v>
      </c>
      <c r="AH9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59">
        <v>6</v>
      </c>
      <c r="AJ959" t="s">
        <v>74</v>
      </c>
      <c r="AK959">
        <v>0</v>
      </c>
      <c r="AL959" t="s">
        <v>74</v>
      </c>
      <c r="AM959">
        <v>3</v>
      </c>
      <c r="AN959" t="s">
        <v>74</v>
      </c>
      <c r="AO959">
        <v>4</v>
      </c>
      <c r="AP959" t="s">
        <v>74</v>
      </c>
      <c r="AQ959">
        <v>2</v>
      </c>
      <c r="AR959">
        <v>0</v>
      </c>
      <c r="AS959">
        <v>0</v>
      </c>
    </row>
    <row r="960" spans="1:4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 t="str">
        <f>IF(Employee_data[[#This Row],[MonthlyIncome]]&lt;5000,"Low Income",
IF(Employee_data[[#This Row],[MonthlyIncome]]&lt;10000,"Medium Income","High Income"))</f>
        <v>Medium Income</v>
      </c>
      <c r="U960" t="s">
        <v>92</v>
      </c>
      <c r="V960" t="s">
        <v>92</v>
      </c>
      <c r="W960" t="s">
        <v>92</v>
      </c>
      <c r="X960" t="s">
        <v>92</v>
      </c>
      <c r="Y960">
        <v>5494</v>
      </c>
      <c r="Z960">
        <v>0</v>
      </c>
      <c r="AA960" t="s">
        <v>42</v>
      </c>
      <c r="AB960" t="s">
        <v>43</v>
      </c>
      <c r="AC960">
        <v>11</v>
      </c>
      <c r="AD960">
        <v>3</v>
      </c>
      <c r="AE960">
        <v>4</v>
      </c>
      <c r="AF960">
        <v>80</v>
      </c>
      <c r="AG960">
        <v>1</v>
      </c>
      <c r="AH9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60">
        <v>10</v>
      </c>
      <c r="AJ960" t="s">
        <v>78</v>
      </c>
      <c r="AK960">
        <v>0</v>
      </c>
      <c r="AL960" t="s">
        <v>78</v>
      </c>
      <c r="AM960">
        <v>2</v>
      </c>
      <c r="AN960" t="s">
        <v>78</v>
      </c>
      <c r="AO960">
        <v>9</v>
      </c>
      <c r="AP960" t="s">
        <v>78</v>
      </c>
      <c r="AQ960">
        <v>7</v>
      </c>
      <c r="AR960">
        <v>1</v>
      </c>
      <c r="AS960">
        <v>6</v>
      </c>
    </row>
    <row r="961" spans="1:4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 t="str">
        <f>IF(Employee_data[[#This Row],[MonthlyIncome]]&lt;5000,"Low Income",
IF(Employee_data[[#This Row],[MonthlyIncome]]&lt;10000,"Medium Income","High Income"))</f>
        <v>Low Income</v>
      </c>
      <c r="U961" t="s">
        <v>91</v>
      </c>
      <c r="V961" t="s">
        <v>91</v>
      </c>
      <c r="W961" t="s">
        <v>91</v>
      </c>
      <c r="X961" t="s">
        <v>91</v>
      </c>
      <c r="Y961">
        <v>22455</v>
      </c>
      <c r="Z961">
        <v>1</v>
      </c>
      <c r="AA961" t="s">
        <v>42</v>
      </c>
      <c r="AB961" t="s">
        <v>43</v>
      </c>
      <c r="AC961">
        <v>13</v>
      </c>
      <c r="AD961">
        <v>3</v>
      </c>
      <c r="AE961">
        <v>3</v>
      </c>
      <c r="AF961">
        <v>80</v>
      </c>
      <c r="AG961">
        <v>0</v>
      </c>
      <c r="AH9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61">
        <v>9</v>
      </c>
      <c r="AJ961" t="s">
        <v>78</v>
      </c>
      <c r="AK961">
        <v>4</v>
      </c>
      <c r="AL961" t="s">
        <v>78</v>
      </c>
      <c r="AM961">
        <v>3</v>
      </c>
      <c r="AN961" t="s">
        <v>78</v>
      </c>
      <c r="AO961">
        <v>9</v>
      </c>
      <c r="AP961" t="s">
        <v>78</v>
      </c>
      <c r="AQ961">
        <v>8</v>
      </c>
      <c r="AR961">
        <v>8</v>
      </c>
      <c r="AS961">
        <v>8</v>
      </c>
    </row>
    <row r="962" spans="1:4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 t="str">
        <f>IF(Employee_data[[#This Row],[MonthlyIncome]]&lt;5000,"Low Income",
IF(Employee_data[[#This Row],[MonthlyIncome]]&lt;10000,"Medium Income","High Income"))</f>
        <v>Low Income</v>
      </c>
      <c r="U962" t="s">
        <v>91</v>
      </c>
      <c r="V962" t="s">
        <v>91</v>
      </c>
      <c r="W962" t="s">
        <v>91</v>
      </c>
      <c r="X962" t="s">
        <v>91</v>
      </c>
      <c r="Y962">
        <v>4297</v>
      </c>
      <c r="Z962">
        <v>0</v>
      </c>
      <c r="AA962" t="s">
        <v>42</v>
      </c>
      <c r="AB962" t="s">
        <v>43</v>
      </c>
      <c r="AC962">
        <v>17</v>
      </c>
      <c r="AD962">
        <v>3</v>
      </c>
      <c r="AE962">
        <v>4</v>
      </c>
      <c r="AF962">
        <v>80</v>
      </c>
      <c r="AG962">
        <v>1</v>
      </c>
      <c r="AH9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62">
        <v>10</v>
      </c>
      <c r="AJ962" t="s">
        <v>78</v>
      </c>
      <c r="AK962">
        <v>2</v>
      </c>
      <c r="AL962" t="s">
        <v>78</v>
      </c>
      <c r="AM962">
        <v>3</v>
      </c>
      <c r="AN962" t="s">
        <v>78</v>
      </c>
      <c r="AO962">
        <v>9</v>
      </c>
      <c r="AP962" t="s">
        <v>78</v>
      </c>
      <c r="AQ962">
        <v>3</v>
      </c>
      <c r="AR962">
        <v>1</v>
      </c>
      <c r="AS962">
        <v>7</v>
      </c>
    </row>
    <row r="963" spans="1:4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 t="str">
        <f>IF(Employee_data[[#This Row],[MonthlyIncome]]&lt;5000,"Low Income",
IF(Employee_data[[#This Row],[MonthlyIncome]]&lt;10000,"Medium Income","High Income"))</f>
        <v>Low Income</v>
      </c>
      <c r="U963" t="s">
        <v>91</v>
      </c>
      <c r="V963" t="s">
        <v>91</v>
      </c>
      <c r="W963" t="s">
        <v>91</v>
      </c>
      <c r="X963" t="s">
        <v>91</v>
      </c>
      <c r="Y963">
        <v>2690</v>
      </c>
      <c r="Z963">
        <v>1</v>
      </c>
      <c r="AA963" t="s">
        <v>42</v>
      </c>
      <c r="AB963" t="s">
        <v>35</v>
      </c>
      <c r="AC963">
        <v>11</v>
      </c>
      <c r="AD963">
        <v>3</v>
      </c>
      <c r="AE963">
        <v>2</v>
      </c>
      <c r="AF963">
        <v>80</v>
      </c>
      <c r="AG963">
        <v>0</v>
      </c>
      <c r="AH9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63">
        <v>9</v>
      </c>
      <c r="AJ963" t="s">
        <v>78</v>
      </c>
      <c r="AK963">
        <v>3</v>
      </c>
      <c r="AL963" t="s">
        <v>78</v>
      </c>
      <c r="AM963">
        <v>3</v>
      </c>
      <c r="AN963" t="s">
        <v>78</v>
      </c>
      <c r="AO963">
        <v>9</v>
      </c>
      <c r="AP963" t="s">
        <v>78</v>
      </c>
      <c r="AQ963">
        <v>6</v>
      </c>
      <c r="AR963">
        <v>1</v>
      </c>
      <c r="AS963">
        <v>1</v>
      </c>
    </row>
    <row r="964" spans="1:4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 t="str">
        <f>IF(Employee_data[[#This Row],[MonthlyIncome]]&lt;5000,"Low Income",
IF(Employee_data[[#This Row],[MonthlyIncome]]&lt;10000,"Medium Income","High Income"))</f>
        <v>High Income</v>
      </c>
      <c r="U964" t="s">
        <v>90</v>
      </c>
      <c r="V964" t="s">
        <v>90</v>
      </c>
      <c r="W964" t="s">
        <v>90</v>
      </c>
      <c r="X964" t="s">
        <v>90</v>
      </c>
      <c r="Y964">
        <v>17588</v>
      </c>
      <c r="Z964">
        <v>1</v>
      </c>
      <c r="AA964" t="s">
        <v>42</v>
      </c>
      <c r="AB964" t="s">
        <v>35</v>
      </c>
      <c r="AC964">
        <v>11</v>
      </c>
      <c r="AD964">
        <v>3</v>
      </c>
      <c r="AE964">
        <v>2</v>
      </c>
      <c r="AF964">
        <v>80</v>
      </c>
      <c r="AG964">
        <v>1</v>
      </c>
      <c r="AH9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964">
        <v>33</v>
      </c>
      <c r="AJ964" t="s">
        <v>77</v>
      </c>
      <c r="AK964">
        <v>2</v>
      </c>
      <c r="AL964" t="s">
        <v>77</v>
      </c>
      <c r="AM964">
        <v>3</v>
      </c>
      <c r="AN964" t="s">
        <v>77</v>
      </c>
      <c r="AO964">
        <v>33</v>
      </c>
      <c r="AP964" t="s">
        <v>77</v>
      </c>
      <c r="AQ964">
        <v>9</v>
      </c>
      <c r="AR964">
        <v>0</v>
      </c>
      <c r="AS964">
        <v>10</v>
      </c>
    </row>
    <row r="965" spans="1:4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 t="str">
        <f>IF(Employee_data[[#This Row],[MonthlyIncome]]&lt;5000,"Low Income",
IF(Employee_data[[#This Row],[MonthlyIncome]]&lt;10000,"Medium Income","High Income"))</f>
        <v>Medium Income</v>
      </c>
      <c r="U965" t="s">
        <v>92</v>
      </c>
      <c r="V965" t="s">
        <v>92</v>
      </c>
      <c r="W965" t="s">
        <v>92</v>
      </c>
      <c r="X965" t="s">
        <v>92</v>
      </c>
      <c r="Y965">
        <v>19461</v>
      </c>
      <c r="Z965">
        <v>3</v>
      </c>
      <c r="AA965" t="s">
        <v>42</v>
      </c>
      <c r="AB965" t="s">
        <v>43</v>
      </c>
      <c r="AC965">
        <v>15</v>
      </c>
      <c r="AD965">
        <v>3</v>
      </c>
      <c r="AE965">
        <v>4</v>
      </c>
      <c r="AF965">
        <v>80</v>
      </c>
      <c r="AG965">
        <v>1</v>
      </c>
      <c r="AH9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65">
        <v>11</v>
      </c>
      <c r="AJ965" t="s">
        <v>78</v>
      </c>
      <c r="AK965">
        <v>3</v>
      </c>
      <c r="AL965" t="s">
        <v>78</v>
      </c>
      <c r="AM965">
        <v>3</v>
      </c>
      <c r="AN965" t="s">
        <v>78</v>
      </c>
      <c r="AO965">
        <v>7</v>
      </c>
      <c r="AP965" t="s">
        <v>78</v>
      </c>
      <c r="AQ965">
        <v>7</v>
      </c>
      <c r="AR965">
        <v>1</v>
      </c>
      <c r="AS965">
        <v>7</v>
      </c>
    </row>
    <row r="966" spans="1:4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 t="str">
        <f>IF(Employee_data[[#This Row],[MonthlyIncome]]&lt;5000,"Low Income",
IF(Employee_data[[#This Row],[MonthlyIncome]]&lt;10000,"Medium Income","High Income"))</f>
        <v>Medium Income</v>
      </c>
      <c r="U966" t="s">
        <v>92</v>
      </c>
      <c r="V966" t="s">
        <v>92</v>
      </c>
      <c r="W966" t="s">
        <v>92</v>
      </c>
      <c r="X966" t="s">
        <v>92</v>
      </c>
      <c r="Y966">
        <v>23553</v>
      </c>
      <c r="Z966">
        <v>1</v>
      </c>
      <c r="AA966" t="s">
        <v>42</v>
      </c>
      <c r="AB966" t="s">
        <v>43</v>
      </c>
      <c r="AC966">
        <v>12</v>
      </c>
      <c r="AD966">
        <v>3</v>
      </c>
      <c r="AE966">
        <v>4</v>
      </c>
      <c r="AF966">
        <v>80</v>
      </c>
      <c r="AG966">
        <v>0</v>
      </c>
      <c r="AH9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66">
        <v>10</v>
      </c>
      <c r="AJ966" t="s">
        <v>75</v>
      </c>
      <c r="AK966">
        <v>6</v>
      </c>
      <c r="AL966" t="s">
        <v>75</v>
      </c>
      <c r="AM966">
        <v>4</v>
      </c>
      <c r="AN966" t="s">
        <v>75</v>
      </c>
      <c r="AO966">
        <v>10</v>
      </c>
      <c r="AP966" t="s">
        <v>75</v>
      </c>
      <c r="AQ966">
        <v>8</v>
      </c>
      <c r="AR966">
        <v>9</v>
      </c>
      <c r="AS966">
        <v>6</v>
      </c>
    </row>
    <row r="967" spans="1:4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 t="str">
        <f>IF(Employee_data[[#This Row],[MonthlyIncome]]&lt;5000,"Low Income",
IF(Employee_data[[#This Row],[MonthlyIncome]]&lt;10000,"Medium Income","High Income"))</f>
        <v>Low Income</v>
      </c>
      <c r="U967" t="s">
        <v>91</v>
      </c>
      <c r="V967" t="s">
        <v>91</v>
      </c>
      <c r="W967" t="s">
        <v>91</v>
      </c>
      <c r="X967" t="s">
        <v>91</v>
      </c>
      <c r="Y967">
        <v>9075</v>
      </c>
      <c r="Z967">
        <v>3</v>
      </c>
      <c r="AA967" t="s">
        <v>42</v>
      </c>
      <c r="AB967" t="s">
        <v>43</v>
      </c>
      <c r="AC967">
        <v>11</v>
      </c>
      <c r="AD967">
        <v>3</v>
      </c>
      <c r="AE967">
        <v>3</v>
      </c>
      <c r="AF967">
        <v>80</v>
      </c>
      <c r="AG967">
        <v>3</v>
      </c>
      <c r="AH9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67">
        <v>7</v>
      </c>
      <c r="AJ967" t="s">
        <v>74</v>
      </c>
      <c r="AK967">
        <v>6</v>
      </c>
      <c r="AL967" t="s">
        <v>74</v>
      </c>
      <c r="AM967">
        <v>2</v>
      </c>
      <c r="AN967" t="s">
        <v>74</v>
      </c>
      <c r="AO967">
        <v>3</v>
      </c>
      <c r="AP967" t="s">
        <v>74</v>
      </c>
      <c r="AQ967">
        <v>2</v>
      </c>
      <c r="AR967">
        <v>1</v>
      </c>
      <c r="AS967">
        <v>2</v>
      </c>
    </row>
    <row r="968" spans="1:4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 t="str">
        <f>IF(Employee_data[[#This Row],[MonthlyIncome]]&lt;5000,"Low Income",
IF(Employee_data[[#This Row],[MonthlyIncome]]&lt;10000,"Medium Income","High Income"))</f>
        <v>High Income</v>
      </c>
      <c r="U968" t="s">
        <v>90</v>
      </c>
      <c r="V968" t="s">
        <v>90</v>
      </c>
      <c r="W968" t="s">
        <v>90</v>
      </c>
      <c r="X968" t="s">
        <v>90</v>
      </c>
      <c r="Y968">
        <v>12023</v>
      </c>
      <c r="Z968">
        <v>7</v>
      </c>
      <c r="AA968" t="s">
        <v>42</v>
      </c>
      <c r="AB968" t="s">
        <v>35</v>
      </c>
      <c r="AC968">
        <v>14</v>
      </c>
      <c r="AD968">
        <v>3</v>
      </c>
      <c r="AE968">
        <v>4</v>
      </c>
      <c r="AF968">
        <v>80</v>
      </c>
      <c r="AG968">
        <v>0</v>
      </c>
      <c r="AH9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68">
        <v>31</v>
      </c>
      <c r="AJ968" t="s">
        <v>75</v>
      </c>
      <c r="AK968">
        <v>0</v>
      </c>
      <c r="AL968" t="s">
        <v>75</v>
      </c>
      <c r="AM968">
        <v>2</v>
      </c>
      <c r="AN968" t="s">
        <v>75</v>
      </c>
      <c r="AO968">
        <v>10</v>
      </c>
      <c r="AP968" t="s">
        <v>75</v>
      </c>
      <c r="AQ968">
        <v>9</v>
      </c>
      <c r="AR968">
        <v>5</v>
      </c>
      <c r="AS968">
        <v>9</v>
      </c>
    </row>
    <row r="969" spans="1:4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 t="str">
        <f>IF(Employee_data[[#This Row],[MonthlyIncome]]&lt;5000,"Low Income",
IF(Employee_data[[#This Row],[MonthlyIncome]]&lt;10000,"Medium Income","High Income"))</f>
        <v>Low Income</v>
      </c>
      <c r="U969" t="s">
        <v>91</v>
      </c>
      <c r="V969" t="s">
        <v>91</v>
      </c>
      <c r="W969" t="s">
        <v>91</v>
      </c>
      <c r="X969" t="s">
        <v>91</v>
      </c>
      <c r="Y969">
        <v>6762</v>
      </c>
      <c r="Z969">
        <v>3</v>
      </c>
      <c r="AA969" t="s">
        <v>42</v>
      </c>
      <c r="AB969" t="s">
        <v>43</v>
      </c>
      <c r="AC969">
        <v>22</v>
      </c>
      <c r="AD969">
        <v>4</v>
      </c>
      <c r="AE969">
        <v>3</v>
      </c>
      <c r="AF969">
        <v>80</v>
      </c>
      <c r="AG969">
        <v>1</v>
      </c>
      <c r="AH9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69">
        <v>7</v>
      </c>
      <c r="AJ969" t="s">
        <v>74</v>
      </c>
      <c r="AK969">
        <v>3</v>
      </c>
      <c r="AL969" t="s">
        <v>74</v>
      </c>
      <c r="AM969">
        <v>3</v>
      </c>
      <c r="AN969" t="s">
        <v>74</v>
      </c>
      <c r="AO969">
        <v>4</v>
      </c>
      <c r="AP969" t="s">
        <v>74</v>
      </c>
      <c r="AQ969">
        <v>2</v>
      </c>
      <c r="AR969">
        <v>0</v>
      </c>
      <c r="AS969">
        <v>3</v>
      </c>
    </row>
    <row r="970" spans="1:4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 t="str">
        <f>IF(Employee_data[[#This Row],[MonthlyIncome]]&lt;5000,"Low Income",
IF(Employee_data[[#This Row],[MonthlyIncome]]&lt;10000,"Medium Income","High Income"))</f>
        <v>Low Income</v>
      </c>
      <c r="U970" t="s">
        <v>91</v>
      </c>
      <c r="V970" t="s">
        <v>91</v>
      </c>
      <c r="W970" t="s">
        <v>91</v>
      </c>
      <c r="X970" t="s">
        <v>91</v>
      </c>
      <c r="Y970">
        <v>2261</v>
      </c>
      <c r="Z970">
        <v>2</v>
      </c>
      <c r="AA970" t="s">
        <v>42</v>
      </c>
      <c r="AB970" t="s">
        <v>43</v>
      </c>
      <c r="AC970">
        <v>16</v>
      </c>
      <c r="AD970">
        <v>3</v>
      </c>
      <c r="AE970">
        <v>4</v>
      </c>
      <c r="AF970">
        <v>80</v>
      </c>
      <c r="AG970">
        <v>1</v>
      </c>
      <c r="AH9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70">
        <v>17</v>
      </c>
      <c r="AJ970" t="s">
        <v>76</v>
      </c>
      <c r="AK970">
        <v>2</v>
      </c>
      <c r="AL970" t="s">
        <v>76</v>
      </c>
      <c r="AM970">
        <v>2</v>
      </c>
      <c r="AN970" t="s">
        <v>76</v>
      </c>
      <c r="AO970">
        <v>15</v>
      </c>
      <c r="AP970" t="s">
        <v>76</v>
      </c>
      <c r="AQ970">
        <v>7</v>
      </c>
      <c r="AR970">
        <v>6</v>
      </c>
      <c r="AS970">
        <v>13</v>
      </c>
    </row>
    <row r="971" spans="1:4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 t="str">
        <f>IF(Employee_data[[#This Row],[MonthlyIncome]]&lt;5000,"Low Income",
IF(Employee_data[[#This Row],[MonthlyIncome]]&lt;10000,"Medium Income","High Income"))</f>
        <v>Medium Income</v>
      </c>
      <c r="U971" t="s">
        <v>92</v>
      </c>
      <c r="V971" t="s">
        <v>92</v>
      </c>
      <c r="W971" t="s">
        <v>92</v>
      </c>
      <c r="X971" t="s">
        <v>92</v>
      </c>
      <c r="Y971">
        <v>18706</v>
      </c>
      <c r="Z971">
        <v>1</v>
      </c>
      <c r="AA971" t="s">
        <v>42</v>
      </c>
      <c r="AB971" t="s">
        <v>43</v>
      </c>
      <c r="AC971">
        <v>11</v>
      </c>
      <c r="AD971">
        <v>3</v>
      </c>
      <c r="AE971">
        <v>3</v>
      </c>
      <c r="AF971">
        <v>80</v>
      </c>
      <c r="AG971">
        <v>0</v>
      </c>
      <c r="AH9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71">
        <v>11</v>
      </c>
      <c r="AJ971" t="s">
        <v>75</v>
      </c>
      <c r="AK971">
        <v>2</v>
      </c>
      <c r="AL971" t="s">
        <v>75</v>
      </c>
      <c r="AM971">
        <v>3</v>
      </c>
      <c r="AN971" t="s">
        <v>75</v>
      </c>
      <c r="AO971">
        <v>10</v>
      </c>
      <c r="AP971" t="s">
        <v>75</v>
      </c>
      <c r="AQ971">
        <v>9</v>
      </c>
      <c r="AR971">
        <v>0</v>
      </c>
      <c r="AS971">
        <v>8</v>
      </c>
    </row>
    <row r="972" spans="1:4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 t="str">
        <f>IF(Employee_data[[#This Row],[MonthlyIncome]]&lt;5000,"Low Income",
IF(Employee_data[[#This Row],[MonthlyIncome]]&lt;10000,"Medium Income","High Income"))</f>
        <v>Low Income</v>
      </c>
      <c r="U972" t="s">
        <v>91</v>
      </c>
      <c r="V972" t="s">
        <v>91</v>
      </c>
      <c r="W972" t="s">
        <v>91</v>
      </c>
      <c r="X972" t="s">
        <v>91</v>
      </c>
      <c r="Y972">
        <v>6527</v>
      </c>
      <c r="Z972">
        <v>8</v>
      </c>
      <c r="AA972" t="s">
        <v>42</v>
      </c>
      <c r="AB972" t="s">
        <v>43</v>
      </c>
      <c r="AC972">
        <v>14</v>
      </c>
      <c r="AD972">
        <v>3</v>
      </c>
      <c r="AE972">
        <v>2</v>
      </c>
      <c r="AF972">
        <v>80</v>
      </c>
      <c r="AG972">
        <v>1</v>
      </c>
      <c r="AH9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72">
        <v>5</v>
      </c>
      <c r="AJ972" t="s">
        <v>74</v>
      </c>
      <c r="AK972">
        <v>4</v>
      </c>
      <c r="AL972" t="s">
        <v>74</v>
      </c>
      <c r="AM972">
        <v>3</v>
      </c>
      <c r="AN972" t="s">
        <v>74</v>
      </c>
      <c r="AO972">
        <v>1</v>
      </c>
      <c r="AP972" t="s">
        <v>74</v>
      </c>
      <c r="AQ972">
        <v>0</v>
      </c>
      <c r="AR972">
        <v>0</v>
      </c>
      <c r="AS972">
        <v>0</v>
      </c>
    </row>
    <row r="973" spans="1:4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 t="str">
        <f>IF(Employee_data[[#This Row],[MonthlyIncome]]&lt;5000,"Low Income",
IF(Employee_data[[#This Row],[MonthlyIncome]]&lt;10000,"Medium Income","High Income"))</f>
        <v>High Income</v>
      </c>
      <c r="U973" t="s">
        <v>90</v>
      </c>
      <c r="V973" t="s">
        <v>90</v>
      </c>
      <c r="W973" t="s">
        <v>90</v>
      </c>
      <c r="X973" t="s">
        <v>90</v>
      </c>
      <c r="Y973">
        <v>24439</v>
      </c>
      <c r="Z973">
        <v>3</v>
      </c>
      <c r="AA973" t="s">
        <v>42</v>
      </c>
      <c r="AB973" t="s">
        <v>43</v>
      </c>
      <c r="AC973">
        <v>16</v>
      </c>
      <c r="AD973">
        <v>3</v>
      </c>
      <c r="AE973">
        <v>2</v>
      </c>
      <c r="AF973">
        <v>80</v>
      </c>
      <c r="AG973">
        <v>0</v>
      </c>
      <c r="AH9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73">
        <v>29</v>
      </c>
      <c r="AJ973" t="s">
        <v>78</v>
      </c>
      <c r="AK973">
        <v>1</v>
      </c>
      <c r="AL973" t="s">
        <v>78</v>
      </c>
      <c r="AM973">
        <v>2</v>
      </c>
      <c r="AN973" t="s">
        <v>78</v>
      </c>
      <c r="AO973">
        <v>5</v>
      </c>
      <c r="AP973" t="s">
        <v>78</v>
      </c>
      <c r="AQ973">
        <v>2</v>
      </c>
      <c r="AR973">
        <v>0</v>
      </c>
      <c r="AS973">
        <v>3</v>
      </c>
    </row>
    <row r="974" spans="1:4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 t="str">
        <f>IF(Employee_data[[#This Row],[MonthlyIncome]]&lt;5000,"Low Income",
IF(Employee_data[[#This Row],[MonthlyIncome]]&lt;10000,"Medium Income","High Income"))</f>
        <v>Low Income</v>
      </c>
      <c r="U974" t="s">
        <v>91</v>
      </c>
      <c r="V974" t="s">
        <v>91</v>
      </c>
      <c r="W974" t="s">
        <v>91</v>
      </c>
      <c r="X974" t="s">
        <v>91</v>
      </c>
      <c r="Y974">
        <v>19305</v>
      </c>
      <c r="Z974">
        <v>1</v>
      </c>
      <c r="AA974" t="s">
        <v>42</v>
      </c>
      <c r="AB974" t="s">
        <v>43</v>
      </c>
      <c r="AC974">
        <v>15</v>
      </c>
      <c r="AD974">
        <v>3</v>
      </c>
      <c r="AE974">
        <v>3</v>
      </c>
      <c r="AF974">
        <v>80</v>
      </c>
      <c r="AG974">
        <v>0</v>
      </c>
      <c r="AH9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74">
        <v>0</v>
      </c>
      <c r="AJ974" t="s">
        <v>74</v>
      </c>
      <c r="AK974">
        <v>5</v>
      </c>
      <c r="AL974" t="s">
        <v>74</v>
      </c>
      <c r="AM974">
        <v>4</v>
      </c>
      <c r="AN974" t="s">
        <v>74</v>
      </c>
      <c r="AO974">
        <v>0</v>
      </c>
      <c r="AP974" t="s">
        <v>74</v>
      </c>
      <c r="AQ974">
        <v>0</v>
      </c>
      <c r="AR974">
        <v>0</v>
      </c>
      <c r="AS974">
        <v>0</v>
      </c>
    </row>
    <row r="975" spans="1:4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 t="str">
        <f>IF(Employee_data[[#This Row],[MonthlyIncome]]&lt;5000,"Low Income",
IF(Employee_data[[#This Row],[MonthlyIncome]]&lt;10000,"Medium Income","High Income"))</f>
        <v>Medium Income</v>
      </c>
      <c r="U975" t="s">
        <v>92</v>
      </c>
      <c r="V975" t="s">
        <v>92</v>
      </c>
      <c r="W975" t="s">
        <v>92</v>
      </c>
      <c r="X975" t="s">
        <v>92</v>
      </c>
      <c r="Y975">
        <v>10846</v>
      </c>
      <c r="Z975">
        <v>0</v>
      </c>
      <c r="AA975" t="s">
        <v>42</v>
      </c>
      <c r="AB975" t="s">
        <v>43</v>
      </c>
      <c r="AC975">
        <v>12</v>
      </c>
      <c r="AD975">
        <v>3</v>
      </c>
      <c r="AE975">
        <v>2</v>
      </c>
      <c r="AF975">
        <v>80</v>
      </c>
      <c r="AG975">
        <v>1</v>
      </c>
      <c r="AH9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75">
        <v>10</v>
      </c>
      <c r="AJ975" t="s">
        <v>78</v>
      </c>
      <c r="AK975">
        <v>0</v>
      </c>
      <c r="AL975" t="s">
        <v>78</v>
      </c>
      <c r="AM975">
        <v>3</v>
      </c>
      <c r="AN975" t="s">
        <v>78</v>
      </c>
      <c r="AO975">
        <v>9</v>
      </c>
      <c r="AP975" t="s">
        <v>78</v>
      </c>
      <c r="AQ975">
        <v>7</v>
      </c>
      <c r="AR975">
        <v>0</v>
      </c>
      <c r="AS975">
        <v>0</v>
      </c>
    </row>
    <row r="976" spans="1:4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 t="str">
        <f>IF(Employee_data[[#This Row],[MonthlyIncome]]&lt;5000,"Low Income",
IF(Employee_data[[#This Row],[MonthlyIncome]]&lt;10000,"Medium Income","High Income"))</f>
        <v>Medium Income</v>
      </c>
      <c r="U976" t="s">
        <v>92</v>
      </c>
      <c r="V976" t="s">
        <v>92</v>
      </c>
      <c r="W976" t="s">
        <v>92</v>
      </c>
      <c r="X976" t="s">
        <v>92</v>
      </c>
      <c r="Y976">
        <v>20392</v>
      </c>
      <c r="Z976">
        <v>3</v>
      </c>
      <c r="AA976" t="s">
        <v>42</v>
      </c>
      <c r="AB976" t="s">
        <v>43</v>
      </c>
      <c r="AC976">
        <v>20</v>
      </c>
      <c r="AD976">
        <v>4</v>
      </c>
      <c r="AE976">
        <v>2</v>
      </c>
      <c r="AF976">
        <v>80</v>
      </c>
      <c r="AG976">
        <v>0</v>
      </c>
      <c r="AH9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76">
        <v>8</v>
      </c>
      <c r="AJ976" t="s">
        <v>78</v>
      </c>
      <c r="AK976">
        <v>3</v>
      </c>
      <c r="AL976" t="s">
        <v>78</v>
      </c>
      <c r="AM976">
        <v>3</v>
      </c>
      <c r="AN976" t="s">
        <v>78</v>
      </c>
      <c r="AO976">
        <v>6</v>
      </c>
      <c r="AP976" t="s">
        <v>78</v>
      </c>
      <c r="AQ976">
        <v>2</v>
      </c>
      <c r="AR976">
        <v>0</v>
      </c>
      <c r="AS976">
        <v>0</v>
      </c>
    </row>
    <row r="977" spans="1:4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 t="str">
        <f>IF(Employee_data[[#This Row],[MonthlyIncome]]&lt;5000,"Low Income",
IF(Employee_data[[#This Row],[MonthlyIncome]]&lt;10000,"Medium Income","High Income"))</f>
        <v>High Income</v>
      </c>
      <c r="U977" t="s">
        <v>90</v>
      </c>
      <c r="V977" t="s">
        <v>90</v>
      </c>
      <c r="W977" t="s">
        <v>90</v>
      </c>
      <c r="X977" t="s">
        <v>90</v>
      </c>
      <c r="Y977">
        <v>9277</v>
      </c>
      <c r="Z977">
        <v>6</v>
      </c>
      <c r="AA977" t="s">
        <v>42</v>
      </c>
      <c r="AB977" t="s">
        <v>35</v>
      </c>
      <c r="AC977">
        <v>17</v>
      </c>
      <c r="AD977">
        <v>3</v>
      </c>
      <c r="AE977">
        <v>3</v>
      </c>
      <c r="AF977">
        <v>80</v>
      </c>
      <c r="AG977">
        <v>0</v>
      </c>
      <c r="AH9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77">
        <v>24</v>
      </c>
      <c r="AJ977" t="s">
        <v>76</v>
      </c>
      <c r="AK977">
        <v>2</v>
      </c>
      <c r="AL977" t="s">
        <v>76</v>
      </c>
      <c r="AM977">
        <v>2</v>
      </c>
      <c r="AN977" t="s">
        <v>76</v>
      </c>
      <c r="AO977">
        <v>19</v>
      </c>
      <c r="AP977" t="s">
        <v>76</v>
      </c>
      <c r="AQ977">
        <v>7</v>
      </c>
      <c r="AR977">
        <v>3</v>
      </c>
      <c r="AS977">
        <v>8</v>
      </c>
    </row>
    <row r="978" spans="1:4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 t="str">
        <f>IF(Employee_data[[#This Row],[MonthlyIncome]]&lt;5000,"Low Income",
IF(Employee_data[[#This Row],[MonthlyIncome]]&lt;10000,"Medium Income","High Income"))</f>
        <v>High Income</v>
      </c>
      <c r="U978" t="s">
        <v>90</v>
      </c>
      <c r="V978" t="s">
        <v>90</v>
      </c>
      <c r="W978" t="s">
        <v>90</v>
      </c>
      <c r="X978" t="s">
        <v>90</v>
      </c>
      <c r="Y978">
        <v>18235</v>
      </c>
      <c r="Z978">
        <v>4</v>
      </c>
      <c r="AA978" t="s">
        <v>42</v>
      </c>
      <c r="AB978" t="s">
        <v>35</v>
      </c>
      <c r="AC978">
        <v>12</v>
      </c>
      <c r="AD978">
        <v>3</v>
      </c>
      <c r="AE978">
        <v>1</v>
      </c>
      <c r="AF978">
        <v>80</v>
      </c>
      <c r="AG978">
        <v>1</v>
      </c>
      <c r="AH9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78">
        <v>33</v>
      </c>
      <c r="AJ978" t="s">
        <v>76</v>
      </c>
      <c r="AK978">
        <v>0</v>
      </c>
      <c r="AL978" t="s">
        <v>76</v>
      </c>
      <c r="AM978">
        <v>3</v>
      </c>
      <c r="AN978" t="s">
        <v>76</v>
      </c>
      <c r="AO978">
        <v>19</v>
      </c>
      <c r="AP978" t="s">
        <v>76</v>
      </c>
      <c r="AQ978">
        <v>16</v>
      </c>
      <c r="AR978">
        <v>15</v>
      </c>
      <c r="AS978">
        <v>9</v>
      </c>
    </row>
    <row r="979" spans="1:4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 t="str">
        <f>IF(Employee_data[[#This Row],[MonthlyIncome]]&lt;5000,"Low Income",
IF(Employee_data[[#This Row],[MonthlyIncome]]&lt;10000,"Medium Income","High Income"))</f>
        <v>Low Income</v>
      </c>
      <c r="U979" t="s">
        <v>91</v>
      </c>
      <c r="V979" t="s">
        <v>91</v>
      </c>
      <c r="W979" t="s">
        <v>91</v>
      </c>
      <c r="X979" t="s">
        <v>91</v>
      </c>
      <c r="Y979">
        <v>15891</v>
      </c>
      <c r="Z979">
        <v>1</v>
      </c>
      <c r="AA979" t="s">
        <v>42</v>
      </c>
      <c r="AB979" t="s">
        <v>43</v>
      </c>
      <c r="AC979">
        <v>20</v>
      </c>
      <c r="AD979">
        <v>4</v>
      </c>
      <c r="AE979">
        <v>3</v>
      </c>
      <c r="AF979">
        <v>80</v>
      </c>
      <c r="AG979">
        <v>3</v>
      </c>
      <c r="AH9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79">
        <v>5</v>
      </c>
      <c r="AJ979" t="s">
        <v>78</v>
      </c>
      <c r="AK979">
        <v>2</v>
      </c>
      <c r="AL979" t="s">
        <v>78</v>
      </c>
      <c r="AM979">
        <v>3</v>
      </c>
      <c r="AN979" t="s">
        <v>78</v>
      </c>
      <c r="AO979">
        <v>5</v>
      </c>
      <c r="AP979" t="s">
        <v>78</v>
      </c>
      <c r="AQ979">
        <v>4</v>
      </c>
      <c r="AR979">
        <v>0</v>
      </c>
      <c r="AS979">
        <v>0</v>
      </c>
    </row>
    <row r="980" spans="1:4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 t="str">
        <f>IF(Employee_data[[#This Row],[MonthlyIncome]]&lt;5000,"Low Income",
IF(Employee_data[[#This Row],[MonthlyIncome]]&lt;10000,"Medium Income","High Income"))</f>
        <v>Medium Income</v>
      </c>
      <c r="U980" t="s">
        <v>92</v>
      </c>
      <c r="V980" t="s">
        <v>92</v>
      </c>
      <c r="W980" t="s">
        <v>92</v>
      </c>
      <c r="X980" t="s">
        <v>92</v>
      </c>
      <c r="Y980">
        <v>13888</v>
      </c>
      <c r="Z980">
        <v>5</v>
      </c>
      <c r="AA980" t="s">
        <v>42</v>
      </c>
      <c r="AB980" t="s">
        <v>43</v>
      </c>
      <c r="AC980">
        <v>20</v>
      </c>
      <c r="AD980">
        <v>4</v>
      </c>
      <c r="AE980">
        <v>2</v>
      </c>
      <c r="AF980">
        <v>80</v>
      </c>
      <c r="AG980">
        <v>3</v>
      </c>
      <c r="AH9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80">
        <v>15</v>
      </c>
      <c r="AJ980" t="s">
        <v>75</v>
      </c>
      <c r="AK980">
        <v>0</v>
      </c>
      <c r="AL980" t="s">
        <v>75</v>
      </c>
      <c r="AM980">
        <v>3</v>
      </c>
      <c r="AN980" t="s">
        <v>75</v>
      </c>
      <c r="AO980">
        <v>12</v>
      </c>
      <c r="AP980" t="s">
        <v>75</v>
      </c>
      <c r="AQ980">
        <v>11</v>
      </c>
      <c r="AR980">
        <v>11</v>
      </c>
      <c r="AS980">
        <v>8</v>
      </c>
    </row>
    <row r="981" spans="1:4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 t="str">
        <f>IF(Employee_data[[#This Row],[MonthlyIncome]]&lt;5000,"Low Income",
IF(Employee_data[[#This Row],[MonthlyIncome]]&lt;10000,"Medium Income","High Income"))</f>
        <v>Medium Income</v>
      </c>
      <c r="U981" t="s">
        <v>92</v>
      </c>
      <c r="V981" t="s">
        <v>92</v>
      </c>
      <c r="W981" t="s">
        <v>92</v>
      </c>
      <c r="X981" t="s">
        <v>92</v>
      </c>
      <c r="Y981">
        <v>17491</v>
      </c>
      <c r="Z981">
        <v>4</v>
      </c>
      <c r="AA981" t="s">
        <v>42</v>
      </c>
      <c r="AB981" t="s">
        <v>43</v>
      </c>
      <c r="AC981">
        <v>13</v>
      </c>
      <c r="AD981">
        <v>3</v>
      </c>
      <c r="AE981">
        <v>1</v>
      </c>
      <c r="AF981">
        <v>80</v>
      </c>
      <c r="AG981">
        <v>2</v>
      </c>
      <c r="AH9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81">
        <v>10</v>
      </c>
      <c r="AJ981" t="s">
        <v>78</v>
      </c>
      <c r="AK981">
        <v>1</v>
      </c>
      <c r="AL981" t="s">
        <v>78</v>
      </c>
      <c r="AM981">
        <v>3</v>
      </c>
      <c r="AN981" t="s">
        <v>78</v>
      </c>
      <c r="AO981">
        <v>8</v>
      </c>
      <c r="AP981" t="s">
        <v>78</v>
      </c>
      <c r="AQ981">
        <v>7</v>
      </c>
      <c r="AR981">
        <v>7</v>
      </c>
      <c r="AS981">
        <v>7</v>
      </c>
    </row>
    <row r="982" spans="1:4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 t="str">
        <f>IF(Employee_data[[#This Row],[MonthlyIncome]]&lt;5000,"Low Income",
IF(Employee_data[[#This Row],[MonthlyIncome]]&lt;10000,"Medium Income","High Income"))</f>
        <v>Low Income</v>
      </c>
      <c r="U982" t="s">
        <v>91</v>
      </c>
      <c r="V982" t="s">
        <v>91</v>
      </c>
      <c r="W982" t="s">
        <v>91</v>
      </c>
      <c r="X982" t="s">
        <v>91</v>
      </c>
      <c r="Y982">
        <v>11882</v>
      </c>
      <c r="Z982">
        <v>7</v>
      </c>
      <c r="AA982" t="s">
        <v>42</v>
      </c>
      <c r="AB982" t="s">
        <v>43</v>
      </c>
      <c r="AC982">
        <v>14</v>
      </c>
      <c r="AD982">
        <v>3</v>
      </c>
      <c r="AE982">
        <v>3</v>
      </c>
      <c r="AF982">
        <v>80</v>
      </c>
      <c r="AG982">
        <v>0</v>
      </c>
      <c r="AH9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82">
        <v>3</v>
      </c>
      <c r="AJ982" t="s">
        <v>74</v>
      </c>
      <c r="AK982">
        <v>3</v>
      </c>
      <c r="AL982" t="s">
        <v>74</v>
      </c>
      <c r="AM982">
        <v>4</v>
      </c>
      <c r="AN982" t="s">
        <v>74</v>
      </c>
      <c r="AO982">
        <v>1</v>
      </c>
      <c r="AP982" t="s">
        <v>74</v>
      </c>
      <c r="AQ982">
        <v>0</v>
      </c>
      <c r="AR982">
        <v>0</v>
      </c>
      <c r="AS982">
        <v>0</v>
      </c>
    </row>
    <row r="983" spans="1:4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 t="str">
        <f>IF(Employee_data[[#This Row],[MonthlyIncome]]&lt;5000,"Low Income",
IF(Employee_data[[#This Row],[MonthlyIncome]]&lt;10000,"Medium Income","High Income"))</f>
        <v>Low Income</v>
      </c>
      <c r="U983" t="s">
        <v>91</v>
      </c>
      <c r="V983" t="s">
        <v>91</v>
      </c>
      <c r="W983" t="s">
        <v>91</v>
      </c>
      <c r="X983" t="s">
        <v>91</v>
      </c>
      <c r="Y983">
        <v>23288</v>
      </c>
      <c r="Z983">
        <v>0</v>
      </c>
      <c r="AA983" t="s">
        <v>42</v>
      </c>
      <c r="AB983" t="s">
        <v>35</v>
      </c>
      <c r="AC983">
        <v>18</v>
      </c>
      <c r="AD983">
        <v>3</v>
      </c>
      <c r="AE983">
        <v>3</v>
      </c>
      <c r="AF983">
        <v>80</v>
      </c>
      <c r="AG983">
        <v>1</v>
      </c>
      <c r="AH9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83">
        <v>5</v>
      </c>
      <c r="AJ983" t="s">
        <v>74</v>
      </c>
      <c r="AK983">
        <v>0</v>
      </c>
      <c r="AL983" t="s">
        <v>74</v>
      </c>
      <c r="AM983">
        <v>2</v>
      </c>
      <c r="AN983" t="s">
        <v>74</v>
      </c>
      <c r="AO983">
        <v>4</v>
      </c>
      <c r="AP983" t="s">
        <v>74</v>
      </c>
      <c r="AQ983">
        <v>2</v>
      </c>
      <c r="AR983">
        <v>3</v>
      </c>
      <c r="AS983">
        <v>2</v>
      </c>
    </row>
    <row r="984" spans="1:4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 t="str">
        <f>IF(Employee_data[[#This Row],[MonthlyIncome]]&lt;5000,"Low Income",
IF(Employee_data[[#This Row],[MonthlyIncome]]&lt;10000,"Medium Income","High Income"))</f>
        <v>Low Income</v>
      </c>
      <c r="U984" t="s">
        <v>91</v>
      </c>
      <c r="V984" t="s">
        <v>91</v>
      </c>
      <c r="W984" t="s">
        <v>91</v>
      </c>
      <c r="X984" t="s">
        <v>91</v>
      </c>
      <c r="Y984">
        <v>15748</v>
      </c>
      <c r="Z984">
        <v>1</v>
      </c>
      <c r="AA984" t="s">
        <v>42</v>
      </c>
      <c r="AB984" t="s">
        <v>43</v>
      </c>
      <c r="AC984">
        <v>11</v>
      </c>
      <c r="AD984">
        <v>3</v>
      </c>
      <c r="AE984">
        <v>4</v>
      </c>
      <c r="AF984">
        <v>80</v>
      </c>
      <c r="AG984">
        <v>3</v>
      </c>
      <c r="AH9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84">
        <v>4</v>
      </c>
      <c r="AJ984" t="s">
        <v>74</v>
      </c>
      <c r="AK984">
        <v>2</v>
      </c>
      <c r="AL984" t="s">
        <v>74</v>
      </c>
      <c r="AM984">
        <v>3</v>
      </c>
      <c r="AN984" t="s">
        <v>74</v>
      </c>
      <c r="AO984">
        <v>4</v>
      </c>
      <c r="AP984" t="s">
        <v>74</v>
      </c>
      <c r="AQ984">
        <v>2</v>
      </c>
      <c r="AR984">
        <v>0</v>
      </c>
      <c r="AS984">
        <v>3</v>
      </c>
    </row>
    <row r="985" spans="1:4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 t="str">
        <f>IF(Employee_data[[#This Row],[MonthlyIncome]]&lt;5000,"Low Income",
IF(Employee_data[[#This Row],[MonthlyIncome]]&lt;10000,"Medium Income","High Income"))</f>
        <v>Medium Income</v>
      </c>
      <c r="U985" t="s">
        <v>92</v>
      </c>
      <c r="V985" t="s">
        <v>92</v>
      </c>
      <c r="W985" t="s">
        <v>92</v>
      </c>
      <c r="X985" t="s">
        <v>92</v>
      </c>
      <c r="Y985">
        <v>6163</v>
      </c>
      <c r="Z985">
        <v>1</v>
      </c>
      <c r="AA985" t="s">
        <v>42</v>
      </c>
      <c r="AB985" t="s">
        <v>43</v>
      </c>
      <c r="AC985">
        <v>11</v>
      </c>
      <c r="AD985">
        <v>3</v>
      </c>
      <c r="AE985">
        <v>4</v>
      </c>
      <c r="AF985">
        <v>80</v>
      </c>
      <c r="AG985">
        <v>0</v>
      </c>
      <c r="AH9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85">
        <v>14</v>
      </c>
      <c r="AJ985" t="s">
        <v>75</v>
      </c>
      <c r="AK985">
        <v>2</v>
      </c>
      <c r="AL985" t="s">
        <v>75</v>
      </c>
      <c r="AM985">
        <v>4</v>
      </c>
      <c r="AN985" t="s">
        <v>75</v>
      </c>
      <c r="AO985">
        <v>14</v>
      </c>
      <c r="AP985" t="s">
        <v>75</v>
      </c>
      <c r="AQ985">
        <v>11</v>
      </c>
      <c r="AR985">
        <v>4</v>
      </c>
      <c r="AS985">
        <v>11</v>
      </c>
    </row>
    <row r="986" spans="1:4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 t="str">
        <f>IF(Employee_data[[#This Row],[MonthlyIncome]]&lt;5000,"Low Income",
IF(Employee_data[[#This Row],[MonthlyIncome]]&lt;10000,"Medium Income","High Income"))</f>
        <v>Low Income</v>
      </c>
      <c r="U986" t="s">
        <v>91</v>
      </c>
      <c r="V986" t="s">
        <v>91</v>
      </c>
      <c r="W986" t="s">
        <v>91</v>
      </c>
      <c r="X986" t="s">
        <v>91</v>
      </c>
      <c r="Y986">
        <v>24232</v>
      </c>
      <c r="Z986">
        <v>1</v>
      </c>
      <c r="AA986" t="s">
        <v>42</v>
      </c>
      <c r="AB986" t="s">
        <v>43</v>
      </c>
      <c r="AC986">
        <v>11</v>
      </c>
      <c r="AD986">
        <v>3</v>
      </c>
      <c r="AE986">
        <v>3</v>
      </c>
      <c r="AF986">
        <v>80</v>
      </c>
      <c r="AG986">
        <v>1</v>
      </c>
      <c r="AH9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86">
        <v>5</v>
      </c>
      <c r="AJ986" t="s">
        <v>78</v>
      </c>
      <c r="AK986">
        <v>0</v>
      </c>
      <c r="AL986" t="s">
        <v>78</v>
      </c>
      <c r="AM986">
        <v>3</v>
      </c>
      <c r="AN986" t="s">
        <v>78</v>
      </c>
      <c r="AO986">
        <v>5</v>
      </c>
      <c r="AP986" t="s">
        <v>78</v>
      </c>
      <c r="AQ986">
        <v>3</v>
      </c>
      <c r="AR986">
        <v>0</v>
      </c>
      <c r="AS986">
        <v>4</v>
      </c>
    </row>
    <row r="987" spans="1:4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 t="str">
        <f>IF(Employee_data[[#This Row],[MonthlyIncome]]&lt;5000,"Low Income",
IF(Employee_data[[#This Row],[MonthlyIncome]]&lt;10000,"Medium Income","High Income"))</f>
        <v>Medium Income</v>
      </c>
      <c r="U987" t="s">
        <v>92</v>
      </c>
      <c r="V987" t="s">
        <v>92</v>
      </c>
      <c r="W987" t="s">
        <v>92</v>
      </c>
      <c r="X987" t="s">
        <v>92</v>
      </c>
      <c r="Y987">
        <v>21057</v>
      </c>
      <c r="Z987">
        <v>1</v>
      </c>
      <c r="AA987" t="s">
        <v>42</v>
      </c>
      <c r="AB987" t="s">
        <v>35</v>
      </c>
      <c r="AC987">
        <v>15</v>
      </c>
      <c r="AD987">
        <v>3</v>
      </c>
      <c r="AE987">
        <v>4</v>
      </c>
      <c r="AF987">
        <v>80</v>
      </c>
      <c r="AG987">
        <v>2</v>
      </c>
      <c r="AH9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987">
        <v>10</v>
      </c>
      <c r="AJ987" t="s">
        <v>75</v>
      </c>
      <c r="AK987">
        <v>3</v>
      </c>
      <c r="AL987" t="s">
        <v>75</v>
      </c>
      <c r="AM987">
        <v>2</v>
      </c>
      <c r="AN987" t="s">
        <v>75</v>
      </c>
      <c r="AO987">
        <v>10</v>
      </c>
      <c r="AP987" t="s">
        <v>75</v>
      </c>
      <c r="AQ987">
        <v>2</v>
      </c>
      <c r="AR987">
        <v>6</v>
      </c>
      <c r="AS987">
        <v>7</v>
      </c>
    </row>
    <row r="988" spans="1:4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 t="str">
        <f>IF(Employee_data[[#This Row],[MonthlyIncome]]&lt;5000,"Low Income",
IF(Employee_data[[#This Row],[MonthlyIncome]]&lt;10000,"Medium Income","High Income"))</f>
        <v>Medium Income</v>
      </c>
      <c r="U988" t="s">
        <v>92</v>
      </c>
      <c r="V988" t="s">
        <v>92</v>
      </c>
      <c r="W988" t="s">
        <v>92</v>
      </c>
      <c r="X988" t="s">
        <v>92</v>
      </c>
      <c r="Y988">
        <v>3567</v>
      </c>
      <c r="Z988">
        <v>3</v>
      </c>
      <c r="AA988" t="s">
        <v>42</v>
      </c>
      <c r="AB988" t="s">
        <v>35</v>
      </c>
      <c r="AC988">
        <v>12</v>
      </c>
      <c r="AD988">
        <v>3</v>
      </c>
      <c r="AE988">
        <v>4</v>
      </c>
      <c r="AF988">
        <v>80</v>
      </c>
      <c r="AG988">
        <v>2</v>
      </c>
      <c r="AH9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88">
        <v>8</v>
      </c>
      <c r="AJ988" t="s">
        <v>78</v>
      </c>
      <c r="AK988">
        <v>2</v>
      </c>
      <c r="AL988" t="s">
        <v>78</v>
      </c>
      <c r="AM988">
        <v>4</v>
      </c>
      <c r="AN988" t="s">
        <v>78</v>
      </c>
      <c r="AO988">
        <v>5</v>
      </c>
      <c r="AP988" t="s">
        <v>78</v>
      </c>
      <c r="AQ988">
        <v>4</v>
      </c>
      <c r="AR988">
        <v>1</v>
      </c>
      <c r="AS988">
        <v>4</v>
      </c>
    </row>
    <row r="989" spans="1:4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 t="str">
        <f>IF(Employee_data[[#This Row],[MonthlyIncome]]&lt;5000,"Low Income",
IF(Employee_data[[#This Row],[MonthlyIncome]]&lt;10000,"Medium Income","High Income"))</f>
        <v>High Income</v>
      </c>
      <c r="U989" t="s">
        <v>90</v>
      </c>
      <c r="V989" t="s">
        <v>90</v>
      </c>
      <c r="W989" t="s">
        <v>90</v>
      </c>
      <c r="X989" t="s">
        <v>90</v>
      </c>
      <c r="Y989">
        <v>15395</v>
      </c>
      <c r="Z989">
        <v>2</v>
      </c>
      <c r="AA989" t="s">
        <v>42</v>
      </c>
      <c r="AB989" t="s">
        <v>43</v>
      </c>
      <c r="AC989">
        <v>11</v>
      </c>
      <c r="AD989">
        <v>3</v>
      </c>
      <c r="AE989">
        <v>2</v>
      </c>
      <c r="AF989">
        <v>80</v>
      </c>
      <c r="AG989">
        <v>0</v>
      </c>
      <c r="AH9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89">
        <v>14</v>
      </c>
      <c r="AJ989" t="s">
        <v>74</v>
      </c>
      <c r="AK989">
        <v>5</v>
      </c>
      <c r="AL989" t="s">
        <v>74</v>
      </c>
      <c r="AM989">
        <v>3</v>
      </c>
      <c r="AN989" t="s">
        <v>74</v>
      </c>
      <c r="AO989">
        <v>4</v>
      </c>
      <c r="AP989" t="s">
        <v>74</v>
      </c>
      <c r="AQ989">
        <v>2</v>
      </c>
      <c r="AR989">
        <v>3</v>
      </c>
      <c r="AS989">
        <v>2</v>
      </c>
    </row>
    <row r="990" spans="1:4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 t="str">
        <f>IF(Employee_data[[#This Row],[MonthlyIncome]]&lt;5000,"Low Income",
IF(Employee_data[[#This Row],[MonthlyIncome]]&lt;10000,"Medium Income","High Income"))</f>
        <v>Medium Income</v>
      </c>
      <c r="U990" t="s">
        <v>92</v>
      </c>
      <c r="V990" t="s">
        <v>92</v>
      </c>
      <c r="W990" t="s">
        <v>92</v>
      </c>
      <c r="X990" t="s">
        <v>92</v>
      </c>
      <c r="Y990">
        <v>13953</v>
      </c>
      <c r="Z990">
        <v>3</v>
      </c>
      <c r="AA990" t="s">
        <v>42</v>
      </c>
      <c r="AB990" t="s">
        <v>35</v>
      </c>
      <c r="AC990">
        <v>14</v>
      </c>
      <c r="AD990">
        <v>3</v>
      </c>
      <c r="AE990">
        <v>1</v>
      </c>
      <c r="AF990">
        <v>80</v>
      </c>
      <c r="AG990">
        <v>2</v>
      </c>
      <c r="AH9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90">
        <v>12</v>
      </c>
      <c r="AJ990" t="s">
        <v>78</v>
      </c>
      <c r="AK990">
        <v>4</v>
      </c>
      <c r="AL990" t="s">
        <v>78</v>
      </c>
      <c r="AM990">
        <v>2</v>
      </c>
      <c r="AN990" t="s">
        <v>78</v>
      </c>
      <c r="AO990">
        <v>6</v>
      </c>
      <c r="AP990" t="s">
        <v>78</v>
      </c>
      <c r="AQ990">
        <v>2</v>
      </c>
      <c r="AR990">
        <v>3</v>
      </c>
      <c r="AS990">
        <v>3</v>
      </c>
    </row>
    <row r="991" spans="1:4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 t="str">
        <f>IF(Employee_data[[#This Row],[MonthlyIncome]]&lt;5000,"Low Income",
IF(Employee_data[[#This Row],[MonthlyIncome]]&lt;10000,"Medium Income","High Income"))</f>
        <v>Low Income</v>
      </c>
      <c r="U991" t="s">
        <v>91</v>
      </c>
      <c r="V991" t="s">
        <v>91</v>
      </c>
      <c r="W991" t="s">
        <v>91</v>
      </c>
      <c r="X991" t="s">
        <v>91</v>
      </c>
      <c r="Y991">
        <v>5182</v>
      </c>
      <c r="Z991">
        <v>7</v>
      </c>
      <c r="AA991" t="s">
        <v>42</v>
      </c>
      <c r="AB991" t="s">
        <v>35</v>
      </c>
      <c r="AC991">
        <v>15</v>
      </c>
      <c r="AD991">
        <v>3</v>
      </c>
      <c r="AE991">
        <v>4</v>
      </c>
      <c r="AF991">
        <v>80</v>
      </c>
      <c r="AG991">
        <v>0</v>
      </c>
      <c r="AH9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91">
        <v>8</v>
      </c>
      <c r="AJ991" t="s">
        <v>78</v>
      </c>
      <c r="AK991">
        <v>2</v>
      </c>
      <c r="AL991" t="s">
        <v>78</v>
      </c>
      <c r="AM991">
        <v>3</v>
      </c>
      <c r="AN991" t="s">
        <v>78</v>
      </c>
      <c r="AO991">
        <v>6</v>
      </c>
      <c r="AP991" t="s">
        <v>78</v>
      </c>
      <c r="AQ991">
        <v>4</v>
      </c>
      <c r="AR991">
        <v>1</v>
      </c>
      <c r="AS991">
        <v>3</v>
      </c>
    </row>
    <row r="992" spans="1:4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 t="str">
        <f>IF(Employee_data[[#This Row],[MonthlyIncome]]&lt;5000,"Low Income",
IF(Employee_data[[#This Row],[MonthlyIncome]]&lt;10000,"Medium Income","High Income"))</f>
        <v>Medium Income</v>
      </c>
      <c r="U992" t="s">
        <v>92</v>
      </c>
      <c r="V992" t="s">
        <v>92</v>
      </c>
      <c r="W992" t="s">
        <v>92</v>
      </c>
      <c r="X992" t="s">
        <v>92</v>
      </c>
      <c r="Y992">
        <v>19293</v>
      </c>
      <c r="Z992">
        <v>6</v>
      </c>
      <c r="AA992" t="s">
        <v>42</v>
      </c>
      <c r="AB992" t="s">
        <v>43</v>
      </c>
      <c r="AC992">
        <v>13</v>
      </c>
      <c r="AD992">
        <v>3</v>
      </c>
      <c r="AE992">
        <v>1</v>
      </c>
      <c r="AF992">
        <v>80</v>
      </c>
      <c r="AG992">
        <v>0</v>
      </c>
      <c r="AH9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92">
        <v>8</v>
      </c>
      <c r="AJ992" t="s">
        <v>78</v>
      </c>
      <c r="AK992">
        <v>2</v>
      </c>
      <c r="AL992" t="s">
        <v>78</v>
      </c>
      <c r="AM992">
        <v>4</v>
      </c>
      <c r="AN992" t="s">
        <v>78</v>
      </c>
      <c r="AO992">
        <v>5</v>
      </c>
      <c r="AP992" t="s">
        <v>78</v>
      </c>
      <c r="AQ992">
        <v>4</v>
      </c>
      <c r="AR992">
        <v>1</v>
      </c>
      <c r="AS992">
        <v>2</v>
      </c>
    </row>
    <row r="993" spans="1:4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 t="str">
        <f>IF(Employee_data[[#This Row],[MonthlyIncome]]&lt;5000,"Low Income",
IF(Employee_data[[#This Row],[MonthlyIncome]]&lt;10000,"Medium Income","High Income"))</f>
        <v>Low Income</v>
      </c>
      <c r="U993" t="s">
        <v>91</v>
      </c>
      <c r="V993" t="s">
        <v>91</v>
      </c>
      <c r="W993" t="s">
        <v>91</v>
      </c>
      <c r="X993" t="s">
        <v>91</v>
      </c>
      <c r="Y993">
        <v>20497</v>
      </c>
      <c r="Z993">
        <v>0</v>
      </c>
      <c r="AA993" t="s">
        <v>42</v>
      </c>
      <c r="AB993" t="s">
        <v>35</v>
      </c>
      <c r="AC993">
        <v>13</v>
      </c>
      <c r="AD993">
        <v>3</v>
      </c>
      <c r="AE993">
        <v>1</v>
      </c>
      <c r="AF993">
        <v>80</v>
      </c>
      <c r="AG993">
        <v>3</v>
      </c>
      <c r="AH9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93">
        <v>4</v>
      </c>
      <c r="AJ993" t="s">
        <v>74</v>
      </c>
      <c r="AK993">
        <v>3</v>
      </c>
      <c r="AL993" t="s">
        <v>74</v>
      </c>
      <c r="AM993">
        <v>2</v>
      </c>
      <c r="AN993" t="s">
        <v>74</v>
      </c>
      <c r="AO993">
        <v>3</v>
      </c>
      <c r="AP993" t="s">
        <v>74</v>
      </c>
      <c r="AQ993">
        <v>2</v>
      </c>
      <c r="AR993">
        <v>1</v>
      </c>
      <c r="AS993">
        <v>2</v>
      </c>
    </row>
    <row r="994" spans="1:4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 t="str">
        <f>IF(Employee_data[[#This Row],[MonthlyIncome]]&lt;5000,"Low Income",
IF(Employee_data[[#This Row],[MonthlyIncome]]&lt;10000,"Medium Income","High Income"))</f>
        <v>High Income</v>
      </c>
      <c r="U994" t="s">
        <v>90</v>
      </c>
      <c r="V994" t="s">
        <v>90</v>
      </c>
      <c r="W994" t="s">
        <v>90</v>
      </c>
      <c r="X994" t="s">
        <v>90</v>
      </c>
      <c r="Y994">
        <v>3449</v>
      </c>
      <c r="Z994">
        <v>3</v>
      </c>
      <c r="AA994" t="s">
        <v>42</v>
      </c>
      <c r="AB994" t="s">
        <v>43</v>
      </c>
      <c r="AC994">
        <v>21</v>
      </c>
      <c r="AD994">
        <v>4</v>
      </c>
      <c r="AE994">
        <v>2</v>
      </c>
      <c r="AF994">
        <v>80</v>
      </c>
      <c r="AG994">
        <v>1</v>
      </c>
      <c r="AH9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94">
        <v>13</v>
      </c>
      <c r="AJ994" t="s">
        <v>78</v>
      </c>
      <c r="AK994">
        <v>2</v>
      </c>
      <c r="AL994" t="s">
        <v>78</v>
      </c>
      <c r="AM994">
        <v>3</v>
      </c>
      <c r="AN994" t="s">
        <v>78</v>
      </c>
      <c r="AO994">
        <v>6</v>
      </c>
      <c r="AP994" t="s">
        <v>78</v>
      </c>
      <c r="AQ994">
        <v>4</v>
      </c>
      <c r="AR994">
        <v>0</v>
      </c>
      <c r="AS994">
        <v>5</v>
      </c>
    </row>
    <row r="995" spans="1:4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 t="str">
        <f>IF(Employee_data[[#This Row],[MonthlyIncome]]&lt;5000,"Low Income",
IF(Employee_data[[#This Row],[MonthlyIncome]]&lt;10000,"Medium Income","High Income"))</f>
        <v>Medium Income</v>
      </c>
      <c r="U995" t="s">
        <v>92</v>
      </c>
      <c r="V995" t="s">
        <v>92</v>
      </c>
      <c r="W995" t="s">
        <v>92</v>
      </c>
      <c r="X995" t="s">
        <v>92</v>
      </c>
      <c r="Y995">
        <v>12477</v>
      </c>
      <c r="Z995">
        <v>2</v>
      </c>
      <c r="AA995" t="s">
        <v>42</v>
      </c>
      <c r="AB995" t="s">
        <v>43</v>
      </c>
      <c r="AC995">
        <v>11</v>
      </c>
      <c r="AD995">
        <v>3</v>
      </c>
      <c r="AE995">
        <v>2</v>
      </c>
      <c r="AF995">
        <v>80</v>
      </c>
      <c r="AG995">
        <v>0</v>
      </c>
      <c r="AH9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995">
        <v>6</v>
      </c>
      <c r="AJ995" t="s">
        <v>74</v>
      </c>
      <c r="AK995">
        <v>3</v>
      </c>
      <c r="AL995" t="s">
        <v>74</v>
      </c>
      <c r="AM995">
        <v>2</v>
      </c>
      <c r="AN995" t="s">
        <v>74</v>
      </c>
      <c r="AO995">
        <v>3</v>
      </c>
      <c r="AP995" t="s">
        <v>74</v>
      </c>
      <c r="AQ995">
        <v>2</v>
      </c>
      <c r="AR995">
        <v>1</v>
      </c>
      <c r="AS995">
        <v>2</v>
      </c>
    </row>
    <row r="996" spans="1:4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 t="str">
        <f>IF(Employee_data[[#This Row],[MonthlyIncome]]&lt;5000,"Low Income",
IF(Employee_data[[#This Row],[MonthlyIncome]]&lt;10000,"Medium Income","High Income"))</f>
        <v>High Income</v>
      </c>
      <c r="U996" t="s">
        <v>90</v>
      </c>
      <c r="V996" t="s">
        <v>90</v>
      </c>
      <c r="W996" t="s">
        <v>90</v>
      </c>
      <c r="X996" t="s">
        <v>90</v>
      </c>
      <c r="Y996">
        <v>9731</v>
      </c>
      <c r="Z996">
        <v>2</v>
      </c>
      <c r="AA996" t="s">
        <v>42</v>
      </c>
      <c r="AB996" t="s">
        <v>35</v>
      </c>
      <c r="AC996">
        <v>11</v>
      </c>
      <c r="AD996">
        <v>3</v>
      </c>
      <c r="AE996">
        <v>2</v>
      </c>
      <c r="AF996">
        <v>80</v>
      </c>
      <c r="AG996">
        <v>1</v>
      </c>
      <c r="AH9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96">
        <v>24</v>
      </c>
      <c r="AJ996" t="s">
        <v>78</v>
      </c>
      <c r="AK996">
        <v>3</v>
      </c>
      <c r="AL996" t="s">
        <v>78</v>
      </c>
      <c r="AM996">
        <v>2</v>
      </c>
      <c r="AN996" t="s">
        <v>78</v>
      </c>
      <c r="AO996">
        <v>5</v>
      </c>
      <c r="AP996" t="s">
        <v>78</v>
      </c>
      <c r="AQ996">
        <v>3</v>
      </c>
      <c r="AR996">
        <v>0</v>
      </c>
      <c r="AS996">
        <v>2</v>
      </c>
    </row>
    <row r="997" spans="1:4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 t="str">
        <f>IF(Employee_data[[#This Row],[MonthlyIncome]]&lt;5000,"Low Income",
IF(Employee_data[[#This Row],[MonthlyIncome]]&lt;10000,"Medium Income","High Income"))</f>
        <v>Low Income</v>
      </c>
      <c r="U997" t="s">
        <v>91</v>
      </c>
      <c r="V997" t="s">
        <v>91</v>
      </c>
      <c r="W997" t="s">
        <v>91</v>
      </c>
      <c r="X997" t="s">
        <v>91</v>
      </c>
      <c r="Y997">
        <v>20003</v>
      </c>
      <c r="Z997">
        <v>1</v>
      </c>
      <c r="AA997" t="s">
        <v>42</v>
      </c>
      <c r="AB997" t="s">
        <v>35</v>
      </c>
      <c r="AC997">
        <v>14</v>
      </c>
      <c r="AD997">
        <v>3</v>
      </c>
      <c r="AE997">
        <v>1</v>
      </c>
      <c r="AF997">
        <v>80</v>
      </c>
      <c r="AG997">
        <v>0</v>
      </c>
      <c r="AH9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997">
        <v>20</v>
      </c>
      <c r="AJ997" t="s">
        <v>76</v>
      </c>
      <c r="AK997">
        <v>3</v>
      </c>
      <c r="AL997" t="s">
        <v>76</v>
      </c>
      <c r="AM997">
        <v>1</v>
      </c>
      <c r="AN997" t="s">
        <v>76</v>
      </c>
      <c r="AO997">
        <v>20</v>
      </c>
      <c r="AP997" t="s">
        <v>76</v>
      </c>
      <c r="AQ997">
        <v>7</v>
      </c>
      <c r="AR997">
        <v>1</v>
      </c>
      <c r="AS997">
        <v>8</v>
      </c>
    </row>
    <row r="998" spans="1:4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 t="str">
        <f>IF(Employee_data[[#This Row],[MonthlyIncome]]&lt;5000,"Low Income",
IF(Employee_data[[#This Row],[MonthlyIncome]]&lt;10000,"Medium Income","High Income"))</f>
        <v>Medium Income</v>
      </c>
      <c r="U998" t="s">
        <v>92</v>
      </c>
      <c r="V998" t="s">
        <v>92</v>
      </c>
      <c r="W998" t="s">
        <v>92</v>
      </c>
      <c r="X998" t="s">
        <v>92</v>
      </c>
      <c r="Y998">
        <v>7100</v>
      </c>
      <c r="Z998">
        <v>1</v>
      </c>
      <c r="AA998" t="s">
        <v>42</v>
      </c>
      <c r="AB998" t="s">
        <v>35</v>
      </c>
      <c r="AC998">
        <v>11</v>
      </c>
      <c r="AD998">
        <v>3</v>
      </c>
      <c r="AE998">
        <v>4</v>
      </c>
      <c r="AF998">
        <v>80</v>
      </c>
      <c r="AG998">
        <v>0</v>
      </c>
      <c r="AH9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98">
        <v>6</v>
      </c>
      <c r="AJ998" t="s">
        <v>78</v>
      </c>
      <c r="AK998">
        <v>3</v>
      </c>
      <c r="AL998" t="s">
        <v>78</v>
      </c>
      <c r="AM998">
        <v>3</v>
      </c>
      <c r="AN998" t="s">
        <v>78</v>
      </c>
      <c r="AO998">
        <v>6</v>
      </c>
      <c r="AP998" t="s">
        <v>78</v>
      </c>
      <c r="AQ998">
        <v>2</v>
      </c>
      <c r="AR998">
        <v>4</v>
      </c>
      <c r="AS998">
        <v>4</v>
      </c>
    </row>
    <row r="999" spans="1:4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 t="str">
        <f>IF(Employee_data[[#This Row],[MonthlyIncome]]&lt;5000,"Low Income",
IF(Employee_data[[#This Row],[MonthlyIncome]]&lt;10000,"Medium Income","High Income"))</f>
        <v>Low Income</v>
      </c>
      <c r="U999" t="s">
        <v>91</v>
      </c>
      <c r="V999" t="s">
        <v>91</v>
      </c>
      <c r="W999" t="s">
        <v>91</v>
      </c>
      <c r="X999" t="s">
        <v>91</v>
      </c>
      <c r="Y999">
        <v>25681</v>
      </c>
      <c r="Z999">
        <v>1</v>
      </c>
      <c r="AA999" t="s">
        <v>42</v>
      </c>
      <c r="AB999" t="s">
        <v>35</v>
      </c>
      <c r="AC999">
        <v>13</v>
      </c>
      <c r="AD999">
        <v>3</v>
      </c>
      <c r="AE999">
        <v>4</v>
      </c>
      <c r="AF999">
        <v>80</v>
      </c>
      <c r="AG999">
        <v>0</v>
      </c>
      <c r="AH9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999">
        <v>8</v>
      </c>
      <c r="AJ999" t="s">
        <v>78</v>
      </c>
      <c r="AK999">
        <v>2</v>
      </c>
      <c r="AL999" t="s">
        <v>78</v>
      </c>
      <c r="AM999">
        <v>3</v>
      </c>
      <c r="AN999" t="s">
        <v>78</v>
      </c>
      <c r="AO999">
        <v>8</v>
      </c>
      <c r="AP999" t="s">
        <v>78</v>
      </c>
      <c r="AQ999">
        <v>2</v>
      </c>
      <c r="AR999">
        <v>7</v>
      </c>
      <c r="AS999">
        <v>7</v>
      </c>
    </row>
    <row r="1000" spans="1:4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 t="str">
        <f>IF(Employee_data[[#This Row],[MonthlyIncome]]&lt;5000,"Low Income",
IF(Employee_data[[#This Row],[MonthlyIncome]]&lt;10000,"Medium Income","High Income"))</f>
        <v>Low Income</v>
      </c>
      <c r="U1000" t="s">
        <v>91</v>
      </c>
      <c r="V1000" t="s">
        <v>91</v>
      </c>
      <c r="W1000" t="s">
        <v>91</v>
      </c>
      <c r="X1000" t="s">
        <v>91</v>
      </c>
      <c r="Y1000">
        <v>4050</v>
      </c>
      <c r="Z1000">
        <v>0</v>
      </c>
      <c r="AA1000" t="s">
        <v>42</v>
      </c>
      <c r="AB1000" t="s">
        <v>43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00">
        <v>5</v>
      </c>
      <c r="AJ1000" t="s">
        <v>74</v>
      </c>
      <c r="AK1000">
        <v>2</v>
      </c>
      <c r="AL1000" t="s">
        <v>74</v>
      </c>
      <c r="AM1000">
        <v>3</v>
      </c>
      <c r="AN1000" t="s">
        <v>74</v>
      </c>
      <c r="AO1000">
        <v>4</v>
      </c>
      <c r="AP1000" t="s">
        <v>74</v>
      </c>
      <c r="AQ1000">
        <v>3</v>
      </c>
      <c r="AR1000">
        <v>1</v>
      </c>
      <c r="AS1000">
        <v>1</v>
      </c>
    </row>
    <row r="1001" spans="1:4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 t="str">
        <f>IF(Employee_data[[#This Row],[MonthlyIncome]]&lt;5000,"Low Income",
IF(Employee_data[[#This Row],[MonthlyIncome]]&lt;10000,"Medium Income","High Income"))</f>
        <v>High Income</v>
      </c>
      <c r="U1001" t="s">
        <v>90</v>
      </c>
      <c r="V1001" t="s">
        <v>90</v>
      </c>
      <c r="W1001" t="s">
        <v>90</v>
      </c>
      <c r="X1001" t="s">
        <v>90</v>
      </c>
      <c r="Y1001">
        <v>16616</v>
      </c>
      <c r="Z1001">
        <v>0</v>
      </c>
      <c r="AA1001" t="s">
        <v>42</v>
      </c>
      <c r="AB1001" t="s">
        <v>43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001">
        <v>21</v>
      </c>
      <c r="AJ1001" t="s">
        <v>76</v>
      </c>
      <c r="AK1001">
        <v>5</v>
      </c>
      <c r="AL1001" t="s">
        <v>76</v>
      </c>
      <c r="AM1001">
        <v>3</v>
      </c>
      <c r="AN1001" t="s">
        <v>76</v>
      </c>
      <c r="AO1001">
        <v>20</v>
      </c>
      <c r="AP1001" t="s">
        <v>76</v>
      </c>
      <c r="AQ1001">
        <v>7</v>
      </c>
      <c r="AR1001">
        <v>0</v>
      </c>
      <c r="AS1001">
        <v>9</v>
      </c>
    </row>
    <row r="1002" spans="1:4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 t="str">
        <f>IF(Employee_data[[#This Row],[MonthlyIncome]]&lt;5000,"Low Income",
IF(Employee_data[[#This Row],[MonthlyIncome]]&lt;10000,"Medium Income","High Income"))</f>
        <v>Low Income</v>
      </c>
      <c r="U1002" t="s">
        <v>91</v>
      </c>
      <c r="V1002" t="s">
        <v>91</v>
      </c>
      <c r="W1002" t="s">
        <v>91</v>
      </c>
      <c r="X1002" t="s">
        <v>91</v>
      </c>
      <c r="Y1002">
        <v>17363</v>
      </c>
      <c r="Z1002">
        <v>9</v>
      </c>
      <c r="AA1002" t="s">
        <v>42</v>
      </c>
      <c r="AB1002" t="s">
        <v>43</v>
      </c>
      <c r="AC1002">
        <v>13</v>
      </c>
      <c r="AD1002">
        <v>3</v>
      </c>
      <c r="AE1002">
        <v>3</v>
      </c>
      <c r="AF1002">
        <v>80</v>
      </c>
      <c r="AG1002">
        <v>0</v>
      </c>
      <c r="AH10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02">
        <v>12</v>
      </c>
      <c r="AJ1002" t="s">
        <v>78</v>
      </c>
      <c r="AK1002">
        <v>2</v>
      </c>
      <c r="AL1002" t="s">
        <v>78</v>
      </c>
      <c r="AM1002">
        <v>1</v>
      </c>
      <c r="AN1002" t="s">
        <v>78</v>
      </c>
      <c r="AO1002">
        <v>5</v>
      </c>
      <c r="AP1002" t="s">
        <v>78</v>
      </c>
      <c r="AQ1002">
        <v>4</v>
      </c>
      <c r="AR1002">
        <v>0</v>
      </c>
      <c r="AS1002">
        <v>4</v>
      </c>
    </row>
    <row r="1003" spans="1:4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 t="str">
        <f>IF(Employee_data[[#This Row],[MonthlyIncome]]&lt;5000,"Low Income",
IF(Employee_data[[#This Row],[MonthlyIncome]]&lt;10000,"Medium Income","High Income"))</f>
        <v>Low Income</v>
      </c>
      <c r="U1003" t="s">
        <v>91</v>
      </c>
      <c r="V1003" t="s">
        <v>91</v>
      </c>
      <c r="W1003" t="s">
        <v>91</v>
      </c>
      <c r="X1003" t="s">
        <v>91</v>
      </c>
      <c r="Y1003">
        <v>19106</v>
      </c>
      <c r="Z1003">
        <v>4</v>
      </c>
      <c r="AA1003" t="s">
        <v>42</v>
      </c>
      <c r="AB1003" t="s">
        <v>43</v>
      </c>
      <c r="AC1003">
        <v>18</v>
      </c>
      <c r="AD1003">
        <v>3</v>
      </c>
      <c r="AE1003">
        <v>1</v>
      </c>
      <c r="AF1003">
        <v>80</v>
      </c>
      <c r="AG1003">
        <v>0</v>
      </c>
      <c r="AH10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03">
        <v>8</v>
      </c>
      <c r="AJ1003" t="s">
        <v>74</v>
      </c>
      <c r="AK1003">
        <v>6</v>
      </c>
      <c r="AL1003" t="s">
        <v>74</v>
      </c>
      <c r="AM1003">
        <v>3</v>
      </c>
      <c r="AN1003" t="s">
        <v>74</v>
      </c>
      <c r="AO1003">
        <v>3</v>
      </c>
      <c r="AP1003" t="s">
        <v>74</v>
      </c>
      <c r="AQ1003">
        <v>2</v>
      </c>
      <c r="AR1003">
        <v>0</v>
      </c>
      <c r="AS1003">
        <v>2</v>
      </c>
    </row>
    <row r="1004" spans="1:4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 t="str">
        <f>IF(Employee_data[[#This Row],[MonthlyIncome]]&lt;5000,"Low Income",
IF(Employee_data[[#This Row],[MonthlyIncome]]&lt;10000,"Medium Income","High Income"))</f>
        <v>Medium Income</v>
      </c>
      <c r="U1004" t="s">
        <v>92</v>
      </c>
      <c r="V1004" t="s">
        <v>92</v>
      </c>
      <c r="W1004" t="s">
        <v>92</v>
      </c>
      <c r="X1004" t="s">
        <v>92</v>
      </c>
      <c r="Y1004">
        <v>19944</v>
      </c>
      <c r="Z1004">
        <v>2</v>
      </c>
      <c r="AA1004" t="s">
        <v>42</v>
      </c>
      <c r="AB1004" t="s">
        <v>43</v>
      </c>
      <c r="AC1004">
        <v>11</v>
      </c>
      <c r="AD1004">
        <v>3</v>
      </c>
      <c r="AE1004">
        <v>3</v>
      </c>
      <c r="AF1004">
        <v>80</v>
      </c>
      <c r="AG1004">
        <v>0</v>
      </c>
      <c r="AH10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04">
        <v>10</v>
      </c>
      <c r="AJ1004" t="s">
        <v>74</v>
      </c>
      <c r="AK1004">
        <v>2</v>
      </c>
      <c r="AL1004" t="s">
        <v>74</v>
      </c>
      <c r="AM1004">
        <v>3</v>
      </c>
      <c r="AN1004" t="s">
        <v>74</v>
      </c>
      <c r="AO1004">
        <v>2</v>
      </c>
      <c r="AP1004" t="s">
        <v>74</v>
      </c>
      <c r="AQ1004">
        <v>2</v>
      </c>
      <c r="AR1004">
        <v>2</v>
      </c>
      <c r="AS1004">
        <v>2</v>
      </c>
    </row>
    <row r="1005" spans="1:4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 t="str">
        <f>IF(Employee_data[[#This Row],[MonthlyIncome]]&lt;5000,"Low Income",
IF(Employee_data[[#This Row],[MonthlyIncome]]&lt;10000,"Medium Income","High Income"))</f>
        <v>Low Income</v>
      </c>
      <c r="U1005" t="s">
        <v>91</v>
      </c>
      <c r="V1005" t="s">
        <v>91</v>
      </c>
      <c r="W1005" t="s">
        <v>91</v>
      </c>
      <c r="X1005" t="s">
        <v>91</v>
      </c>
      <c r="Y1005">
        <v>4910</v>
      </c>
      <c r="Z1005">
        <v>4</v>
      </c>
      <c r="AA1005" t="s">
        <v>42</v>
      </c>
      <c r="AB1005" t="s">
        <v>43</v>
      </c>
      <c r="AC1005">
        <v>11</v>
      </c>
      <c r="AD1005">
        <v>3</v>
      </c>
      <c r="AE1005">
        <v>2</v>
      </c>
      <c r="AF1005">
        <v>80</v>
      </c>
      <c r="AG1005">
        <v>1</v>
      </c>
      <c r="AH10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05">
        <v>7</v>
      </c>
      <c r="AJ1005" t="s">
        <v>74</v>
      </c>
      <c r="AK1005">
        <v>2</v>
      </c>
      <c r="AL1005" t="s">
        <v>74</v>
      </c>
      <c r="AM1005">
        <v>2</v>
      </c>
      <c r="AN1005" t="s">
        <v>74</v>
      </c>
      <c r="AO1005">
        <v>3</v>
      </c>
      <c r="AP1005" t="s">
        <v>74</v>
      </c>
      <c r="AQ1005">
        <v>2</v>
      </c>
      <c r="AR1005">
        <v>0</v>
      </c>
      <c r="AS1005">
        <v>2</v>
      </c>
    </row>
    <row r="1006" spans="1:4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 t="str">
        <f>IF(Employee_data[[#This Row],[MonthlyIncome]]&lt;5000,"Low Income",
IF(Employee_data[[#This Row],[MonthlyIncome]]&lt;10000,"Medium Income","High Income"))</f>
        <v>Low Income</v>
      </c>
      <c r="U1006" t="s">
        <v>91</v>
      </c>
      <c r="V1006" t="s">
        <v>91</v>
      </c>
      <c r="W1006" t="s">
        <v>91</v>
      </c>
      <c r="X1006" t="s">
        <v>91</v>
      </c>
      <c r="Y1006">
        <v>23577</v>
      </c>
      <c r="Z1006">
        <v>0</v>
      </c>
      <c r="AA1006" t="s">
        <v>42</v>
      </c>
      <c r="AB1006" t="s">
        <v>43</v>
      </c>
      <c r="AC1006">
        <v>12</v>
      </c>
      <c r="AD1006">
        <v>3</v>
      </c>
      <c r="AE1006">
        <v>4</v>
      </c>
      <c r="AF1006">
        <v>80</v>
      </c>
      <c r="AG1006">
        <v>0</v>
      </c>
      <c r="AH10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06">
        <v>8</v>
      </c>
      <c r="AJ1006" t="s">
        <v>78</v>
      </c>
      <c r="AK1006">
        <v>2</v>
      </c>
      <c r="AL1006" t="s">
        <v>78</v>
      </c>
      <c r="AM1006">
        <v>3</v>
      </c>
      <c r="AN1006" t="s">
        <v>78</v>
      </c>
      <c r="AO1006">
        <v>7</v>
      </c>
      <c r="AP1006" t="s">
        <v>78</v>
      </c>
      <c r="AQ1006">
        <v>7</v>
      </c>
      <c r="AR1006">
        <v>0</v>
      </c>
      <c r="AS1006">
        <v>7</v>
      </c>
    </row>
    <row r="1007" spans="1:4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 t="str">
        <f>IF(Employee_data[[#This Row],[MonthlyIncome]]&lt;5000,"Low Income",
IF(Employee_data[[#This Row],[MonthlyIncome]]&lt;10000,"Medium Income","High Income"))</f>
        <v>Medium Income</v>
      </c>
      <c r="U1007" t="s">
        <v>92</v>
      </c>
      <c r="V1007" t="s">
        <v>92</v>
      </c>
      <c r="W1007" t="s">
        <v>92</v>
      </c>
      <c r="X1007" t="s">
        <v>92</v>
      </c>
      <c r="Y1007">
        <v>9769</v>
      </c>
      <c r="Z1007">
        <v>1</v>
      </c>
      <c r="AA1007" t="s">
        <v>42</v>
      </c>
      <c r="AB1007" t="s">
        <v>43</v>
      </c>
      <c r="AC1007">
        <v>13</v>
      </c>
      <c r="AD1007">
        <v>3</v>
      </c>
      <c r="AE1007">
        <v>1</v>
      </c>
      <c r="AF1007">
        <v>80</v>
      </c>
      <c r="AG1007">
        <v>0</v>
      </c>
      <c r="AH10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07">
        <v>10</v>
      </c>
      <c r="AJ1007" t="s">
        <v>75</v>
      </c>
      <c r="AK1007">
        <v>3</v>
      </c>
      <c r="AL1007" t="s">
        <v>75</v>
      </c>
      <c r="AM1007">
        <v>2</v>
      </c>
      <c r="AN1007" t="s">
        <v>75</v>
      </c>
      <c r="AO1007">
        <v>10</v>
      </c>
      <c r="AP1007" t="s">
        <v>75</v>
      </c>
      <c r="AQ1007">
        <v>9</v>
      </c>
      <c r="AR1007">
        <v>0</v>
      </c>
      <c r="AS1007">
        <v>9</v>
      </c>
    </row>
    <row r="1008" spans="1:4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 t="str">
        <f>IF(Employee_data[[#This Row],[MonthlyIncome]]&lt;5000,"Low Income",
IF(Employee_data[[#This Row],[MonthlyIncome]]&lt;10000,"Medium Income","High Income"))</f>
        <v>Low Income</v>
      </c>
      <c r="U1008" t="s">
        <v>91</v>
      </c>
      <c r="V1008" t="s">
        <v>91</v>
      </c>
      <c r="W1008" t="s">
        <v>91</v>
      </c>
      <c r="X1008" t="s">
        <v>91</v>
      </c>
      <c r="Y1008">
        <v>22710</v>
      </c>
      <c r="Z1008">
        <v>3</v>
      </c>
      <c r="AA1008" t="s">
        <v>42</v>
      </c>
      <c r="AB1008" t="s">
        <v>43</v>
      </c>
      <c r="AC1008">
        <v>20</v>
      </c>
      <c r="AD1008">
        <v>4</v>
      </c>
      <c r="AE1008">
        <v>1</v>
      </c>
      <c r="AF1008">
        <v>80</v>
      </c>
      <c r="AG1008">
        <v>0</v>
      </c>
      <c r="AH10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08">
        <v>20</v>
      </c>
      <c r="AJ1008" t="s">
        <v>74</v>
      </c>
      <c r="AK1008">
        <v>2</v>
      </c>
      <c r="AL1008" t="s">
        <v>74</v>
      </c>
      <c r="AM1008">
        <v>3</v>
      </c>
      <c r="AN1008" t="s">
        <v>74</v>
      </c>
      <c r="AO1008">
        <v>4</v>
      </c>
      <c r="AP1008" t="s">
        <v>74</v>
      </c>
      <c r="AQ1008">
        <v>3</v>
      </c>
      <c r="AR1008">
        <v>1</v>
      </c>
      <c r="AS1008">
        <v>3</v>
      </c>
    </row>
    <row r="1009" spans="1:4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 t="str">
        <f>IF(Employee_data[[#This Row],[MonthlyIncome]]&lt;5000,"Low Income",
IF(Employee_data[[#This Row],[MonthlyIncome]]&lt;10000,"Medium Income","High Income"))</f>
        <v>Medium Income</v>
      </c>
      <c r="U1009" t="s">
        <v>92</v>
      </c>
      <c r="V1009" t="s">
        <v>92</v>
      </c>
      <c r="W1009" t="s">
        <v>92</v>
      </c>
      <c r="X1009" t="s">
        <v>92</v>
      </c>
      <c r="Y1009">
        <v>22930</v>
      </c>
      <c r="Z1009">
        <v>0</v>
      </c>
      <c r="AA1009" t="s">
        <v>42</v>
      </c>
      <c r="AB1009" t="s">
        <v>35</v>
      </c>
      <c r="AC1009">
        <v>12</v>
      </c>
      <c r="AD1009">
        <v>3</v>
      </c>
      <c r="AE1009">
        <v>1</v>
      </c>
      <c r="AF1009">
        <v>80</v>
      </c>
      <c r="AG1009">
        <v>0</v>
      </c>
      <c r="AH10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09">
        <v>9</v>
      </c>
      <c r="AJ1009" t="s">
        <v>78</v>
      </c>
      <c r="AK1009">
        <v>1</v>
      </c>
      <c r="AL1009" t="s">
        <v>78</v>
      </c>
      <c r="AM1009">
        <v>3</v>
      </c>
      <c r="AN1009" t="s">
        <v>78</v>
      </c>
      <c r="AO1009">
        <v>8</v>
      </c>
      <c r="AP1009" t="s">
        <v>78</v>
      </c>
      <c r="AQ1009">
        <v>7</v>
      </c>
      <c r="AR1009">
        <v>7</v>
      </c>
      <c r="AS1009">
        <v>7</v>
      </c>
    </row>
    <row r="1010" spans="1:4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 t="str">
        <f>IF(Employee_data[[#This Row],[MonthlyIncome]]&lt;5000,"Low Income",
IF(Employee_data[[#This Row],[MonthlyIncome]]&lt;10000,"Medium Income","High Income"))</f>
        <v>High Income</v>
      </c>
      <c r="U1010" t="s">
        <v>90</v>
      </c>
      <c r="V1010" t="s">
        <v>90</v>
      </c>
      <c r="W1010" t="s">
        <v>90</v>
      </c>
      <c r="X1010" t="s">
        <v>90</v>
      </c>
      <c r="Y1010">
        <v>5652</v>
      </c>
      <c r="Z1010">
        <v>6</v>
      </c>
      <c r="AA1010" t="s">
        <v>42</v>
      </c>
      <c r="AB1010" t="s">
        <v>43</v>
      </c>
      <c r="AC1010">
        <v>19</v>
      </c>
      <c r="AD1010">
        <v>3</v>
      </c>
      <c r="AE1010">
        <v>4</v>
      </c>
      <c r="AF1010">
        <v>80</v>
      </c>
      <c r="AG1010">
        <v>0</v>
      </c>
      <c r="AH10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010">
        <v>29</v>
      </c>
      <c r="AJ1010" t="s">
        <v>76</v>
      </c>
      <c r="AK1010">
        <v>3</v>
      </c>
      <c r="AL1010" t="s">
        <v>76</v>
      </c>
      <c r="AM1010">
        <v>2</v>
      </c>
      <c r="AN1010" t="s">
        <v>76</v>
      </c>
      <c r="AO1010">
        <v>20</v>
      </c>
      <c r="AP1010" t="s">
        <v>76</v>
      </c>
      <c r="AQ1010">
        <v>7</v>
      </c>
      <c r="AR1010">
        <v>12</v>
      </c>
      <c r="AS1010">
        <v>7</v>
      </c>
    </row>
    <row r="1011" spans="1:4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 t="str">
        <f>IF(Employee_data[[#This Row],[MonthlyIncome]]&lt;5000,"Low Income",
IF(Employee_data[[#This Row],[MonthlyIncome]]&lt;10000,"Medium Income","High Income"))</f>
        <v>High Income</v>
      </c>
      <c r="U1011" t="s">
        <v>90</v>
      </c>
      <c r="V1011" t="s">
        <v>90</v>
      </c>
      <c r="W1011" t="s">
        <v>90</v>
      </c>
      <c r="X1011" t="s">
        <v>90</v>
      </c>
      <c r="Y1011">
        <v>22456</v>
      </c>
      <c r="Z1011">
        <v>3</v>
      </c>
      <c r="AA1011" t="s">
        <v>42</v>
      </c>
      <c r="AB1011" t="s">
        <v>35</v>
      </c>
      <c r="AC1011">
        <v>21</v>
      </c>
      <c r="AD1011">
        <v>4</v>
      </c>
      <c r="AE1011">
        <v>3</v>
      </c>
      <c r="AF1011">
        <v>80</v>
      </c>
      <c r="AG1011">
        <v>1</v>
      </c>
      <c r="AH10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11">
        <v>32</v>
      </c>
      <c r="AJ1011" t="s">
        <v>78</v>
      </c>
      <c r="AK1011">
        <v>3</v>
      </c>
      <c r="AL1011" t="s">
        <v>78</v>
      </c>
      <c r="AM1011">
        <v>3</v>
      </c>
      <c r="AN1011" t="s">
        <v>78</v>
      </c>
      <c r="AO1011">
        <v>9</v>
      </c>
      <c r="AP1011" t="s">
        <v>78</v>
      </c>
      <c r="AQ1011">
        <v>8</v>
      </c>
      <c r="AR1011">
        <v>1</v>
      </c>
      <c r="AS1011">
        <v>5</v>
      </c>
    </row>
    <row r="1012" spans="1:4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 t="str">
        <f>IF(Employee_data[[#This Row],[MonthlyIncome]]&lt;5000,"Low Income",
IF(Employee_data[[#This Row],[MonthlyIncome]]&lt;10000,"Medium Income","High Income"))</f>
        <v>High Income</v>
      </c>
      <c r="U1012" t="s">
        <v>90</v>
      </c>
      <c r="V1012" t="s">
        <v>90</v>
      </c>
      <c r="W1012" t="s">
        <v>90</v>
      </c>
      <c r="X1012" t="s">
        <v>90</v>
      </c>
      <c r="Y1012">
        <v>12414</v>
      </c>
      <c r="Z1012">
        <v>2</v>
      </c>
      <c r="AA1012" t="s">
        <v>42</v>
      </c>
      <c r="AB1012" t="s">
        <v>43</v>
      </c>
      <c r="AC1012">
        <v>13</v>
      </c>
      <c r="AD1012">
        <v>3</v>
      </c>
      <c r="AE1012">
        <v>4</v>
      </c>
      <c r="AF1012">
        <v>80</v>
      </c>
      <c r="AG1012">
        <v>2</v>
      </c>
      <c r="AH10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12">
        <v>31</v>
      </c>
      <c r="AJ1012" t="s">
        <v>78</v>
      </c>
      <c r="AK1012">
        <v>4</v>
      </c>
      <c r="AL1012" t="s">
        <v>78</v>
      </c>
      <c r="AM1012">
        <v>4</v>
      </c>
      <c r="AN1012" t="s">
        <v>78</v>
      </c>
      <c r="AO1012">
        <v>7</v>
      </c>
      <c r="AP1012" t="s">
        <v>78</v>
      </c>
      <c r="AQ1012">
        <v>7</v>
      </c>
      <c r="AR1012">
        <v>0</v>
      </c>
      <c r="AS1012">
        <v>0</v>
      </c>
    </row>
    <row r="1013" spans="1:4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 t="str">
        <f>IF(Employee_data[[#This Row],[MonthlyIncome]]&lt;5000,"Low Income",
IF(Employee_data[[#This Row],[MonthlyIncome]]&lt;10000,"Medium Income","High Income"))</f>
        <v>Medium Income</v>
      </c>
      <c r="U1013" t="s">
        <v>92</v>
      </c>
      <c r="V1013" t="s">
        <v>92</v>
      </c>
      <c r="W1013" t="s">
        <v>92</v>
      </c>
      <c r="X1013" t="s">
        <v>92</v>
      </c>
      <c r="Y1013">
        <v>20763</v>
      </c>
      <c r="Z1013">
        <v>3</v>
      </c>
      <c r="AA1013" t="s">
        <v>42</v>
      </c>
      <c r="AB1013" t="s">
        <v>35</v>
      </c>
      <c r="AC1013">
        <v>16</v>
      </c>
      <c r="AD1013">
        <v>3</v>
      </c>
      <c r="AE1013">
        <v>4</v>
      </c>
      <c r="AF1013">
        <v>80</v>
      </c>
      <c r="AG1013">
        <v>0</v>
      </c>
      <c r="AH10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13">
        <v>15</v>
      </c>
      <c r="AJ1013" t="s">
        <v>78</v>
      </c>
      <c r="AK1013">
        <v>3</v>
      </c>
      <c r="AL1013" t="s">
        <v>78</v>
      </c>
      <c r="AM1013">
        <v>3</v>
      </c>
      <c r="AN1013" t="s">
        <v>78</v>
      </c>
      <c r="AO1013">
        <v>5</v>
      </c>
      <c r="AP1013" t="s">
        <v>78</v>
      </c>
      <c r="AQ1013">
        <v>4</v>
      </c>
      <c r="AR1013">
        <v>0</v>
      </c>
      <c r="AS1013">
        <v>1</v>
      </c>
    </row>
    <row r="1014" spans="1:4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 t="str">
        <f>IF(Employee_data[[#This Row],[MonthlyIncome]]&lt;5000,"Low Income",
IF(Employee_data[[#This Row],[MonthlyIncome]]&lt;10000,"Medium Income","High Income"))</f>
        <v>Low Income</v>
      </c>
      <c r="U1014" t="s">
        <v>91</v>
      </c>
      <c r="V1014" t="s">
        <v>91</v>
      </c>
      <c r="W1014" t="s">
        <v>91</v>
      </c>
      <c r="X1014" t="s">
        <v>91</v>
      </c>
      <c r="Y1014">
        <v>16154</v>
      </c>
      <c r="Z1014">
        <v>1</v>
      </c>
      <c r="AA1014" t="s">
        <v>42</v>
      </c>
      <c r="AB1014" t="s">
        <v>43</v>
      </c>
      <c r="AC1014">
        <v>12</v>
      </c>
      <c r="AD1014">
        <v>3</v>
      </c>
      <c r="AE1014">
        <v>2</v>
      </c>
      <c r="AF1014">
        <v>80</v>
      </c>
      <c r="AG1014">
        <v>0</v>
      </c>
      <c r="AH10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14">
        <v>1</v>
      </c>
      <c r="AJ1014" t="s">
        <v>74</v>
      </c>
      <c r="AK1014">
        <v>3</v>
      </c>
      <c r="AL1014" t="s">
        <v>74</v>
      </c>
      <c r="AM1014">
        <v>3</v>
      </c>
      <c r="AN1014" t="s">
        <v>74</v>
      </c>
      <c r="AO1014">
        <v>1</v>
      </c>
      <c r="AP1014" t="s">
        <v>74</v>
      </c>
      <c r="AQ1014">
        <v>0</v>
      </c>
      <c r="AR1014">
        <v>0</v>
      </c>
      <c r="AS1014">
        <v>0</v>
      </c>
    </row>
    <row r="1015" spans="1:4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 t="str">
        <f>IF(Employee_data[[#This Row],[MonthlyIncome]]&lt;5000,"Low Income",
IF(Employee_data[[#This Row],[MonthlyIncome]]&lt;10000,"Medium Income","High Income"))</f>
        <v>Low Income</v>
      </c>
      <c r="U1015" t="s">
        <v>91</v>
      </c>
      <c r="V1015" t="s">
        <v>91</v>
      </c>
      <c r="W1015" t="s">
        <v>91</v>
      </c>
      <c r="X1015" t="s">
        <v>91</v>
      </c>
      <c r="Y1015">
        <v>12761</v>
      </c>
      <c r="Z1015">
        <v>7</v>
      </c>
      <c r="AA1015" t="s">
        <v>42</v>
      </c>
      <c r="AB1015" t="s">
        <v>43</v>
      </c>
      <c r="AC1015">
        <v>14</v>
      </c>
      <c r="AD1015">
        <v>3</v>
      </c>
      <c r="AE1015">
        <v>2</v>
      </c>
      <c r="AF1015">
        <v>80</v>
      </c>
      <c r="AG1015">
        <v>2</v>
      </c>
      <c r="AH10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15">
        <v>8</v>
      </c>
      <c r="AJ1015" t="s">
        <v>74</v>
      </c>
      <c r="AK1015">
        <v>3</v>
      </c>
      <c r="AL1015" t="s">
        <v>74</v>
      </c>
      <c r="AM1015">
        <v>3</v>
      </c>
      <c r="AN1015" t="s">
        <v>74</v>
      </c>
      <c r="AO1015">
        <v>3</v>
      </c>
      <c r="AP1015" t="s">
        <v>74</v>
      </c>
      <c r="AQ1015">
        <v>2</v>
      </c>
      <c r="AR1015">
        <v>0</v>
      </c>
      <c r="AS1015">
        <v>2</v>
      </c>
    </row>
    <row r="1016" spans="1:4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 t="str">
        <f>IF(Employee_data[[#This Row],[MonthlyIncome]]&lt;5000,"Low Income",
IF(Employee_data[[#This Row],[MonthlyIncome]]&lt;10000,"Medium Income","High Income"))</f>
        <v>High Income</v>
      </c>
      <c r="U1016" t="s">
        <v>90</v>
      </c>
      <c r="V1016" t="s">
        <v>90</v>
      </c>
      <c r="W1016" t="s">
        <v>90</v>
      </c>
      <c r="X1016" t="s">
        <v>90</v>
      </c>
      <c r="Y1016">
        <v>8847</v>
      </c>
      <c r="Z1016">
        <v>3</v>
      </c>
      <c r="AA1016" t="s">
        <v>42</v>
      </c>
      <c r="AB1016" t="s">
        <v>43</v>
      </c>
      <c r="AC1016">
        <v>11</v>
      </c>
      <c r="AD1016">
        <v>3</v>
      </c>
      <c r="AE1016">
        <v>3</v>
      </c>
      <c r="AF1016">
        <v>80</v>
      </c>
      <c r="AG1016">
        <v>0</v>
      </c>
      <c r="AH10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16">
        <v>9</v>
      </c>
      <c r="AJ1016" t="s">
        <v>74</v>
      </c>
      <c r="AK1016">
        <v>3</v>
      </c>
      <c r="AL1016" t="s">
        <v>74</v>
      </c>
      <c r="AM1016">
        <v>4</v>
      </c>
      <c r="AN1016" t="s">
        <v>74</v>
      </c>
      <c r="AO1016">
        <v>3</v>
      </c>
      <c r="AP1016" t="s">
        <v>74</v>
      </c>
      <c r="AQ1016">
        <v>2</v>
      </c>
      <c r="AR1016">
        <v>1</v>
      </c>
      <c r="AS1016">
        <v>0</v>
      </c>
    </row>
    <row r="1017" spans="1:4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 t="str">
        <f>IF(Employee_data[[#This Row],[MonthlyIncome]]&lt;5000,"Low Income",
IF(Employee_data[[#This Row],[MonthlyIncome]]&lt;10000,"Medium Income","High Income"))</f>
        <v>Low Income</v>
      </c>
      <c r="U1017" t="s">
        <v>91</v>
      </c>
      <c r="V1017" t="s">
        <v>91</v>
      </c>
      <c r="W1017" t="s">
        <v>91</v>
      </c>
      <c r="X1017" t="s">
        <v>91</v>
      </c>
      <c r="Y1017">
        <v>20284</v>
      </c>
      <c r="Z1017">
        <v>5</v>
      </c>
      <c r="AA1017" t="s">
        <v>42</v>
      </c>
      <c r="AB1017" t="s">
        <v>43</v>
      </c>
      <c r="AC1017">
        <v>14</v>
      </c>
      <c r="AD1017">
        <v>3</v>
      </c>
      <c r="AE1017">
        <v>3</v>
      </c>
      <c r="AF1017">
        <v>80</v>
      </c>
      <c r="AG1017">
        <v>2</v>
      </c>
      <c r="AH10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17">
        <v>10</v>
      </c>
      <c r="AJ1017" t="s">
        <v>74</v>
      </c>
      <c r="AK1017">
        <v>2</v>
      </c>
      <c r="AL1017" t="s">
        <v>74</v>
      </c>
      <c r="AM1017">
        <v>3</v>
      </c>
      <c r="AN1017" t="s">
        <v>74</v>
      </c>
      <c r="AO1017">
        <v>4</v>
      </c>
      <c r="AP1017" t="s">
        <v>74</v>
      </c>
      <c r="AQ1017">
        <v>3</v>
      </c>
      <c r="AR1017">
        <v>1</v>
      </c>
      <c r="AS1017">
        <v>3</v>
      </c>
    </row>
    <row r="1018" spans="1:4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 t="str">
        <f>IF(Employee_data[[#This Row],[MonthlyIncome]]&lt;5000,"Low Income",
IF(Employee_data[[#This Row],[MonthlyIncome]]&lt;10000,"Medium Income","High Income"))</f>
        <v>Low Income</v>
      </c>
      <c r="U1018" t="s">
        <v>91</v>
      </c>
      <c r="V1018" t="s">
        <v>91</v>
      </c>
      <c r="W1018" t="s">
        <v>91</v>
      </c>
      <c r="X1018" t="s">
        <v>91</v>
      </c>
      <c r="Y1018">
        <v>22262</v>
      </c>
      <c r="Z1018">
        <v>1</v>
      </c>
      <c r="AA1018" t="s">
        <v>42</v>
      </c>
      <c r="AB1018" t="s">
        <v>43</v>
      </c>
      <c r="AC1018">
        <v>12</v>
      </c>
      <c r="AD1018">
        <v>3</v>
      </c>
      <c r="AE1018">
        <v>3</v>
      </c>
      <c r="AF1018">
        <v>80</v>
      </c>
      <c r="AG1018">
        <v>0</v>
      </c>
      <c r="AH10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18">
        <v>1</v>
      </c>
      <c r="AJ1018" t="s">
        <v>74</v>
      </c>
      <c r="AK1018">
        <v>3</v>
      </c>
      <c r="AL1018" t="s">
        <v>74</v>
      </c>
      <c r="AM1018">
        <v>4</v>
      </c>
      <c r="AN1018" t="s">
        <v>74</v>
      </c>
      <c r="AO1018">
        <v>1</v>
      </c>
      <c r="AP1018" t="s">
        <v>74</v>
      </c>
      <c r="AQ1018">
        <v>0</v>
      </c>
      <c r="AR1018">
        <v>0</v>
      </c>
      <c r="AS1018">
        <v>0</v>
      </c>
    </row>
    <row r="1019" spans="1:4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 t="str">
        <f>IF(Employee_data[[#This Row],[MonthlyIncome]]&lt;5000,"Low Income",
IF(Employee_data[[#This Row],[MonthlyIncome]]&lt;10000,"Medium Income","High Income"))</f>
        <v>Low Income</v>
      </c>
      <c r="U1019" t="s">
        <v>91</v>
      </c>
      <c r="V1019" t="s">
        <v>91</v>
      </c>
      <c r="W1019" t="s">
        <v>91</v>
      </c>
      <c r="X1019" t="s">
        <v>91</v>
      </c>
      <c r="Y1019">
        <v>7679</v>
      </c>
      <c r="Z1019">
        <v>0</v>
      </c>
      <c r="AA1019" t="s">
        <v>42</v>
      </c>
      <c r="AB1019" t="s">
        <v>43</v>
      </c>
      <c r="AC1019">
        <v>14</v>
      </c>
      <c r="AD1019">
        <v>3</v>
      </c>
      <c r="AE1019">
        <v>2</v>
      </c>
      <c r="AF1019">
        <v>80</v>
      </c>
      <c r="AG1019">
        <v>0</v>
      </c>
      <c r="AH10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19">
        <v>6</v>
      </c>
      <c r="AJ1019" t="s">
        <v>78</v>
      </c>
      <c r="AK1019">
        <v>3</v>
      </c>
      <c r="AL1019" t="s">
        <v>78</v>
      </c>
      <c r="AM1019">
        <v>4</v>
      </c>
      <c r="AN1019" t="s">
        <v>78</v>
      </c>
      <c r="AO1019">
        <v>5</v>
      </c>
      <c r="AP1019" t="s">
        <v>78</v>
      </c>
      <c r="AQ1019">
        <v>0</v>
      </c>
      <c r="AR1019">
        <v>1</v>
      </c>
      <c r="AS1019">
        <v>4</v>
      </c>
    </row>
    <row r="1020" spans="1:4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 t="str">
        <f>IF(Employee_data[[#This Row],[MonthlyIncome]]&lt;5000,"Low Income",
IF(Employee_data[[#This Row],[MonthlyIncome]]&lt;10000,"Medium Income","High Income"))</f>
        <v>Medium Income</v>
      </c>
      <c r="U1020" t="s">
        <v>92</v>
      </c>
      <c r="V1020" t="s">
        <v>92</v>
      </c>
      <c r="W1020" t="s">
        <v>92</v>
      </c>
      <c r="X1020" t="s">
        <v>92</v>
      </c>
      <c r="Y1020">
        <v>22604</v>
      </c>
      <c r="Z1020">
        <v>1</v>
      </c>
      <c r="AA1020" t="s">
        <v>42</v>
      </c>
      <c r="AB1020" t="s">
        <v>43</v>
      </c>
      <c r="AC1020">
        <v>16</v>
      </c>
      <c r="AD1020">
        <v>3</v>
      </c>
      <c r="AE1020">
        <v>3</v>
      </c>
      <c r="AF1020">
        <v>80</v>
      </c>
      <c r="AG1020">
        <v>0</v>
      </c>
      <c r="AH10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20">
        <v>10</v>
      </c>
      <c r="AJ1020" t="s">
        <v>75</v>
      </c>
      <c r="AK1020">
        <v>2</v>
      </c>
      <c r="AL1020" t="s">
        <v>75</v>
      </c>
      <c r="AM1020">
        <v>2</v>
      </c>
      <c r="AN1020" t="s">
        <v>75</v>
      </c>
      <c r="AO1020">
        <v>10</v>
      </c>
      <c r="AP1020" t="s">
        <v>75</v>
      </c>
      <c r="AQ1020">
        <v>4</v>
      </c>
      <c r="AR1020">
        <v>1</v>
      </c>
      <c r="AS1020">
        <v>8</v>
      </c>
    </row>
    <row r="1021" spans="1:4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 t="str">
        <f>IF(Employee_data[[#This Row],[MonthlyIncome]]&lt;5000,"Low Income",
IF(Employee_data[[#This Row],[MonthlyIncome]]&lt;10000,"Medium Income","High Income"))</f>
        <v>Medium Income</v>
      </c>
      <c r="U1021" t="s">
        <v>92</v>
      </c>
      <c r="V1021" t="s">
        <v>92</v>
      </c>
      <c r="W1021" t="s">
        <v>92</v>
      </c>
      <c r="X1021" t="s">
        <v>92</v>
      </c>
      <c r="Y1021">
        <v>13494</v>
      </c>
      <c r="Z1021">
        <v>4</v>
      </c>
      <c r="AA1021" t="s">
        <v>42</v>
      </c>
      <c r="AB1021" t="s">
        <v>43</v>
      </c>
      <c r="AC1021">
        <v>13</v>
      </c>
      <c r="AD1021">
        <v>3</v>
      </c>
      <c r="AE1021">
        <v>1</v>
      </c>
      <c r="AF1021">
        <v>80</v>
      </c>
      <c r="AG1021">
        <v>2</v>
      </c>
      <c r="AH10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21">
        <v>11</v>
      </c>
      <c r="AJ1021" t="s">
        <v>74</v>
      </c>
      <c r="AK1021">
        <v>3</v>
      </c>
      <c r="AL1021" t="s">
        <v>74</v>
      </c>
      <c r="AM1021">
        <v>2</v>
      </c>
      <c r="AN1021" t="s">
        <v>74</v>
      </c>
      <c r="AO1021">
        <v>3</v>
      </c>
      <c r="AP1021" t="s">
        <v>74</v>
      </c>
      <c r="AQ1021">
        <v>2</v>
      </c>
      <c r="AR1021">
        <v>0</v>
      </c>
      <c r="AS1021">
        <v>2</v>
      </c>
    </row>
    <row r="1022" spans="1:4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 t="str">
        <f>IF(Employee_data[[#This Row],[MonthlyIncome]]&lt;5000,"Low Income",
IF(Employee_data[[#This Row],[MonthlyIncome]]&lt;10000,"Medium Income","High Income"))</f>
        <v>Low Income</v>
      </c>
      <c r="U1022" t="s">
        <v>91</v>
      </c>
      <c r="V1022" t="s">
        <v>91</v>
      </c>
      <c r="W1022" t="s">
        <v>91</v>
      </c>
      <c r="X1022" t="s">
        <v>91</v>
      </c>
      <c r="Y1022">
        <v>10205</v>
      </c>
      <c r="Z1022">
        <v>7</v>
      </c>
      <c r="AA1022" t="s">
        <v>42</v>
      </c>
      <c r="AB1022" t="s">
        <v>43</v>
      </c>
      <c r="AC1022">
        <v>12</v>
      </c>
      <c r="AD1022">
        <v>3</v>
      </c>
      <c r="AE1022">
        <v>3</v>
      </c>
      <c r="AF1022">
        <v>80</v>
      </c>
      <c r="AG1022">
        <v>1</v>
      </c>
      <c r="AH10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22">
        <v>17</v>
      </c>
      <c r="AJ1022" t="s">
        <v>78</v>
      </c>
      <c r="AK1022">
        <v>2</v>
      </c>
      <c r="AL1022" t="s">
        <v>78</v>
      </c>
      <c r="AM1022">
        <v>2</v>
      </c>
      <c r="AN1022" t="s">
        <v>78</v>
      </c>
      <c r="AO1022">
        <v>6</v>
      </c>
      <c r="AP1022" t="s">
        <v>78</v>
      </c>
      <c r="AQ1022">
        <v>5</v>
      </c>
      <c r="AR1022">
        <v>1</v>
      </c>
      <c r="AS1022">
        <v>2</v>
      </c>
    </row>
    <row r="1023" spans="1:4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 t="str">
        <f>IF(Employee_data[[#This Row],[MonthlyIncome]]&lt;5000,"Low Income",
IF(Employee_data[[#This Row],[MonthlyIncome]]&lt;10000,"Medium Income","High Income"))</f>
        <v>Low Income</v>
      </c>
      <c r="U1023" t="s">
        <v>91</v>
      </c>
      <c r="V1023" t="s">
        <v>91</v>
      </c>
      <c r="W1023" t="s">
        <v>91</v>
      </c>
      <c r="X1023" t="s">
        <v>91</v>
      </c>
      <c r="Y1023">
        <v>15182</v>
      </c>
      <c r="Z1023">
        <v>3</v>
      </c>
      <c r="AA1023" t="s">
        <v>42</v>
      </c>
      <c r="AB1023" t="s">
        <v>43</v>
      </c>
      <c r="AC1023">
        <v>12</v>
      </c>
      <c r="AD1023">
        <v>3</v>
      </c>
      <c r="AE1023">
        <v>1</v>
      </c>
      <c r="AF1023">
        <v>80</v>
      </c>
      <c r="AG1023">
        <v>0</v>
      </c>
      <c r="AH10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23">
        <v>6</v>
      </c>
      <c r="AJ1023" t="s">
        <v>74</v>
      </c>
      <c r="AK1023">
        <v>2</v>
      </c>
      <c r="AL1023" t="s">
        <v>74</v>
      </c>
      <c r="AM1023">
        <v>3</v>
      </c>
      <c r="AN1023" t="s">
        <v>74</v>
      </c>
      <c r="AO1023">
        <v>3</v>
      </c>
      <c r="AP1023" t="s">
        <v>74</v>
      </c>
      <c r="AQ1023">
        <v>2</v>
      </c>
      <c r="AR1023">
        <v>2</v>
      </c>
      <c r="AS1023">
        <v>2</v>
      </c>
    </row>
    <row r="1024" spans="1:4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 t="str">
        <f>IF(Employee_data[[#This Row],[MonthlyIncome]]&lt;5000,"Low Income",
IF(Employee_data[[#This Row],[MonthlyIncome]]&lt;10000,"Medium Income","High Income"))</f>
        <v>Low Income</v>
      </c>
      <c r="U1024" t="s">
        <v>91</v>
      </c>
      <c r="V1024" t="s">
        <v>91</v>
      </c>
      <c r="W1024" t="s">
        <v>91</v>
      </c>
      <c r="X1024" t="s">
        <v>91</v>
      </c>
      <c r="Y1024">
        <v>25470</v>
      </c>
      <c r="Z1024">
        <v>0</v>
      </c>
      <c r="AA1024" t="s">
        <v>42</v>
      </c>
      <c r="AB1024" t="s">
        <v>43</v>
      </c>
      <c r="AC1024">
        <v>14</v>
      </c>
      <c r="AD1024">
        <v>3</v>
      </c>
      <c r="AE1024">
        <v>1</v>
      </c>
      <c r="AF1024">
        <v>80</v>
      </c>
      <c r="AG1024">
        <v>0</v>
      </c>
      <c r="AH10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24">
        <v>7</v>
      </c>
      <c r="AJ1024" t="s">
        <v>78</v>
      </c>
      <c r="AK1024">
        <v>2</v>
      </c>
      <c r="AL1024" t="s">
        <v>78</v>
      </c>
      <c r="AM1024">
        <v>1</v>
      </c>
      <c r="AN1024" t="s">
        <v>78</v>
      </c>
      <c r="AO1024">
        <v>6</v>
      </c>
      <c r="AP1024" t="s">
        <v>78</v>
      </c>
      <c r="AQ1024">
        <v>5</v>
      </c>
      <c r="AR1024">
        <v>1</v>
      </c>
      <c r="AS1024">
        <v>3</v>
      </c>
    </row>
    <row r="1025" spans="1:4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 t="str">
        <f>IF(Employee_data[[#This Row],[MonthlyIncome]]&lt;5000,"Low Income",
IF(Employee_data[[#This Row],[MonthlyIncome]]&lt;10000,"Medium Income","High Income"))</f>
        <v>Low Income</v>
      </c>
      <c r="U1025" t="s">
        <v>91</v>
      </c>
      <c r="V1025" t="s">
        <v>91</v>
      </c>
      <c r="W1025" t="s">
        <v>91</v>
      </c>
      <c r="X1025" t="s">
        <v>91</v>
      </c>
      <c r="Y1025">
        <v>10494</v>
      </c>
      <c r="Z1025">
        <v>2</v>
      </c>
      <c r="AA1025" t="s">
        <v>42</v>
      </c>
      <c r="AB1025" t="s">
        <v>43</v>
      </c>
      <c r="AC1025">
        <v>22</v>
      </c>
      <c r="AD1025">
        <v>4</v>
      </c>
      <c r="AE1025">
        <v>4</v>
      </c>
      <c r="AF1025">
        <v>80</v>
      </c>
      <c r="AG1025">
        <v>1</v>
      </c>
      <c r="AH10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25">
        <v>5</v>
      </c>
      <c r="AJ1025" t="s">
        <v>74</v>
      </c>
      <c r="AK1025">
        <v>3</v>
      </c>
      <c r="AL1025" t="s">
        <v>74</v>
      </c>
      <c r="AM1025">
        <v>4</v>
      </c>
      <c r="AN1025" t="s">
        <v>74</v>
      </c>
      <c r="AO1025">
        <v>3</v>
      </c>
      <c r="AP1025" t="s">
        <v>74</v>
      </c>
      <c r="AQ1025">
        <v>2</v>
      </c>
      <c r="AR1025">
        <v>1</v>
      </c>
      <c r="AS1025">
        <v>0</v>
      </c>
    </row>
    <row r="1026" spans="1:4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 t="str">
        <f>IF(Employee_data[[#This Row],[MonthlyIncome]]&lt;5000,"Low Income",
IF(Employee_data[[#This Row],[MonthlyIncome]]&lt;10000,"Medium Income","High Income"))</f>
        <v>High Income</v>
      </c>
      <c r="U1026" t="s">
        <v>90</v>
      </c>
      <c r="V1026" t="s">
        <v>90</v>
      </c>
      <c r="W1026" t="s">
        <v>90</v>
      </c>
      <c r="X1026" t="s">
        <v>90</v>
      </c>
      <c r="Y1026">
        <v>26703</v>
      </c>
      <c r="Z1026">
        <v>3</v>
      </c>
      <c r="AA1026" t="s">
        <v>42</v>
      </c>
      <c r="AB1026" t="s">
        <v>43</v>
      </c>
      <c r="AC1026">
        <v>19</v>
      </c>
      <c r="AD1026">
        <v>3</v>
      </c>
      <c r="AE1026">
        <v>2</v>
      </c>
      <c r="AF1026">
        <v>80</v>
      </c>
      <c r="AG1026">
        <v>2</v>
      </c>
      <c r="AH10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026">
        <v>26</v>
      </c>
      <c r="AJ1026" t="s">
        <v>76</v>
      </c>
      <c r="AK1026">
        <v>2</v>
      </c>
      <c r="AL1026" t="s">
        <v>76</v>
      </c>
      <c r="AM1026">
        <v>4</v>
      </c>
      <c r="AN1026" t="s">
        <v>76</v>
      </c>
      <c r="AO1026">
        <v>20</v>
      </c>
      <c r="AP1026" t="s">
        <v>76</v>
      </c>
      <c r="AQ1026">
        <v>17</v>
      </c>
      <c r="AR1026">
        <v>5</v>
      </c>
      <c r="AS1026">
        <v>6</v>
      </c>
    </row>
    <row r="1027" spans="1:4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 t="str">
        <f>IF(Employee_data[[#This Row],[MonthlyIncome]]&lt;5000,"Low Income",
IF(Employee_data[[#This Row],[MonthlyIncome]]&lt;10000,"Medium Income","High Income"))</f>
        <v>Low Income</v>
      </c>
      <c r="U1027" t="s">
        <v>91</v>
      </c>
      <c r="V1027" t="s">
        <v>91</v>
      </c>
      <c r="W1027" t="s">
        <v>91</v>
      </c>
      <c r="X1027" t="s">
        <v>91</v>
      </c>
      <c r="Y1027">
        <v>15211</v>
      </c>
      <c r="Z1027">
        <v>1</v>
      </c>
      <c r="AA1027" t="s">
        <v>42</v>
      </c>
      <c r="AB1027" t="s">
        <v>35</v>
      </c>
      <c r="AC1027">
        <v>12</v>
      </c>
      <c r="AD1027">
        <v>3</v>
      </c>
      <c r="AE1027">
        <v>3</v>
      </c>
      <c r="AF1027">
        <v>80</v>
      </c>
      <c r="AG1027">
        <v>2</v>
      </c>
      <c r="AH10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27">
        <v>5</v>
      </c>
      <c r="AJ1027" t="s">
        <v>78</v>
      </c>
      <c r="AK1027">
        <v>3</v>
      </c>
      <c r="AL1027" t="s">
        <v>78</v>
      </c>
      <c r="AM1027">
        <v>3</v>
      </c>
      <c r="AN1027" t="s">
        <v>78</v>
      </c>
      <c r="AO1027">
        <v>5</v>
      </c>
      <c r="AP1027" t="s">
        <v>78</v>
      </c>
      <c r="AQ1027">
        <v>4</v>
      </c>
      <c r="AR1027">
        <v>0</v>
      </c>
      <c r="AS1027">
        <v>3</v>
      </c>
    </row>
    <row r="1028" spans="1:4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 t="str">
        <f>IF(Employee_data[[#This Row],[MonthlyIncome]]&lt;5000,"Low Income",
IF(Employee_data[[#This Row],[MonthlyIncome]]&lt;10000,"Medium Income","High Income"))</f>
        <v>Medium Income</v>
      </c>
      <c r="U1028" t="s">
        <v>92</v>
      </c>
      <c r="V1028" t="s">
        <v>92</v>
      </c>
      <c r="W1028" t="s">
        <v>92</v>
      </c>
      <c r="X1028" t="s">
        <v>92</v>
      </c>
      <c r="Y1028">
        <v>23343</v>
      </c>
      <c r="Z1028">
        <v>4</v>
      </c>
      <c r="AA1028" t="s">
        <v>42</v>
      </c>
      <c r="AB1028" t="s">
        <v>43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28">
        <v>7</v>
      </c>
      <c r="AJ1028" t="s">
        <v>74</v>
      </c>
      <c r="AK1028">
        <v>3</v>
      </c>
      <c r="AL1028" t="s">
        <v>74</v>
      </c>
      <c r="AM1028">
        <v>2</v>
      </c>
      <c r="AN1028" t="s">
        <v>74</v>
      </c>
      <c r="AO1028">
        <v>4</v>
      </c>
      <c r="AP1028" t="s">
        <v>74</v>
      </c>
      <c r="AQ1028">
        <v>3</v>
      </c>
      <c r="AR1028">
        <v>0</v>
      </c>
      <c r="AS1028">
        <v>3</v>
      </c>
    </row>
    <row r="1029" spans="1:4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 t="str">
        <f>IF(Employee_data[[#This Row],[MonthlyIncome]]&lt;5000,"Low Income",
IF(Employee_data[[#This Row],[MonthlyIncome]]&lt;10000,"Medium Income","High Income"))</f>
        <v>Low Income</v>
      </c>
      <c r="U1029" t="s">
        <v>91</v>
      </c>
      <c r="V1029" t="s">
        <v>91</v>
      </c>
      <c r="W1029" t="s">
        <v>91</v>
      </c>
      <c r="X1029" t="s">
        <v>91</v>
      </c>
      <c r="Y1029">
        <v>3708</v>
      </c>
      <c r="Z1029">
        <v>5</v>
      </c>
      <c r="AA1029" t="s">
        <v>42</v>
      </c>
      <c r="AB1029" t="s">
        <v>43</v>
      </c>
      <c r="AC1029">
        <v>17</v>
      </c>
      <c r="AD1029">
        <v>3</v>
      </c>
      <c r="AE1029">
        <v>1</v>
      </c>
      <c r="AF1029">
        <v>80</v>
      </c>
      <c r="AG1029">
        <v>1</v>
      </c>
      <c r="AH10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29">
        <v>7</v>
      </c>
      <c r="AJ1029" t="s">
        <v>78</v>
      </c>
      <c r="AK1029">
        <v>2</v>
      </c>
      <c r="AL1029" t="s">
        <v>78</v>
      </c>
      <c r="AM1029">
        <v>2</v>
      </c>
      <c r="AN1029" t="s">
        <v>78</v>
      </c>
      <c r="AO1029">
        <v>5</v>
      </c>
      <c r="AP1029" t="s">
        <v>78</v>
      </c>
      <c r="AQ1029">
        <v>4</v>
      </c>
      <c r="AR1029">
        <v>0</v>
      </c>
      <c r="AS1029">
        <v>2</v>
      </c>
    </row>
    <row r="1030" spans="1:4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 t="str">
        <f>IF(Employee_data[[#This Row],[MonthlyIncome]]&lt;5000,"Low Income",
IF(Employee_data[[#This Row],[MonthlyIncome]]&lt;10000,"Medium Income","High Income"))</f>
        <v>Low Income</v>
      </c>
      <c r="U1030" t="s">
        <v>91</v>
      </c>
      <c r="V1030" t="s">
        <v>91</v>
      </c>
      <c r="W1030" t="s">
        <v>91</v>
      </c>
      <c r="X1030" t="s">
        <v>91</v>
      </c>
      <c r="Y1030">
        <v>5561</v>
      </c>
      <c r="Z1030">
        <v>2</v>
      </c>
      <c r="AA1030" t="s">
        <v>42</v>
      </c>
      <c r="AB1030" t="s">
        <v>35</v>
      </c>
      <c r="AC1030">
        <v>12</v>
      </c>
      <c r="AD1030">
        <v>3</v>
      </c>
      <c r="AE1030">
        <v>1</v>
      </c>
      <c r="AF1030">
        <v>80</v>
      </c>
      <c r="AG1030">
        <v>0</v>
      </c>
      <c r="AH10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30">
        <v>7</v>
      </c>
      <c r="AJ1030" t="s">
        <v>74</v>
      </c>
      <c r="AK1030">
        <v>5</v>
      </c>
      <c r="AL1030" t="s">
        <v>74</v>
      </c>
      <c r="AM1030">
        <v>2</v>
      </c>
      <c r="AN1030" t="s">
        <v>74</v>
      </c>
      <c r="AO1030">
        <v>4</v>
      </c>
      <c r="AP1030" t="s">
        <v>74</v>
      </c>
      <c r="AQ1030">
        <v>2</v>
      </c>
      <c r="AR1030">
        <v>0</v>
      </c>
      <c r="AS1030">
        <v>3</v>
      </c>
    </row>
    <row r="1031" spans="1:4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 t="str">
        <f>IF(Employee_data[[#This Row],[MonthlyIncome]]&lt;5000,"Low Income",
IF(Employee_data[[#This Row],[MonthlyIncome]]&lt;10000,"Medium Income","High Income"))</f>
        <v>Low Income</v>
      </c>
      <c r="U1031" t="s">
        <v>91</v>
      </c>
      <c r="V1031" t="s">
        <v>91</v>
      </c>
      <c r="W1031" t="s">
        <v>91</v>
      </c>
      <c r="X1031" t="s">
        <v>91</v>
      </c>
      <c r="Y1031">
        <v>23099</v>
      </c>
      <c r="Z1031">
        <v>3</v>
      </c>
      <c r="AA1031" t="s">
        <v>42</v>
      </c>
      <c r="AB1031" t="s">
        <v>43</v>
      </c>
      <c r="AC1031">
        <v>11</v>
      </c>
      <c r="AD1031">
        <v>3</v>
      </c>
      <c r="AE1031">
        <v>3</v>
      </c>
      <c r="AF1031">
        <v>80</v>
      </c>
      <c r="AG1031">
        <v>2</v>
      </c>
      <c r="AH10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31">
        <v>11</v>
      </c>
      <c r="AJ1031" t="s">
        <v>78</v>
      </c>
      <c r="AK1031">
        <v>2</v>
      </c>
      <c r="AL1031" t="s">
        <v>78</v>
      </c>
      <c r="AM1031">
        <v>4</v>
      </c>
      <c r="AN1031" t="s">
        <v>78</v>
      </c>
      <c r="AO1031">
        <v>8</v>
      </c>
      <c r="AP1031" t="s">
        <v>78</v>
      </c>
      <c r="AQ1031">
        <v>7</v>
      </c>
      <c r="AR1031">
        <v>0</v>
      </c>
      <c r="AS1031">
        <v>7</v>
      </c>
    </row>
    <row r="1032" spans="1:4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 t="str">
        <f>IF(Employee_data[[#This Row],[MonthlyIncome]]&lt;5000,"Low Income",
IF(Employee_data[[#This Row],[MonthlyIncome]]&lt;10000,"Medium Income","High Income"))</f>
        <v>High Income</v>
      </c>
      <c r="U1032" t="s">
        <v>90</v>
      </c>
      <c r="V1032" t="s">
        <v>90</v>
      </c>
      <c r="W1032" t="s">
        <v>90</v>
      </c>
      <c r="X1032" t="s">
        <v>90</v>
      </c>
      <c r="Y1032">
        <v>8386</v>
      </c>
      <c r="Z1032">
        <v>1</v>
      </c>
      <c r="AA1032" t="s">
        <v>42</v>
      </c>
      <c r="AB1032" t="s">
        <v>43</v>
      </c>
      <c r="AC1032">
        <v>18</v>
      </c>
      <c r="AD1032">
        <v>3</v>
      </c>
      <c r="AE1032">
        <v>1</v>
      </c>
      <c r="AF1032">
        <v>80</v>
      </c>
      <c r="AG1032">
        <v>1</v>
      </c>
      <c r="AH10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32">
        <v>13</v>
      </c>
      <c r="AJ1032" t="s">
        <v>75</v>
      </c>
      <c r="AK1032">
        <v>5</v>
      </c>
      <c r="AL1032" t="s">
        <v>75</v>
      </c>
      <c r="AM1032">
        <v>3</v>
      </c>
      <c r="AN1032" t="s">
        <v>75</v>
      </c>
      <c r="AO1032">
        <v>13</v>
      </c>
      <c r="AP1032" t="s">
        <v>75</v>
      </c>
      <c r="AQ1032">
        <v>7</v>
      </c>
      <c r="AR1032">
        <v>9</v>
      </c>
      <c r="AS1032">
        <v>9</v>
      </c>
    </row>
    <row r="1033" spans="1:4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 t="str">
        <f>IF(Employee_data[[#This Row],[MonthlyIncome]]&lt;5000,"Low Income",
IF(Employee_data[[#This Row],[MonthlyIncome]]&lt;10000,"Medium Income","High Income"))</f>
        <v>High Income</v>
      </c>
      <c r="U1033" t="s">
        <v>90</v>
      </c>
      <c r="V1033" t="s">
        <v>90</v>
      </c>
      <c r="W1033" t="s">
        <v>90</v>
      </c>
      <c r="X1033" t="s">
        <v>90</v>
      </c>
      <c r="Y1033">
        <v>15986</v>
      </c>
      <c r="Z1033">
        <v>4</v>
      </c>
      <c r="AA1033" t="s">
        <v>42</v>
      </c>
      <c r="AB1033" t="s">
        <v>43</v>
      </c>
      <c r="AC1033">
        <v>11</v>
      </c>
      <c r="AD1033">
        <v>3</v>
      </c>
      <c r="AE1033">
        <v>1</v>
      </c>
      <c r="AF1033">
        <v>80</v>
      </c>
      <c r="AG1033">
        <v>1</v>
      </c>
      <c r="AH10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33">
        <v>28</v>
      </c>
      <c r="AJ1033" t="s">
        <v>78</v>
      </c>
      <c r="AK1033">
        <v>1</v>
      </c>
      <c r="AL1033" t="s">
        <v>78</v>
      </c>
      <c r="AM1033">
        <v>4</v>
      </c>
      <c r="AN1033" t="s">
        <v>78</v>
      </c>
      <c r="AO1033">
        <v>7</v>
      </c>
      <c r="AP1033" t="s">
        <v>78</v>
      </c>
      <c r="AQ1033">
        <v>7</v>
      </c>
      <c r="AR1033">
        <v>4</v>
      </c>
      <c r="AS1033">
        <v>3</v>
      </c>
    </row>
    <row r="1034" spans="1:4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 t="str">
        <f>IF(Employee_data[[#This Row],[MonthlyIncome]]&lt;5000,"Low Income",
IF(Employee_data[[#This Row],[MonthlyIncome]]&lt;10000,"Medium Income","High Income"))</f>
        <v>Low Income</v>
      </c>
      <c r="U1034" t="s">
        <v>91</v>
      </c>
      <c r="V1034" t="s">
        <v>91</v>
      </c>
      <c r="W1034" t="s">
        <v>91</v>
      </c>
      <c r="X1034" t="s">
        <v>91</v>
      </c>
      <c r="Y1034">
        <v>17181</v>
      </c>
      <c r="Z1034">
        <v>2</v>
      </c>
      <c r="AA1034" t="s">
        <v>42</v>
      </c>
      <c r="AB1034" t="s">
        <v>35</v>
      </c>
      <c r="AC1034">
        <v>23</v>
      </c>
      <c r="AD1034">
        <v>4</v>
      </c>
      <c r="AE1034">
        <v>2</v>
      </c>
      <c r="AF1034">
        <v>80</v>
      </c>
      <c r="AG1034">
        <v>0</v>
      </c>
      <c r="AH10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34">
        <v>11</v>
      </c>
      <c r="AJ1034" t="s">
        <v>74</v>
      </c>
      <c r="AK1034">
        <v>2</v>
      </c>
      <c r="AL1034" t="s">
        <v>74</v>
      </c>
      <c r="AM1034">
        <v>4</v>
      </c>
      <c r="AN1034" t="s">
        <v>74</v>
      </c>
      <c r="AO1034">
        <v>1</v>
      </c>
      <c r="AP1034" t="s">
        <v>74</v>
      </c>
      <c r="AQ1034">
        <v>0</v>
      </c>
      <c r="AR1034">
        <v>0</v>
      </c>
      <c r="AS1034">
        <v>0</v>
      </c>
    </row>
    <row r="1035" spans="1:4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 t="str">
        <f>IF(Employee_data[[#This Row],[MonthlyIncome]]&lt;5000,"Low Income",
IF(Employee_data[[#This Row],[MonthlyIncome]]&lt;10000,"Medium Income","High Income"))</f>
        <v>Medium Income</v>
      </c>
      <c r="U1035" t="s">
        <v>92</v>
      </c>
      <c r="V1035" t="s">
        <v>92</v>
      </c>
      <c r="W1035" t="s">
        <v>92</v>
      </c>
      <c r="X1035" t="s">
        <v>92</v>
      </c>
      <c r="Y1035">
        <v>8931</v>
      </c>
      <c r="Z1035">
        <v>1</v>
      </c>
      <c r="AA1035" t="s">
        <v>42</v>
      </c>
      <c r="AB1035" t="s">
        <v>43</v>
      </c>
      <c r="AC1035">
        <v>11</v>
      </c>
      <c r="AD1035">
        <v>3</v>
      </c>
      <c r="AE1035">
        <v>1</v>
      </c>
      <c r="AF1035">
        <v>80</v>
      </c>
      <c r="AG1035">
        <v>0</v>
      </c>
      <c r="AH10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35">
        <v>10</v>
      </c>
      <c r="AJ1035" t="s">
        <v>75</v>
      </c>
      <c r="AK1035">
        <v>2</v>
      </c>
      <c r="AL1035" t="s">
        <v>75</v>
      </c>
      <c r="AM1035">
        <v>3</v>
      </c>
      <c r="AN1035" t="s">
        <v>75</v>
      </c>
      <c r="AO1035">
        <v>10</v>
      </c>
      <c r="AP1035" t="s">
        <v>75</v>
      </c>
      <c r="AQ1035">
        <v>8</v>
      </c>
      <c r="AR1035">
        <v>4</v>
      </c>
      <c r="AS1035">
        <v>7</v>
      </c>
    </row>
    <row r="1036" spans="1:4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 t="str">
        <f>IF(Employee_data[[#This Row],[MonthlyIncome]]&lt;5000,"Low Income",
IF(Employee_data[[#This Row],[MonthlyIncome]]&lt;10000,"Medium Income","High Income"))</f>
        <v>High Income</v>
      </c>
      <c r="U1036" t="s">
        <v>90</v>
      </c>
      <c r="V1036" t="s">
        <v>90</v>
      </c>
      <c r="W1036" t="s">
        <v>90</v>
      </c>
      <c r="X1036" t="s">
        <v>90</v>
      </c>
      <c r="Y1036">
        <v>19863</v>
      </c>
      <c r="Z1036">
        <v>2</v>
      </c>
      <c r="AA1036" t="s">
        <v>42</v>
      </c>
      <c r="AB1036" t="s">
        <v>35</v>
      </c>
      <c r="AC1036">
        <v>18</v>
      </c>
      <c r="AD1036">
        <v>3</v>
      </c>
      <c r="AE1036">
        <v>2</v>
      </c>
      <c r="AF1036">
        <v>80</v>
      </c>
      <c r="AG1036">
        <v>1</v>
      </c>
      <c r="AH10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36">
        <v>24</v>
      </c>
      <c r="AJ1036" t="s">
        <v>78</v>
      </c>
      <c r="AK1036">
        <v>2</v>
      </c>
      <c r="AL1036" t="s">
        <v>78</v>
      </c>
      <c r="AM1036">
        <v>3</v>
      </c>
      <c r="AN1036" t="s">
        <v>78</v>
      </c>
      <c r="AO1036">
        <v>7</v>
      </c>
      <c r="AP1036" t="s">
        <v>78</v>
      </c>
      <c r="AQ1036">
        <v>7</v>
      </c>
      <c r="AR1036">
        <v>0</v>
      </c>
      <c r="AS1036">
        <v>7</v>
      </c>
    </row>
    <row r="1037" spans="1:4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 t="str">
        <f>IF(Employee_data[[#This Row],[MonthlyIncome]]&lt;5000,"Low Income",
IF(Employee_data[[#This Row],[MonthlyIncome]]&lt;10000,"Medium Income","High Income"))</f>
        <v>Low Income</v>
      </c>
      <c r="U1037" t="s">
        <v>91</v>
      </c>
      <c r="V1037" t="s">
        <v>91</v>
      </c>
      <c r="W1037" t="s">
        <v>91</v>
      </c>
      <c r="X1037" t="s">
        <v>91</v>
      </c>
      <c r="Y1037">
        <v>24609</v>
      </c>
      <c r="Z1037">
        <v>9</v>
      </c>
      <c r="AA1037" t="s">
        <v>42</v>
      </c>
      <c r="AB1037" t="s">
        <v>43</v>
      </c>
      <c r="AC1037">
        <v>18</v>
      </c>
      <c r="AD1037">
        <v>3</v>
      </c>
      <c r="AE1037">
        <v>4</v>
      </c>
      <c r="AF1037">
        <v>80</v>
      </c>
      <c r="AG1037">
        <v>0</v>
      </c>
      <c r="AH10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37">
        <v>8</v>
      </c>
      <c r="AJ1037" t="s">
        <v>74</v>
      </c>
      <c r="AK1037">
        <v>3</v>
      </c>
      <c r="AL1037" t="s">
        <v>74</v>
      </c>
      <c r="AM1037">
        <v>3</v>
      </c>
      <c r="AN1037" t="s">
        <v>74</v>
      </c>
      <c r="AO1037">
        <v>3</v>
      </c>
      <c r="AP1037" t="s">
        <v>74</v>
      </c>
      <c r="AQ1037">
        <v>2</v>
      </c>
      <c r="AR1037">
        <v>0</v>
      </c>
      <c r="AS1037">
        <v>2</v>
      </c>
    </row>
    <row r="1038" spans="1:4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 t="str">
        <f>IF(Employee_data[[#This Row],[MonthlyIncome]]&lt;5000,"Low Income",
IF(Employee_data[[#This Row],[MonthlyIncome]]&lt;10000,"Medium Income","High Income"))</f>
        <v>Low Income</v>
      </c>
      <c r="U1038" t="s">
        <v>91</v>
      </c>
      <c r="V1038" t="s">
        <v>91</v>
      </c>
      <c r="W1038" t="s">
        <v>91</v>
      </c>
      <c r="X1038" t="s">
        <v>91</v>
      </c>
      <c r="Y1038">
        <v>21081</v>
      </c>
      <c r="Z1038">
        <v>6</v>
      </c>
      <c r="AA1038" t="s">
        <v>42</v>
      </c>
      <c r="AB1038" t="s">
        <v>35</v>
      </c>
      <c r="AC1038">
        <v>13</v>
      </c>
      <c r="AD1038">
        <v>3</v>
      </c>
      <c r="AE1038">
        <v>3</v>
      </c>
      <c r="AF1038">
        <v>80</v>
      </c>
      <c r="AG1038">
        <v>1</v>
      </c>
      <c r="AH10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38">
        <v>7</v>
      </c>
      <c r="AJ1038" t="s">
        <v>74</v>
      </c>
      <c r="AK1038">
        <v>2</v>
      </c>
      <c r="AL1038" t="s">
        <v>74</v>
      </c>
      <c r="AM1038">
        <v>1</v>
      </c>
      <c r="AN1038" t="s">
        <v>74</v>
      </c>
      <c r="AO1038">
        <v>2</v>
      </c>
      <c r="AP1038" t="s">
        <v>74</v>
      </c>
      <c r="AQ1038">
        <v>2</v>
      </c>
      <c r="AR1038">
        <v>2</v>
      </c>
      <c r="AS1038">
        <v>2</v>
      </c>
    </row>
    <row r="1039" spans="1:4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 t="str">
        <f>IF(Employee_data[[#This Row],[MonthlyIncome]]&lt;5000,"Low Income",
IF(Employee_data[[#This Row],[MonthlyIncome]]&lt;10000,"Medium Income","High Income"))</f>
        <v>Medium Income</v>
      </c>
      <c r="U1039" t="s">
        <v>92</v>
      </c>
      <c r="V1039" t="s">
        <v>92</v>
      </c>
      <c r="W1039" t="s">
        <v>92</v>
      </c>
      <c r="X1039" t="s">
        <v>92</v>
      </c>
      <c r="Y1039">
        <v>14720</v>
      </c>
      <c r="Z1039">
        <v>4</v>
      </c>
      <c r="AA1039" t="s">
        <v>42</v>
      </c>
      <c r="AB1039" t="s">
        <v>35</v>
      </c>
      <c r="AC1039">
        <v>18</v>
      </c>
      <c r="AD1039">
        <v>3</v>
      </c>
      <c r="AE1039">
        <v>4</v>
      </c>
      <c r="AF1039">
        <v>80</v>
      </c>
      <c r="AG1039">
        <v>2</v>
      </c>
      <c r="AH10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39">
        <v>10</v>
      </c>
      <c r="AJ1039" t="s">
        <v>74</v>
      </c>
      <c r="AK1039">
        <v>4</v>
      </c>
      <c r="AL1039" t="s">
        <v>74</v>
      </c>
      <c r="AM1039">
        <v>4</v>
      </c>
      <c r="AN1039" t="s">
        <v>74</v>
      </c>
      <c r="AO1039">
        <v>3</v>
      </c>
      <c r="AP1039" t="s">
        <v>74</v>
      </c>
      <c r="AQ1039">
        <v>1</v>
      </c>
      <c r="AR1039">
        <v>1</v>
      </c>
      <c r="AS1039">
        <v>2</v>
      </c>
    </row>
    <row r="1040" spans="1:4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 t="str">
        <f>IF(Employee_data[[#This Row],[MonthlyIncome]]&lt;5000,"Low Income",
IF(Employee_data[[#This Row],[MonthlyIncome]]&lt;10000,"Medium Income","High Income"))</f>
        <v>Medium Income</v>
      </c>
      <c r="U1040" t="s">
        <v>92</v>
      </c>
      <c r="V1040" t="s">
        <v>92</v>
      </c>
      <c r="W1040" t="s">
        <v>92</v>
      </c>
      <c r="X1040" t="s">
        <v>92</v>
      </c>
      <c r="Y1040">
        <v>24795</v>
      </c>
      <c r="Z1040">
        <v>4</v>
      </c>
      <c r="AA1040" t="s">
        <v>42</v>
      </c>
      <c r="AB1040" t="s">
        <v>43</v>
      </c>
      <c r="AC1040">
        <v>11</v>
      </c>
      <c r="AD1040">
        <v>3</v>
      </c>
      <c r="AE1040">
        <v>1</v>
      </c>
      <c r="AF1040">
        <v>80</v>
      </c>
      <c r="AG1040">
        <v>3</v>
      </c>
      <c r="AH10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40">
        <v>15</v>
      </c>
      <c r="AJ1040" t="s">
        <v>74</v>
      </c>
      <c r="AK1040">
        <v>3</v>
      </c>
      <c r="AL1040" t="s">
        <v>74</v>
      </c>
      <c r="AM1040">
        <v>3</v>
      </c>
      <c r="AN1040" t="s">
        <v>74</v>
      </c>
      <c r="AO1040">
        <v>2</v>
      </c>
      <c r="AP1040" t="s">
        <v>74</v>
      </c>
      <c r="AQ1040">
        <v>2</v>
      </c>
      <c r="AR1040">
        <v>2</v>
      </c>
      <c r="AS1040">
        <v>2</v>
      </c>
    </row>
    <row r="1041" spans="1:4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 t="str">
        <f>IF(Employee_data[[#This Row],[MonthlyIncome]]&lt;5000,"Low Income",
IF(Employee_data[[#This Row],[MonthlyIncome]]&lt;10000,"Medium Income","High Income"))</f>
        <v>Low Income</v>
      </c>
      <c r="U1041" t="s">
        <v>91</v>
      </c>
      <c r="V1041" t="s">
        <v>91</v>
      </c>
      <c r="W1041" t="s">
        <v>91</v>
      </c>
      <c r="X1041" t="s">
        <v>91</v>
      </c>
      <c r="Y1041">
        <v>3072</v>
      </c>
      <c r="Z1041">
        <v>1</v>
      </c>
      <c r="AA1041" t="s">
        <v>42</v>
      </c>
      <c r="AB1041" t="s">
        <v>43</v>
      </c>
      <c r="AC1041">
        <v>15</v>
      </c>
      <c r="AD1041">
        <v>3</v>
      </c>
      <c r="AE1041">
        <v>4</v>
      </c>
      <c r="AF1041">
        <v>80</v>
      </c>
      <c r="AG1041">
        <v>0</v>
      </c>
      <c r="AH10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41">
        <v>2</v>
      </c>
      <c r="AJ1041" t="s">
        <v>74</v>
      </c>
      <c r="AK1041">
        <v>0</v>
      </c>
      <c r="AL1041" t="s">
        <v>74</v>
      </c>
      <c r="AM1041">
        <v>3</v>
      </c>
      <c r="AN1041" t="s">
        <v>74</v>
      </c>
      <c r="AO1041">
        <v>2</v>
      </c>
      <c r="AP1041" t="s">
        <v>74</v>
      </c>
      <c r="AQ1041">
        <v>2</v>
      </c>
      <c r="AR1041">
        <v>2</v>
      </c>
      <c r="AS1041">
        <v>2</v>
      </c>
    </row>
    <row r="1042" spans="1:4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 t="str">
        <f>IF(Employee_data[[#This Row],[MonthlyIncome]]&lt;5000,"Low Income",
IF(Employee_data[[#This Row],[MonthlyIncome]]&lt;10000,"Medium Income","High Income"))</f>
        <v>High Income</v>
      </c>
      <c r="U1042" t="s">
        <v>90</v>
      </c>
      <c r="V1042" t="s">
        <v>90</v>
      </c>
      <c r="W1042" t="s">
        <v>90</v>
      </c>
      <c r="X1042" t="s">
        <v>90</v>
      </c>
      <c r="Y1042">
        <v>25178</v>
      </c>
      <c r="Z1042">
        <v>2</v>
      </c>
      <c r="AA1042" t="s">
        <v>42</v>
      </c>
      <c r="AB1042" t="s">
        <v>43</v>
      </c>
      <c r="AC1042">
        <v>11</v>
      </c>
      <c r="AD1042">
        <v>3</v>
      </c>
      <c r="AE1042">
        <v>3</v>
      </c>
      <c r="AF1042">
        <v>80</v>
      </c>
      <c r="AG1042">
        <v>1</v>
      </c>
      <c r="AH10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42">
        <v>16</v>
      </c>
      <c r="AJ1042" t="s">
        <v>78</v>
      </c>
      <c r="AK1042">
        <v>5</v>
      </c>
      <c r="AL1042" t="s">
        <v>78</v>
      </c>
      <c r="AM1042">
        <v>3</v>
      </c>
      <c r="AN1042" t="s">
        <v>78</v>
      </c>
      <c r="AO1042">
        <v>9</v>
      </c>
      <c r="AP1042" t="s">
        <v>78</v>
      </c>
      <c r="AQ1042">
        <v>8</v>
      </c>
      <c r="AR1042">
        <v>4</v>
      </c>
      <c r="AS1042">
        <v>8</v>
      </c>
    </row>
    <row r="1043" spans="1:4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 t="str">
        <f>IF(Employee_data[[#This Row],[MonthlyIncome]]&lt;5000,"Low Income",
IF(Employee_data[[#This Row],[MonthlyIncome]]&lt;10000,"Medium Income","High Income"))</f>
        <v>Medium Income</v>
      </c>
      <c r="U1043" t="s">
        <v>92</v>
      </c>
      <c r="V1043" t="s">
        <v>92</v>
      </c>
      <c r="W1043" t="s">
        <v>92</v>
      </c>
      <c r="X1043" t="s">
        <v>92</v>
      </c>
      <c r="Y1043">
        <v>23490</v>
      </c>
      <c r="Z1043">
        <v>0</v>
      </c>
      <c r="AA1043" t="s">
        <v>42</v>
      </c>
      <c r="AB1043" t="s">
        <v>43</v>
      </c>
      <c r="AC1043">
        <v>18</v>
      </c>
      <c r="AD1043">
        <v>3</v>
      </c>
      <c r="AE1043">
        <v>4</v>
      </c>
      <c r="AF1043">
        <v>80</v>
      </c>
      <c r="AG1043">
        <v>0</v>
      </c>
      <c r="AH10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43">
        <v>6</v>
      </c>
      <c r="AJ1043" t="s">
        <v>78</v>
      </c>
      <c r="AK1043">
        <v>4</v>
      </c>
      <c r="AL1043" t="s">
        <v>78</v>
      </c>
      <c r="AM1043">
        <v>3</v>
      </c>
      <c r="AN1043" t="s">
        <v>78</v>
      </c>
      <c r="AO1043">
        <v>5</v>
      </c>
      <c r="AP1043" t="s">
        <v>78</v>
      </c>
      <c r="AQ1043">
        <v>4</v>
      </c>
      <c r="AR1043">
        <v>1</v>
      </c>
      <c r="AS1043">
        <v>3</v>
      </c>
    </row>
    <row r="1044" spans="1:4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 t="str">
        <f>IF(Employee_data[[#This Row],[MonthlyIncome]]&lt;5000,"Low Income",
IF(Employee_data[[#This Row],[MonthlyIncome]]&lt;10000,"Medium Income","High Income"))</f>
        <v>Low Income</v>
      </c>
      <c r="U1044" t="s">
        <v>91</v>
      </c>
      <c r="V1044" t="s">
        <v>91</v>
      </c>
      <c r="W1044" t="s">
        <v>91</v>
      </c>
      <c r="X1044" t="s">
        <v>91</v>
      </c>
      <c r="Y1044">
        <v>7973</v>
      </c>
      <c r="Z1044">
        <v>3</v>
      </c>
      <c r="AA1044" t="s">
        <v>42</v>
      </c>
      <c r="AB1044" t="s">
        <v>43</v>
      </c>
      <c r="AC1044">
        <v>14</v>
      </c>
      <c r="AD1044">
        <v>3</v>
      </c>
      <c r="AE1044">
        <v>4</v>
      </c>
      <c r="AF1044">
        <v>80</v>
      </c>
      <c r="AG1044">
        <v>0</v>
      </c>
      <c r="AH10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44">
        <v>7</v>
      </c>
      <c r="AJ1044" t="s">
        <v>78</v>
      </c>
      <c r="AK1044">
        <v>5</v>
      </c>
      <c r="AL1044" t="s">
        <v>78</v>
      </c>
      <c r="AM1044">
        <v>3</v>
      </c>
      <c r="AN1044" t="s">
        <v>78</v>
      </c>
      <c r="AO1044">
        <v>5</v>
      </c>
      <c r="AP1044" t="s">
        <v>78</v>
      </c>
      <c r="AQ1044">
        <v>2</v>
      </c>
      <c r="AR1044">
        <v>0</v>
      </c>
      <c r="AS1044">
        <v>3</v>
      </c>
    </row>
    <row r="1045" spans="1:4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 t="str">
        <f>IF(Employee_data[[#This Row],[MonthlyIncome]]&lt;5000,"Low Income",
IF(Employee_data[[#This Row],[MonthlyIncome]]&lt;10000,"Medium Income","High Income"))</f>
        <v>High Income</v>
      </c>
      <c r="U1045" t="s">
        <v>90</v>
      </c>
      <c r="V1045" t="s">
        <v>90</v>
      </c>
      <c r="W1045" t="s">
        <v>90</v>
      </c>
      <c r="X1045" t="s">
        <v>90</v>
      </c>
      <c r="Y1045">
        <v>19764</v>
      </c>
      <c r="Z1045">
        <v>4</v>
      </c>
      <c r="AA1045" t="s">
        <v>42</v>
      </c>
      <c r="AB1045" t="s">
        <v>43</v>
      </c>
      <c r="AC1045">
        <v>12</v>
      </c>
      <c r="AD1045">
        <v>3</v>
      </c>
      <c r="AE1045">
        <v>2</v>
      </c>
      <c r="AF1045">
        <v>80</v>
      </c>
      <c r="AG1045">
        <v>0</v>
      </c>
      <c r="AH10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45">
        <v>35</v>
      </c>
      <c r="AJ1045" t="s">
        <v>78</v>
      </c>
      <c r="AK1045">
        <v>2</v>
      </c>
      <c r="AL1045" t="s">
        <v>78</v>
      </c>
      <c r="AM1045">
        <v>2</v>
      </c>
      <c r="AN1045" t="s">
        <v>78</v>
      </c>
      <c r="AO1045">
        <v>9</v>
      </c>
      <c r="AP1045" t="s">
        <v>78</v>
      </c>
      <c r="AQ1045">
        <v>8</v>
      </c>
      <c r="AR1045">
        <v>8</v>
      </c>
      <c r="AS1045">
        <v>8</v>
      </c>
    </row>
    <row r="1046" spans="1:4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 t="str">
        <f>IF(Employee_data[[#This Row],[MonthlyIncome]]&lt;5000,"Low Income",
IF(Employee_data[[#This Row],[MonthlyIncome]]&lt;10000,"Medium Income","High Income"))</f>
        <v>Medium Income</v>
      </c>
      <c r="U1046" t="s">
        <v>92</v>
      </c>
      <c r="V1046" t="s">
        <v>92</v>
      </c>
      <c r="W1046" t="s">
        <v>92</v>
      </c>
      <c r="X1046" t="s">
        <v>92</v>
      </c>
      <c r="Y1046">
        <v>21534</v>
      </c>
      <c r="Z1046">
        <v>2</v>
      </c>
      <c r="AA1046" t="s">
        <v>42</v>
      </c>
      <c r="AB1046" t="s">
        <v>43</v>
      </c>
      <c r="AC1046">
        <v>14</v>
      </c>
      <c r="AD1046">
        <v>3</v>
      </c>
      <c r="AE1046">
        <v>2</v>
      </c>
      <c r="AF1046">
        <v>80</v>
      </c>
      <c r="AG1046">
        <v>1</v>
      </c>
      <c r="AH10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46">
        <v>20</v>
      </c>
      <c r="AJ1046" t="s">
        <v>74</v>
      </c>
      <c r="AK1046">
        <v>0</v>
      </c>
      <c r="AL1046" t="s">
        <v>74</v>
      </c>
      <c r="AM1046">
        <v>2</v>
      </c>
      <c r="AN1046" t="s">
        <v>74</v>
      </c>
      <c r="AO1046">
        <v>3</v>
      </c>
      <c r="AP1046" t="s">
        <v>74</v>
      </c>
      <c r="AQ1046">
        <v>2</v>
      </c>
      <c r="AR1046">
        <v>1</v>
      </c>
      <c r="AS1046">
        <v>2</v>
      </c>
    </row>
    <row r="1047" spans="1:4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 t="str">
        <f>IF(Employee_data[[#This Row],[MonthlyIncome]]&lt;5000,"Low Income",
IF(Employee_data[[#This Row],[MonthlyIncome]]&lt;10000,"Medium Income","High Income"))</f>
        <v>Low Income</v>
      </c>
      <c r="U1047" t="s">
        <v>91</v>
      </c>
      <c r="V1047" t="s">
        <v>91</v>
      </c>
      <c r="W1047" t="s">
        <v>91</v>
      </c>
      <c r="X1047" t="s">
        <v>91</v>
      </c>
      <c r="Y1047">
        <v>8045</v>
      </c>
      <c r="Z1047">
        <v>2</v>
      </c>
      <c r="AA1047" t="s">
        <v>42</v>
      </c>
      <c r="AB1047" t="s">
        <v>43</v>
      </c>
      <c r="AC1047">
        <v>14</v>
      </c>
      <c r="AD1047">
        <v>3</v>
      </c>
      <c r="AE1047">
        <v>3</v>
      </c>
      <c r="AF1047">
        <v>80</v>
      </c>
      <c r="AG1047">
        <v>1</v>
      </c>
      <c r="AH10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47">
        <v>8</v>
      </c>
      <c r="AJ1047" t="s">
        <v>74</v>
      </c>
      <c r="AK1047">
        <v>3</v>
      </c>
      <c r="AL1047" t="s">
        <v>74</v>
      </c>
      <c r="AM1047">
        <v>4</v>
      </c>
      <c r="AN1047" t="s">
        <v>74</v>
      </c>
      <c r="AO1047">
        <v>3</v>
      </c>
      <c r="AP1047" t="s">
        <v>74</v>
      </c>
      <c r="AQ1047">
        <v>1</v>
      </c>
      <c r="AR1047">
        <v>1</v>
      </c>
      <c r="AS1047">
        <v>2</v>
      </c>
    </row>
    <row r="1048" spans="1:4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 t="str">
        <f>IF(Employee_data[[#This Row],[MonthlyIncome]]&lt;5000,"Low Income",
IF(Employee_data[[#This Row],[MonthlyIncome]]&lt;10000,"Medium Income","High Income"))</f>
        <v>Low Income</v>
      </c>
      <c r="U1048" t="s">
        <v>91</v>
      </c>
      <c r="V1048" t="s">
        <v>91</v>
      </c>
      <c r="W1048" t="s">
        <v>91</v>
      </c>
      <c r="X1048" t="s">
        <v>91</v>
      </c>
      <c r="Y1048">
        <v>21158</v>
      </c>
      <c r="Z1048">
        <v>1</v>
      </c>
      <c r="AA1048" t="s">
        <v>42</v>
      </c>
      <c r="AB1048" t="s">
        <v>43</v>
      </c>
      <c r="AC1048">
        <v>13</v>
      </c>
      <c r="AD1048">
        <v>3</v>
      </c>
      <c r="AE1048">
        <v>3</v>
      </c>
      <c r="AF1048">
        <v>80</v>
      </c>
      <c r="AG1048">
        <v>0</v>
      </c>
      <c r="AH10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48">
        <v>6</v>
      </c>
      <c r="AJ1048" t="s">
        <v>78</v>
      </c>
      <c r="AK1048">
        <v>3</v>
      </c>
      <c r="AL1048" t="s">
        <v>78</v>
      </c>
      <c r="AM1048">
        <v>2</v>
      </c>
      <c r="AN1048" t="s">
        <v>78</v>
      </c>
      <c r="AO1048">
        <v>5</v>
      </c>
      <c r="AP1048" t="s">
        <v>78</v>
      </c>
      <c r="AQ1048">
        <v>2</v>
      </c>
      <c r="AR1048">
        <v>1</v>
      </c>
      <c r="AS1048">
        <v>3</v>
      </c>
    </row>
    <row r="1049" spans="1:4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 t="str">
        <f>IF(Employee_data[[#This Row],[MonthlyIncome]]&lt;5000,"Low Income",
IF(Employee_data[[#This Row],[MonthlyIncome]]&lt;10000,"Medium Income","High Income"))</f>
        <v>Low Income</v>
      </c>
      <c r="U1049" t="s">
        <v>91</v>
      </c>
      <c r="V1049" t="s">
        <v>91</v>
      </c>
      <c r="W1049" t="s">
        <v>91</v>
      </c>
      <c r="X1049" t="s">
        <v>91</v>
      </c>
      <c r="Y1049">
        <v>17456</v>
      </c>
      <c r="Z1049">
        <v>0</v>
      </c>
      <c r="AA1049" t="s">
        <v>42</v>
      </c>
      <c r="AB1049" t="s">
        <v>43</v>
      </c>
      <c r="AC1049">
        <v>14</v>
      </c>
      <c r="AD1049">
        <v>3</v>
      </c>
      <c r="AE1049">
        <v>1</v>
      </c>
      <c r="AF1049">
        <v>80</v>
      </c>
      <c r="AG1049">
        <v>2</v>
      </c>
      <c r="AH10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49">
        <v>5</v>
      </c>
      <c r="AJ1049" t="s">
        <v>74</v>
      </c>
      <c r="AK1049">
        <v>2</v>
      </c>
      <c r="AL1049" t="s">
        <v>74</v>
      </c>
      <c r="AM1049">
        <v>3</v>
      </c>
      <c r="AN1049" t="s">
        <v>74</v>
      </c>
      <c r="AO1049">
        <v>4</v>
      </c>
      <c r="AP1049" t="s">
        <v>74</v>
      </c>
      <c r="AQ1049">
        <v>3</v>
      </c>
      <c r="AR1049">
        <v>0</v>
      </c>
      <c r="AS1049">
        <v>3</v>
      </c>
    </row>
    <row r="1050" spans="1:4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 t="str">
        <f>IF(Employee_data[[#This Row],[MonthlyIncome]]&lt;5000,"Low Income",
IF(Employee_data[[#This Row],[MonthlyIncome]]&lt;10000,"Medium Income","High Income"))</f>
        <v>Low Income</v>
      </c>
      <c r="U1050" t="s">
        <v>91</v>
      </c>
      <c r="V1050" t="s">
        <v>91</v>
      </c>
      <c r="W1050" t="s">
        <v>91</v>
      </c>
      <c r="X1050" t="s">
        <v>91</v>
      </c>
      <c r="Y1050">
        <v>15891</v>
      </c>
      <c r="Z1050">
        <v>3</v>
      </c>
      <c r="AA1050" t="s">
        <v>42</v>
      </c>
      <c r="AB1050" t="s">
        <v>43</v>
      </c>
      <c r="AC1050">
        <v>18</v>
      </c>
      <c r="AD1050">
        <v>3</v>
      </c>
      <c r="AE1050">
        <v>4</v>
      </c>
      <c r="AF1050">
        <v>80</v>
      </c>
      <c r="AG1050">
        <v>0</v>
      </c>
      <c r="AH10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50">
        <v>15</v>
      </c>
      <c r="AJ1050" t="s">
        <v>75</v>
      </c>
      <c r="AK1050">
        <v>2</v>
      </c>
      <c r="AL1050" t="s">
        <v>75</v>
      </c>
      <c r="AM1050">
        <v>3</v>
      </c>
      <c r="AN1050" t="s">
        <v>75</v>
      </c>
      <c r="AO1050">
        <v>13</v>
      </c>
      <c r="AP1050" t="s">
        <v>75</v>
      </c>
      <c r="AQ1050">
        <v>9</v>
      </c>
      <c r="AR1050">
        <v>3</v>
      </c>
      <c r="AS1050">
        <v>12</v>
      </c>
    </row>
    <row r="1051" spans="1:4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 t="str">
        <f>IF(Employee_data[[#This Row],[MonthlyIncome]]&lt;5000,"Low Income",
IF(Employee_data[[#This Row],[MonthlyIncome]]&lt;10000,"Medium Income","High Income"))</f>
        <v>Medium Income</v>
      </c>
      <c r="U1051" t="s">
        <v>92</v>
      </c>
      <c r="V1051" t="s">
        <v>92</v>
      </c>
      <c r="W1051" t="s">
        <v>92</v>
      </c>
      <c r="X1051" t="s">
        <v>92</v>
      </c>
      <c r="Y1051">
        <v>2939</v>
      </c>
      <c r="Z1051">
        <v>8</v>
      </c>
      <c r="AA1051" t="s">
        <v>42</v>
      </c>
      <c r="AB1051" t="s">
        <v>43</v>
      </c>
      <c r="AC1051">
        <v>15</v>
      </c>
      <c r="AD1051">
        <v>3</v>
      </c>
      <c r="AE1051">
        <v>3</v>
      </c>
      <c r="AF1051">
        <v>80</v>
      </c>
      <c r="AG1051">
        <v>2</v>
      </c>
      <c r="AH10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51">
        <v>4</v>
      </c>
      <c r="AJ1051" t="s">
        <v>74</v>
      </c>
      <c r="AK1051">
        <v>2</v>
      </c>
      <c r="AL1051" t="s">
        <v>74</v>
      </c>
      <c r="AM1051">
        <v>2</v>
      </c>
      <c r="AN1051" t="s">
        <v>74</v>
      </c>
      <c r="AO1051">
        <v>2</v>
      </c>
      <c r="AP1051" t="s">
        <v>74</v>
      </c>
      <c r="AQ1051">
        <v>1</v>
      </c>
      <c r="AR1051">
        <v>2</v>
      </c>
      <c r="AS1051">
        <v>2</v>
      </c>
    </row>
    <row r="1052" spans="1:4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 t="str">
        <f>IF(Employee_data[[#This Row],[MonthlyIncome]]&lt;5000,"Low Income",
IF(Employee_data[[#This Row],[MonthlyIncome]]&lt;10000,"Medium Income","High Income"))</f>
        <v>Low Income</v>
      </c>
      <c r="U1052" t="s">
        <v>91</v>
      </c>
      <c r="V1052" t="s">
        <v>91</v>
      </c>
      <c r="W1052" t="s">
        <v>91</v>
      </c>
      <c r="X1052" t="s">
        <v>91</v>
      </c>
      <c r="Y1052">
        <v>16458</v>
      </c>
      <c r="Z1052">
        <v>1</v>
      </c>
      <c r="AA1052" t="s">
        <v>42</v>
      </c>
      <c r="AB1052" t="s">
        <v>43</v>
      </c>
      <c r="AC1052">
        <v>13</v>
      </c>
      <c r="AD1052">
        <v>3</v>
      </c>
      <c r="AE1052">
        <v>3</v>
      </c>
      <c r="AF1052">
        <v>80</v>
      </c>
      <c r="AG1052">
        <v>0</v>
      </c>
      <c r="AH10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52">
        <v>12</v>
      </c>
      <c r="AJ1052" t="s">
        <v>75</v>
      </c>
      <c r="AK1052">
        <v>3</v>
      </c>
      <c r="AL1052" t="s">
        <v>75</v>
      </c>
      <c r="AM1052">
        <v>3</v>
      </c>
      <c r="AN1052" t="s">
        <v>75</v>
      </c>
      <c r="AO1052">
        <v>12</v>
      </c>
      <c r="AP1052" t="s">
        <v>75</v>
      </c>
      <c r="AQ1052">
        <v>9</v>
      </c>
      <c r="AR1052">
        <v>5</v>
      </c>
      <c r="AS1052">
        <v>8</v>
      </c>
    </row>
    <row r="1053" spans="1:4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 t="str">
        <f>IF(Employee_data[[#This Row],[MonthlyIncome]]&lt;5000,"Low Income",
IF(Employee_data[[#This Row],[MonthlyIncome]]&lt;10000,"Medium Income","High Income"))</f>
        <v>Low Income</v>
      </c>
      <c r="U1053" t="s">
        <v>91</v>
      </c>
      <c r="V1053" t="s">
        <v>91</v>
      </c>
      <c r="W1053" t="s">
        <v>91</v>
      </c>
      <c r="X1053" t="s">
        <v>91</v>
      </c>
      <c r="Y1053">
        <v>9282</v>
      </c>
      <c r="Z1053">
        <v>7</v>
      </c>
      <c r="AA1053" t="s">
        <v>42</v>
      </c>
      <c r="AB1053" t="s">
        <v>43</v>
      </c>
      <c r="AC1053">
        <v>12</v>
      </c>
      <c r="AD1053">
        <v>3</v>
      </c>
      <c r="AE1053">
        <v>3</v>
      </c>
      <c r="AF1053">
        <v>80</v>
      </c>
      <c r="AG1053">
        <v>1</v>
      </c>
      <c r="AH10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53">
        <v>11</v>
      </c>
      <c r="AJ1053" t="s">
        <v>74</v>
      </c>
      <c r="AK1053">
        <v>4</v>
      </c>
      <c r="AL1053" t="s">
        <v>74</v>
      </c>
      <c r="AM1053">
        <v>2</v>
      </c>
      <c r="AN1053" t="s">
        <v>74</v>
      </c>
      <c r="AO1053">
        <v>1</v>
      </c>
      <c r="AP1053" t="s">
        <v>74</v>
      </c>
      <c r="AQ1053">
        <v>0</v>
      </c>
      <c r="AR1053">
        <v>0</v>
      </c>
      <c r="AS1053">
        <v>0</v>
      </c>
    </row>
    <row r="1054" spans="1:4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 t="str">
        <f>IF(Employee_data[[#This Row],[MonthlyIncome]]&lt;5000,"Low Income",
IF(Employee_data[[#This Row],[MonthlyIncome]]&lt;10000,"Medium Income","High Income"))</f>
        <v>Low Income</v>
      </c>
      <c r="U1054" t="s">
        <v>91</v>
      </c>
      <c r="V1054" t="s">
        <v>91</v>
      </c>
      <c r="W1054" t="s">
        <v>91</v>
      </c>
      <c r="X1054" t="s">
        <v>91</v>
      </c>
      <c r="Y1054">
        <v>7152</v>
      </c>
      <c r="Z1054">
        <v>1</v>
      </c>
      <c r="AA1054" t="s">
        <v>42</v>
      </c>
      <c r="AB1054" t="s">
        <v>43</v>
      </c>
      <c r="AC1054">
        <v>13</v>
      </c>
      <c r="AD1054">
        <v>3</v>
      </c>
      <c r="AE1054">
        <v>2</v>
      </c>
      <c r="AF1054">
        <v>80</v>
      </c>
      <c r="AG1054">
        <v>2</v>
      </c>
      <c r="AH10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54">
        <v>1</v>
      </c>
      <c r="AJ1054" t="s">
        <v>74</v>
      </c>
      <c r="AK1054">
        <v>2</v>
      </c>
      <c r="AL1054" t="s">
        <v>74</v>
      </c>
      <c r="AM1054">
        <v>2</v>
      </c>
      <c r="AN1054" t="s">
        <v>74</v>
      </c>
      <c r="AO1054">
        <v>1</v>
      </c>
      <c r="AP1054" t="s">
        <v>74</v>
      </c>
      <c r="AQ1054">
        <v>0</v>
      </c>
      <c r="AR1054">
        <v>0</v>
      </c>
      <c r="AS1054">
        <v>0</v>
      </c>
    </row>
    <row r="1055" spans="1:4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 t="str">
        <f>IF(Employee_data[[#This Row],[MonthlyIncome]]&lt;5000,"Low Income",
IF(Employee_data[[#This Row],[MonthlyIncome]]&lt;10000,"Medium Income","High Income"))</f>
        <v>Low Income</v>
      </c>
      <c r="U1055" t="s">
        <v>91</v>
      </c>
      <c r="V1055" t="s">
        <v>91</v>
      </c>
      <c r="W1055" t="s">
        <v>91</v>
      </c>
      <c r="X1055" t="s">
        <v>91</v>
      </c>
      <c r="Y1055">
        <v>2721</v>
      </c>
      <c r="Z1055">
        <v>0</v>
      </c>
      <c r="AA1055" t="s">
        <v>42</v>
      </c>
      <c r="AB1055" t="s">
        <v>43</v>
      </c>
      <c r="AC1055">
        <v>24</v>
      </c>
      <c r="AD1055">
        <v>4</v>
      </c>
      <c r="AE1055">
        <v>1</v>
      </c>
      <c r="AF1055">
        <v>80</v>
      </c>
      <c r="AG1055">
        <v>1</v>
      </c>
      <c r="AH10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55">
        <v>13</v>
      </c>
      <c r="AJ1055" t="s">
        <v>75</v>
      </c>
      <c r="AK1055">
        <v>2</v>
      </c>
      <c r="AL1055" t="s">
        <v>75</v>
      </c>
      <c r="AM1055">
        <v>2</v>
      </c>
      <c r="AN1055" t="s">
        <v>75</v>
      </c>
      <c r="AO1055">
        <v>12</v>
      </c>
      <c r="AP1055" t="s">
        <v>75</v>
      </c>
      <c r="AQ1055">
        <v>9</v>
      </c>
      <c r="AR1055">
        <v>2</v>
      </c>
      <c r="AS1055">
        <v>8</v>
      </c>
    </row>
    <row r="1056" spans="1:4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 t="str">
        <f>IF(Employee_data[[#This Row],[MonthlyIncome]]&lt;5000,"Low Income",
IF(Employee_data[[#This Row],[MonthlyIncome]]&lt;10000,"Medium Income","High Income"))</f>
        <v>High Income</v>
      </c>
      <c r="U1056" t="s">
        <v>90</v>
      </c>
      <c r="V1056" t="s">
        <v>90</v>
      </c>
      <c r="W1056" t="s">
        <v>90</v>
      </c>
      <c r="X1056" t="s">
        <v>90</v>
      </c>
      <c r="Y1056">
        <v>20948</v>
      </c>
      <c r="Z1056">
        <v>3</v>
      </c>
      <c r="AA1056" t="s">
        <v>42</v>
      </c>
      <c r="AB1056" t="s">
        <v>43</v>
      </c>
      <c r="AC1056">
        <v>14</v>
      </c>
      <c r="AD1056">
        <v>3</v>
      </c>
      <c r="AE1056">
        <v>2</v>
      </c>
      <c r="AF1056">
        <v>80</v>
      </c>
      <c r="AG1056">
        <v>2</v>
      </c>
      <c r="AH10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56">
        <v>29</v>
      </c>
      <c r="AJ1056" t="s">
        <v>78</v>
      </c>
      <c r="AK1056">
        <v>3</v>
      </c>
      <c r="AL1056" t="s">
        <v>78</v>
      </c>
      <c r="AM1056">
        <v>3</v>
      </c>
      <c r="AN1056" t="s">
        <v>78</v>
      </c>
      <c r="AO1056">
        <v>8</v>
      </c>
      <c r="AP1056" t="s">
        <v>78</v>
      </c>
      <c r="AQ1056">
        <v>7</v>
      </c>
      <c r="AR1056">
        <v>0</v>
      </c>
      <c r="AS1056">
        <v>7</v>
      </c>
    </row>
    <row r="1057" spans="1:4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 t="str">
        <f>IF(Employee_data[[#This Row],[MonthlyIncome]]&lt;5000,"Low Income",
IF(Employee_data[[#This Row],[MonthlyIncome]]&lt;10000,"Medium Income","High Income"))</f>
        <v>High Income</v>
      </c>
      <c r="U1057" t="s">
        <v>90</v>
      </c>
      <c r="V1057" t="s">
        <v>90</v>
      </c>
      <c r="W1057" t="s">
        <v>90</v>
      </c>
      <c r="X1057" t="s">
        <v>90</v>
      </c>
      <c r="Y1057">
        <v>11929</v>
      </c>
      <c r="Z1057">
        <v>7</v>
      </c>
      <c r="AA1057" t="s">
        <v>42</v>
      </c>
      <c r="AB1057" t="s">
        <v>43</v>
      </c>
      <c r="AC1057">
        <v>14</v>
      </c>
      <c r="AD1057">
        <v>3</v>
      </c>
      <c r="AE1057">
        <v>4</v>
      </c>
      <c r="AF1057">
        <v>80</v>
      </c>
      <c r="AG1057">
        <v>2</v>
      </c>
      <c r="AH10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57">
        <v>16</v>
      </c>
      <c r="AJ1057" t="s">
        <v>75</v>
      </c>
      <c r="AK1057">
        <v>3</v>
      </c>
      <c r="AL1057" t="s">
        <v>75</v>
      </c>
      <c r="AM1057">
        <v>2</v>
      </c>
      <c r="AN1057" t="s">
        <v>75</v>
      </c>
      <c r="AO1057">
        <v>14</v>
      </c>
      <c r="AP1057" t="s">
        <v>75</v>
      </c>
      <c r="AQ1057">
        <v>8</v>
      </c>
      <c r="AR1057">
        <v>6</v>
      </c>
      <c r="AS1057">
        <v>9</v>
      </c>
    </row>
    <row r="1058" spans="1:4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 t="str">
        <f>IF(Employee_data[[#This Row],[MonthlyIncome]]&lt;5000,"Low Income",
IF(Employee_data[[#This Row],[MonthlyIncome]]&lt;10000,"Medium Income","High Income"))</f>
        <v>Low Income</v>
      </c>
      <c r="U1058" t="s">
        <v>91</v>
      </c>
      <c r="V1058" t="s">
        <v>91</v>
      </c>
      <c r="W1058" t="s">
        <v>91</v>
      </c>
      <c r="X1058" t="s">
        <v>91</v>
      </c>
      <c r="Y1058">
        <v>15747</v>
      </c>
      <c r="Z1058">
        <v>3</v>
      </c>
      <c r="AA1058" t="s">
        <v>42</v>
      </c>
      <c r="AB1058" t="s">
        <v>43</v>
      </c>
      <c r="AC1058">
        <v>15</v>
      </c>
      <c r="AD1058">
        <v>3</v>
      </c>
      <c r="AE1058">
        <v>4</v>
      </c>
      <c r="AF1058">
        <v>80</v>
      </c>
      <c r="AG1058">
        <v>1</v>
      </c>
      <c r="AH10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58">
        <v>5</v>
      </c>
      <c r="AJ1058" t="s">
        <v>74</v>
      </c>
      <c r="AK1058">
        <v>3</v>
      </c>
      <c r="AL1058" t="s">
        <v>74</v>
      </c>
      <c r="AM1058">
        <v>4</v>
      </c>
      <c r="AN1058" t="s">
        <v>74</v>
      </c>
      <c r="AO1058">
        <v>3</v>
      </c>
      <c r="AP1058" t="s">
        <v>74</v>
      </c>
      <c r="AQ1058">
        <v>2</v>
      </c>
      <c r="AR1058">
        <v>1</v>
      </c>
      <c r="AS1058">
        <v>2</v>
      </c>
    </row>
    <row r="1059" spans="1:4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 t="str">
        <f>IF(Employee_data[[#This Row],[MonthlyIncome]]&lt;5000,"Low Income",
IF(Employee_data[[#This Row],[MonthlyIncome]]&lt;10000,"Medium Income","High Income"))</f>
        <v>Medium Income</v>
      </c>
      <c r="U1059" t="s">
        <v>92</v>
      </c>
      <c r="V1059" t="s">
        <v>92</v>
      </c>
      <c r="W1059" t="s">
        <v>92</v>
      </c>
      <c r="X1059" t="s">
        <v>92</v>
      </c>
      <c r="Y1059">
        <v>17485</v>
      </c>
      <c r="Z1059">
        <v>5</v>
      </c>
      <c r="AA1059" t="s">
        <v>42</v>
      </c>
      <c r="AB1059" t="s">
        <v>43</v>
      </c>
      <c r="AC1059">
        <v>11</v>
      </c>
      <c r="AD1059">
        <v>3</v>
      </c>
      <c r="AE1059">
        <v>1</v>
      </c>
      <c r="AF1059">
        <v>80</v>
      </c>
      <c r="AG1059">
        <v>0</v>
      </c>
      <c r="AH10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59">
        <v>7</v>
      </c>
      <c r="AJ1059" t="s">
        <v>78</v>
      </c>
      <c r="AK1059">
        <v>4</v>
      </c>
      <c r="AL1059" t="s">
        <v>78</v>
      </c>
      <c r="AM1059">
        <v>1</v>
      </c>
      <c r="AN1059" t="s">
        <v>78</v>
      </c>
      <c r="AO1059">
        <v>5</v>
      </c>
      <c r="AP1059" t="s">
        <v>78</v>
      </c>
      <c r="AQ1059">
        <v>3</v>
      </c>
      <c r="AR1059">
        <v>0</v>
      </c>
      <c r="AS1059">
        <v>0</v>
      </c>
    </row>
    <row r="1060" spans="1:4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 t="str">
        <f>IF(Employee_data[[#This Row],[MonthlyIncome]]&lt;5000,"Low Income",
IF(Employee_data[[#This Row],[MonthlyIncome]]&lt;10000,"Medium Income","High Income"))</f>
        <v>Low Income</v>
      </c>
      <c r="U1060" t="s">
        <v>91</v>
      </c>
      <c r="V1060" t="s">
        <v>91</v>
      </c>
      <c r="W1060" t="s">
        <v>91</v>
      </c>
      <c r="X1060" t="s">
        <v>91</v>
      </c>
      <c r="Y1060">
        <v>7815</v>
      </c>
      <c r="Z1060">
        <v>0</v>
      </c>
      <c r="AA1060" t="s">
        <v>42</v>
      </c>
      <c r="AB1060" t="s">
        <v>35</v>
      </c>
      <c r="AC1060">
        <v>23</v>
      </c>
      <c r="AD1060">
        <v>4</v>
      </c>
      <c r="AE1060">
        <v>3</v>
      </c>
      <c r="AF1060">
        <v>80</v>
      </c>
      <c r="AG1060">
        <v>0</v>
      </c>
      <c r="AH10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060">
        <v>16</v>
      </c>
      <c r="AJ1060" t="s">
        <v>76</v>
      </c>
      <c r="AK1060">
        <v>2</v>
      </c>
      <c r="AL1060" t="s">
        <v>76</v>
      </c>
      <c r="AM1060">
        <v>4</v>
      </c>
      <c r="AN1060" t="s">
        <v>76</v>
      </c>
      <c r="AO1060">
        <v>15</v>
      </c>
      <c r="AP1060" t="s">
        <v>76</v>
      </c>
      <c r="AQ1060">
        <v>9</v>
      </c>
      <c r="AR1060">
        <v>10</v>
      </c>
      <c r="AS1060">
        <v>10</v>
      </c>
    </row>
    <row r="1061" spans="1:4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 t="str">
        <f>IF(Employee_data[[#This Row],[MonthlyIncome]]&lt;5000,"Low Income",
IF(Employee_data[[#This Row],[MonthlyIncome]]&lt;10000,"Medium Income","High Income"))</f>
        <v>Low Income</v>
      </c>
      <c r="U1061" t="s">
        <v>91</v>
      </c>
      <c r="V1061" t="s">
        <v>91</v>
      </c>
      <c r="W1061" t="s">
        <v>91</v>
      </c>
      <c r="X1061" t="s">
        <v>91</v>
      </c>
      <c r="Y1061">
        <v>16192</v>
      </c>
      <c r="Z1061">
        <v>1</v>
      </c>
      <c r="AA1061" t="s">
        <v>42</v>
      </c>
      <c r="AB1061" t="s">
        <v>43</v>
      </c>
      <c r="AC1061">
        <v>13</v>
      </c>
      <c r="AD1061">
        <v>3</v>
      </c>
      <c r="AE1061">
        <v>1</v>
      </c>
      <c r="AF1061">
        <v>80</v>
      </c>
      <c r="AG1061">
        <v>1</v>
      </c>
      <c r="AH10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61">
        <v>1</v>
      </c>
      <c r="AJ1061" t="s">
        <v>74</v>
      </c>
      <c r="AK1061">
        <v>3</v>
      </c>
      <c r="AL1061" t="s">
        <v>74</v>
      </c>
      <c r="AM1061">
        <v>3</v>
      </c>
      <c r="AN1061" t="s">
        <v>74</v>
      </c>
      <c r="AO1061">
        <v>1</v>
      </c>
      <c r="AP1061" t="s">
        <v>74</v>
      </c>
      <c r="AQ1061">
        <v>0</v>
      </c>
      <c r="AR1061">
        <v>0</v>
      </c>
      <c r="AS1061">
        <v>0</v>
      </c>
    </row>
    <row r="1062" spans="1:4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 t="str">
        <f>IF(Employee_data[[#This Row],[MonthlyIncome]]&lt;5000,"Low Income",
IF(Employee_data[[#This Row],[MonthlyIncome]]&lt;10000,"Medium Income","High Income"))</f>
        <v>Low Income</v>
      </c>
      <c r="U1062" t="s">
        <v>91</v>
      </c>
      <c r="V1062" t="s">
        <v>91</v>
      </c>
      <c r="W1062" t="s">
        <v>91</v>
      </c>
      <c r="X1062" t="s">
        <v>91</v>
      </c>
      <c r="Y1062">
        <v>16998</v>
      </c>
      <c r="Z1062">
        <v>2</v>
      </c>
      <c r="AA1062" t="s">
        <v>42</v>
      </c>
      <c r="AB1062" t="s">
        <v>35</v>
      </c>
      <c r="AC1062">
        <v>11</v>
      </c>
      <c r="AD1062">
        <v>3</v>
      </c>
      <c r="AE1062">
        <v>3</v>
      </c>
      <c r="AF1062">
        <v>80</v>
      </c>
      <c r="AG1062">
        <v>0</v>
      </c>
      <c r="AH10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62">
        <v>4</v>
      </c>
      <c r="AJ1062" t="s">
        <v>74</v>
      </c>
      <c r="AK1062">
        <v>2</v>
      </c>
      <c r="AL1062" t="s">
        <v>74</v>
      </c>
      <c r="AM1062">
        <v>2</v>
      </c>
      <c r="AN1062" t="s">
        <v>74</v>
      </c>
      <c r="AO1062">
        <v>0</v>
      </c>
      <c r="AP1062" t="s">
        <v>74</v>
      </c>
      <c r="AQ1062">
        <v>0</v>
      </c>
      <c r="AR1062">
        <v>0</v>
      </c>
      <c r="AS1062">
        <v>0</v>
      </c>
    </row>
    <row r="1063" spans="1:4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 t="str">
        <f>IF(Employee_data[[#This Row],[MonthlyIncome]]&lt;5000,"Low Income",
IF(Employee_data[[#This Row],[MonthlyIncome]]&lt;10000,"Medium Income","High Income"))</f>
        <v>Low Income</v>
      </c>
      <c r="U1063" t="s">
        <v>91</v>
      </c>
      <c r="V1063" t="s">
        <v>91</v>
      </c>
      <c r="W1063" t="s">
        <v>91</v>
      </c>
      <c r="X1063" t="s">
        <v>91</v>
      </c>
      <c r="Y1063">
        <v>7103</v>
      </c>
      <c r="Z1063">
        <v>1</v>
      </c>
      <c r="AA1063" t="s">
        <v>42</v>
      </c>
      <c r="AB1063" t="s">
        <v>43</v>
      </c>
      <c r="AC1063">
        <v>13</v>
      </c>
      <c r="AD1063">
        <v>3</v>
      </c>
      <c r="AE1063">
        <v>3</v>
      </c>
      <c r="AF1063">
        <v>80</v>
      </c>
      <c r="AG1063">
        <v>1</v>
      </c>
      <c r="AH10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63">
        <v>1</v>
      </c>
      <c r="AJ1063" t="s">
        <v>74</v>
      </c>
      <c r="AK1063">
        <v>2</v>
      </c>
      <c r="AL1063" t="s">
        <v>74</v>
      </c>
      <c r="AM1063">
        <v>3</v>
      </c>
      <c r="AN1063" t="s">
        <v>74</v>
      </c>
      <c r="AO1063">
        <v>1</v>
      </c>
      <c r="AP1063" t="s">
        <v>74</v>
      </c>
      <c r="AQ1063">
        <v>0</v>
      </c>
      <c r="AR1063">
        <v>0</v>
      </c>
      <c r="AS1063">
        <v>0</v>
      </c>
    </row>
    <row r="1064" spans="1:4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 t="str">
        <f>IF(Employee_data[[#This Row],[MonthlyIncome]]&lt;5000,"Low Income",
IF(Employee_data[[#This Row],[MonthlyIncome]]&lt;10000,"Medium Income","High Income"))</f>
        <v>High Income</v>
      </c>
      <c r="U1064" t="s">
        <v>90</v>
      </c>
      <c r="V1064" t="s">
        <v>90</v>
      </c>
      <c r="W1064" t="s">
        <v>90</v>
      </c>
      <c r="X1064" t="s">
        <v>90</v>
      </c>
      <c r="Y1064">
        <v>19719</v>
      </c>
      <c r="Z1064">
        <v>5</v>
      </c>
      <c r="AA1064" t="s">
        <v>42</v>
      </c>
      <c r="AB1064" t="s">
        <v>35</v>
      </c>
      <c r="AC1064">
        <v>18</v>
      </c>
      <c r="AD1064">
        <v>3</v>
      </c>
      <c r="AE1064">
        <v>2</v>
      </c>
      <c r="AF1064">
        <v>80</v>
      </c>
      <c r="AG1064">
        <v>0</v>
      </c>
      <c r="AH10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64">
        <v>16</v>
      </c>
      <c r="AJ1064" t="s">
        <v>74</v>
      </c>
      <c r="AK1064">
        <v>2</v>
      </c>
      <c r="AL1064" t="s">
        <v>74</v>
      </c>
      <c r="AM1064">
        <v>2</v>
      </c>
      <c r="AN1064" t="s">
        <v>74</v>
      </c>
      <c r="AO1064">
        <v>2</v>
      </c>
      <c r="AP1064" t="s">
        <v>74</v>
      </c>
      <c r="AQ1064">
        <v>2</v>
      </c>
      <c r="AR1064">
        <v>2</v>
      </c>
      <c r="AS1064">
        <v>2</v>
      </c>
    </row>
    <row r="1065" spans="1:4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 t="str">
        <f>IF(Employee_data[[#This Row],[MonthlyIncome]]&lt;5000,"Low Income",
IF(Employee_data[[#This Row],[MonthlyIncome]]&lt;10000,"Medium Income","High Income"))</f>
        <v>Medium Income</v>
      </c>
      <c r="U1065" t="s">
        <v>92</v>
      </c>
      <c r="V1065" t="s">
        <v>92</v>
      </c>
      <c r="W1065" t="s">
        <v>92</v>
      </c>
      <c r="X1065" t="s">
        <v>92</v>
      </c>
      <c r="Y1065">
        <v>23757</v>
      </c>
      <c r="Z1065">
        <v>1</v>
      </c>
      <c r="AA1065" t="s">
        <v>42</v>
      </c>
      <c r="AB1065" t="s">
        <v>43</v>
      </c>
      <c r="AC1065">
        <v>14</v>
      </c>
      <c r="AD1065">
        <v>3</v>
      </c>
      <c r="AE1065">
        <v>3</v>
      </c>
      <c r="AF1065">
        <v>80</v>
      </c>
      <c r="AG1065">
        <v>2</v>
      </c>
      <c r="AH10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65">
        <v>10</v>
      </c>
      <c r="AJ1065" t="s">
        <v>75</v>
      </c>
      <c r="AK1065">
        <v>3</v>
      </c>
      <c r="AL1065" t="s">
        <v>75</v>
      </c>
      <c r="AM1065">
        <v>3</v>
      </c>
      <c r="AN1065" t="s">
        <v>75</v>
      </c>
      <c r="AO1065">
        <v>10</v>
      </c>
      <c r="AP1065" t="s">
        <v>75</v>
      </c>
      <c r="AQ1065">
        <v>7</v>
      </c>
      <c r="AR1065">
        <v>0</v>
      </c>
      <c r="AS1065">
        <v>4</v>
      </c>
    </row>
    <row r="1066" spans="1:4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 t="str">
        <f>IF(Employee_data[[#This Row],[MonthlyIncome]]&lt;5000,"Low Income",
IF(Employee_data[[#This Row],[MonthlyIncome]]&lt;10000,"Medium Income","High Income"))</f>
        <v>Low Income</v>
      </c>
      <c r="U1066" t="s">
        <v>91</v>
      </c>
      <c r="V1066" t="s">
        <v>91</v>
      </c>
      <c r="W1066" t="s">
        <v>91</v>
      </c>
      <c r="X1066" t="s">
        <v>91</v>
      </c>
      <c r="Y1066">
        <v>15428</v>
      </c>
      <c r="Z1066">
        <v>0</v>
      </c>
      <c r="AA1066" t="s">
        <v>42</v>
      </c>
      <c r="AB1066" t="s">
        <v>43</v>
      </c>
      <c r="AC1066">
        <v>21</v>
      </c>
      <c r="AD1066">
        <v>4</v>
      </c>
      <c r="AE1066">
        <v>1</v>
      </c>
      <c r="AF1066">
        <v>80</v>
      </c>
      <c r="AG1066">
        <v>1</v>
      </c>
      <c r="AH10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66">
        <v>6</v>
      </c>
      <c r="AJ1066" t="s">
        <v>78</v>
      </c>
      <c r="AK1066">
        <v>3</v>
      </c>
      <c r="AL1066" t="s">
        <v>78</v>
      </c>
      <c r="AM1066">
        <v>4</v>
      </c>
      <c r="AN1066" t="s">
        <v>78</v>
      </c>
      <c r="AO1066">
        <v>5</v>
      </c>
      <c r="AP1066" t="s">
        <v>78</v>
      </c>
      <c r="AQ1066">
        <v>3</v>
      </c>
      <c r="AR1066">
        <v>1</v>
      </c>
      <c r="AS1066">
        <v>3</v>
      </c>
    </row>
    <row r="1067" spans="1:4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 t="str">
        <f>IF(Employee_data[[#This Row],[MonthlyIncome]]&lt;5000,"Low Income",
IF(Employee_data[[#This Row],[MonthlyIncome]]&lt;10000,"Medium Income","High Income"))</f>
        <v>Low Income</v>
      </c>
      <c r="U1067" t="s">
        <v>91</v>
      </c>
      <c r="V1067" t="s">
        <v>91</v>
      </c>
      <c r="W1067" t="s">
        <v>91</v>
      </c>
      <c r="X1067" t="s">
        <v>91</v>
      </c>
      <c r="Y1067">
        <v>16143</v>
      </c>
      <c r="Z1067">
        <v>0</v>
      </c>
      <c r="AA1067" t="s">
        <v>42</v>
      </c>
      <c r="AB1067" t="s">
        <v>35</v>
      </c>
      <c r="AC1067">
        <v>16</v>
      </c>
      <c r="AD1067">
        <v>3</v>
      </c>
      <c r="AE1067">
        <v>2</v>
      </c>
      <c r="AF1067">
        <v>80</v>
      </c>
      <c r="AG1067">
        <v>0</v>
      </c>
      <c r="AH10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67">
        <v>4</v>
      </c>
      <c r="AJ1067" t="s">
        <v>74</v>
      </c>
      <c r="AK1067">
        <v>2</v>
      </c>
      <c r="AL1067" t="s">
        <v>74</v>
      </c>
      <c r="AM1067">
        <v>3</v>
      </c>
      <c r="AN1067" t="s">
        <v>74</v>
      </c>
      <c r="AO1067">
        <v>3</v>
      </c>
      <c r="AP1067" t="s">
        <v>74</v>
      </c>
      <c r="AQ1067">
        <v>2</v>
      </c>
      <c r="AR1067">
        <v>1</v>
      </c>
      <c r="AS1067">
        <v>2</v>
      </c>
    </row>
    <row r="1068" spans="1:4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 t="str">
        <f>IF(Employee_data[[#This Row],[MonthlyIncome]]&lt;5000,"Low Income",
IF(Employee_data[[#This Row],[MonthlyIncome]]&lt;10000,"Medium Income","High Income"))</f>
        <v>Low Income</v>
      </c>
      <c r="U1068" t="s">
        <v>91</v>
      </c>
      <c r="V1068" t="s">
        <v>91</v>
      </c>
      <c r="W1068" t="s">
        <v>91</v>
      </c>
      <c r="X1068" t="s">
        <v>91</v>
      </c>
      <c r="Y1068">
        <v>8192</v>
      </c>
      <c r="Z1068">
        <v>8</v>
      </c>
      <c r="AA1068" t="s">
        <v>42</v>
      </c>
      <c r="AB1068" t="s">
        <v>43</v>
      </c>
      <c r="AC1068">
        <v>11</v>
      </c>
      <c r="AD1068">
        <v>3</v>
      </c>
      <c r="AE1068">
        <v>4</v>
      </c>
      <c r="AF1068">
        <v>80</v>
      </c>
      <c r="AG1068">
        <v>0</v>
      </c>
      <c r="AH10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68">
        <v>8</v>
      </c>
      <c r="AJ1068" t="s">
        <v>78</v>
      </c>
      <c r="AK1068">
        <v>5</v>
      </c>
      <c r="AL1068" t="s">
        <v>78</v>
      </c>
      <c r="AM1068">
        <v>3</v>
      </c>
      <c r="AN1068" t="s">
        <v>78</v>
      </c>
      <c r="AO1068">
        <v>5</v>
      </c>
      <c r="AP1068" t="s">
        <v>78</v>
      </c>
      <c r="AQ1068">
        <v>4</v>
      </c>
      <c r="AR1068">
        <v>0</v>
      </c>
      <c r="AS1068">
        <v>2</v>
      </c>
    </row>
    <row r="1069" spans="1:4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 t="str">
        <f>IF(Employee_data[[#This Row],[MonthlyIncome]]&lt;5000,"Low Income",
IF(Employee_data[[#This Row],[MonthlyIncome]]&lt;10000,"Medium Income","High Income"))</f>
        <v>Low Income</v>
      </c>
      <c r="U1069" t="s">
        <v>91</v>
      </c>
      <c r="V1069" t="s">
        <v>91</v>
      </c>
      <c r="W1069" t="s">
        <v>91</v>
      </c>
      <c r="X1069" t="s">
        <v>91</v>
      </c>
      <c r="Y1069">
        <v>24200</v>
      </c>
      <c r="Z1069">
        <v>3</v>
      </c>
      <c r="AA1069" t="s">
        <v>42</v>
      </c>
      <c r="AB1069" t="s">
        <v>35</v>
      </c>
      <c r="AC1069">
        <v>17</v>
      </c>
      <c r="AD1069">
        <v>3</v>
      </c>
      <c r="AE1069">
        <v>3</v>
      </c>
      <c r="AF1069">
        <v>80</v>
      </c>
      <c r="AG1069">
        <v>1</v>
      </c>
      <c r="AH10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69">
        <v>11</v>
      </c>
      <c r="AJ1069" t="s">
        <v>78</v>
      </c>
      <c r="AK1069">
        <v>4</v>
      </c>
      <c r="AL1069" t="s">
        <v>78</v>
      </c>
      <c r="AM1069">
        <v>2</v>
      </c>
      <c r="AN1069" t="s">
        <v>78</v>
      </c>
      <c r="AO1069">
        <v>5</v>
      </c>
      <c r="AP1069" t="s">
        <v>78</v>
      </c>
      <c r="AQ1069">
        <v>4</v>
      </c>
      <c r="AR1069">
        <v>1</v>
      </c>
      <c r="AS1069">
        <v>2</v>
      </c>
    </row>
    <row r="1070" spans="1:4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 t="str">
        <f>IF(Employee_data[[#This Row],[MonthlyIncome]]&lt;5000,"Low Income",
IF(Employee_data[[#This Row],[MonthlyIncome]]&lt;10000,"Medium Income","High Income"))</f>
        <v>Low Income</v>
      </c>
      <c r="U1070" t="s">
        <v>91</v>
      </c>
      <c r="V1070" t="s">
        <v>91</v>
      </c>
      <c r="W1070" t="s">
        <v>91</v>
      </c>
      <c r="X1070" t="s">
        <v>91</v>
      </c>
      <c r="Y1070">
        <v>5355</v>
      </c>
      <c r="Z1070">
        <v>7</v>
      </c>
      <c r="AA1070" t="s">
        <v>42</v>
      </c>
      <c r="AB1070" t="s">
        <v>43</v>
      </c>
      <c r="AC1070">
        <v>11</v>
      </c>
      <c r="AD1070">
        <v>3</v>
      </c>
      <c r="AE1070">
        <v>3</v>
      </c>
      <c r="AF1070">
        <v>80</v>
      </c>
      <c r="AG1070">
        <v>0</v>
      </c>
      <c r="AH10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70">
        <v>8</v>
      </c>
      <c r="AJ1070" t="s">
        <v>74</v>
      </c>
      <c r="AK1070">
        <v>2</v>
      </c>
      <c r="AL1070" t="s">
        <v>74</v>
      </c>
      <c r="AM1070">
        <v>2</v>
      </c>
      <c r="AN1070" t="s">
        <v>74</v>
      </c>
      <c r="AO1070">
        <v>0</v>
      </c>
      <c r="AP1070" t="s">
        <v>74</v>
      </c>
      <c r="AQ1070">
        <v>0</v>
      </c>
      <c r="AR1070">
        <v>0</v>
      </c>
      <c r="AS1070">
        <v>0</v>
      </c>
    </row>
    <row r="1071" spans="1:4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 t="str">
        <f>IF(Employee_data[[#This Row],[MonthlyIncome]]&lt;5000,"Low Income",
IF(Employee_data[[#This Row],[MonthlyIncome]]&lt;10000,"Medium Income","High Income"))</f>
        <v>Low Income</v>
      </c>
      <c r="U1071" t="s">
        <v>91</v>
      </c>
      <c r="V1071" t="s">
        <v>91</v>
      </c>
      <c r="W1071" t="s">
        <v>91</v>
      </c>
      <c r="X1071" t="s">
        <v>91</v>
      </c>
      <c r="Y1071">
        <v>12530</v>
      </c>
      <c r="Z1071">
        <v>1</v>
      </c>
      <c r="AA1071" t="s">
        <v>42</v>
      </c>
      <c r="AB1071" t="s">
        <v>43</v>
      </c>
      <c r="AC1071">
        <v>14</v>
      </c>
      <c r="AD1071">
        <v>3</v>
      </c>
      <c r="AE1071">
        <v>4</v>
      </c>
      <c r="AF1071">
        <v>80</v>
      </c>
      <c r="AG1071">
        <v>1</v>
      </c>
      <c r="AH10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71">
        <v>1</v>
      </c>
      <c r="AJ1071" t="s">
        <v>74</v>
      </c>
      <c r="AK1071">
        <v>2</v>
      </c>
      <c r="AL1071" t="s">
        <v>74</v>
      </c>
      <c r="AM1071">
        <v>1</v>
      </c>
      <c r="AN1071" t="s">
        <v>74</v>
      </c>
      <c r="AO1071">
        <v>1</v>
      </c>
      <c r="AP1071" t="s">
        <v>74</v>
      </c>
      <c r="AQ1071">
        <v>0</v>
      </c>
      <c r="AR1071">
        <v>0</v>
      </c>
      <c r="AS1071">
        <v>0</v>
      </c>
    </row>
    <row r="1072" spans="1:4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 t="str">
        <f>IF(Employee_data[[#This Row],[MonthlyIncome]]&lt;5000,"Low Income",
IF(Employee_data[[#This Row],[MonthlyIncome]]&lt;10000,"Medium Income","High Income"))</f>
        <v>Low Income</v>
      </c>
      <c r="U1072" t="s">
        <v>91</v>
      </c>
      <c r="V1072" t="s">
        <v>91</v>
      </c>
      <c r="W1072" t="s">
        <v>91</v>
      </c>
      <c r="X1072" t="s">
        <v>91</v>
      </c>
      <c r="Y1072">
        <v>11827</v>
      </c>
      <c r="Z1072">
        <v>0</v>
      </c>
      <c r="AA1072" t="s">
        <v>42</v>
      </c>
      <c r="AB1072" t="s">
        <v>43</v>
      </c>
      <c r="AC1072">
        <v>14</v>
      </c>
      <c r="AD1072">
        <v>3</v>
      </c>
      <c r="AE1072">
        <v>4</v>
      </c>
      <c r="AF1072">
        <v>80</v>
      </c>
      <c r="AG1072">
        <v>0</v>
      </c>
      <c r="AH10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72">
        <v>5</v>
      </c>
      <c r="AJ1072" t="s">
        <v>74</v>
      </c>
      <c r="AK1072">
        <v>5</v>
      </c>
      <c r="AL1072" t="s">
        <v>74</v>
      </c>
      <c r="AM1072">
        <v>3</v>
      </c>
      <c r="AN1072" t="s">
        <v>74</v>
      </c>
      <c r="AO1072">
        <v>4</v>
      </c>
      <c r="AP1072" t="s">
        <v>74</v>
      </c>
      <c r="AQ1072">
        <v>2</v>
      </c>
      <c r="AR1072">
        <v>1</v>
      </c>
      <c r="AS1072">
        <v>3</v>
      </c>
    </row>
    <row r="1073" spans="1:4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 t="str">
        <f>IF(Employee_data[[#This Row],[MonthlyIncome]]&lt;5000,"Low Income",
IF(Employee_data[[#This Row],[MonthlyIncome]]&lt;10000,"Medium Income","High Income"))</f>
        <v>Low Income</v>
      </c>
      <c r="U1073" t="s">
        <v>91</v>
      </c>
      <c r="V1073" t="s">
        <v>91</v>
      </c>
      <c r="W1073" t="s">
        <v>91</v>
      </c>
      <c r="X1073" t="s">
        <v>91</v>
      </c>
      <c r="Y1073">
        <v>23070</v>
      </c>
      <c r="Z1073">
        <v>4</v>
      </c>
      <c r="AA1073" t="s">
        <v>42</v>
      </c>
      <c r="AB1073" t="s">
        <v>43</v>
      </c>
      <c r="AC1073">
        <v>25</v>
      </c>
      <c r="AD1073">
        <v>4</v>
      </c>
      <c r="AE1073">
        <v>1</v>
      </c>
      <c r="AF1073">
        <v>80</v>
      </c>
      <c r="AG1073">
        <v>1</v>
      </c>
      <c r="AH10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73">
        <v>10</v>
      </c>
      <c r="AJ1073" t="s">
        <v>74</v>
      </c>
      <c r="AK1073">
        <v>3</v>
      </c>
      <c r="AL1073" t="s">
        <v>74</v>
      </c>
      <c r="AM1073">
        <v>3</v>
      </c>
      <c r="AN1073" t="s">
        <v>74</v>
      </c>
      <c r="AO1073">
        <v>3</v>
      </c>
      <c r="AP1073" t="s">
        <v>74</v>
      </c>
      <c r="AQ1073">
        <v>2</v>
      </c>
      <c r="AR1073">
        <v>1</v>
      </c>
      <c r="AS1073">
        <v>2</v>
      </c>
    </row>
    <row r="1074" spans="1:4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 t="str">
        <f>IF(Employee_data[[#This Row],[MonthlyIncome]]&lt;5000,"Low Income",
IF(Employee_data[[#This Row],[MonthlyIncome]]&lt;10000,"Medium Income","High Income"))</f>
        <v>Low Income</v>
      </c>
      <c r="U1074" t="s">
        <v>91</v>
      </c>
      <c r="V1074" t="s">
        <v>91</v>
      </c>
      <c r="W1074" t="s">
        <v>91</v>
      </c>
      <c r="X1074" t="s">
        <v>91</v>
      </c>
      <c r="Y1074">
        <v>4668</v>
      </c>
      <c r="Z1074">
        <v>0</v>
      </c>
      <c r="AA1074" t="s">
        <v>42</v>
      </c>
      <c r="AB1074" t="s">
        <v>43</v>
      </c>
      <c r="AC1074">
        <v>13</v>
      </c>
      <c r="AD1074">
        <v>3</v>
      </c>
      <c r="AE1074">
        <v>3</v>
      </c>
      <c r="AF1074">
        <v>80</v>
      </c>
      <c r="AG1074">
        <v>3</v>
      </c>
      <c r="AH10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74">
        <v>4</v>
      </c>
      <c r="AJ1074" t="s">
        <v>74</v>
      </c>
      <c r="AK1074">
        <v>3</v>
      </c>
      <c r="AL1074" t="s">
        <v>74</v>
      </c>
      <c r="AM1074">
        <v>3</v>
      </c>
      <c r="AN1074" t="s">
        <v>74</v>
      </c>
      <c r="AO1074">
        <v>3</v>
      </c>
      <c r="AP1074" t="s">
        <v>74</v>
      </c>
      <c r="AQ1074">
        <v>2</v>
      </c>
      <c r="AR1074">
        <v>0</v>
      </c>
      <c r="AS1074">
        <v>2</v>
      </c>
    </row>
    <row r="1075" spans="1:4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 t="str">
        <f>IF(Employee_data[[#This Row],[MonthlyIncome]]&lt;5000,"Low Income",
IF(Employee_data[[#This Row],[MonthlyIncome]]&lt;10000,"Medium Income","High Income"))</f>
        <v>Medium Income</v>
      </c>
      <c r="U1075" t="s">
        <v>92</v>
      </c>
      <c r="V1075" t="s">
        <v>92</v>
      </c>
      <c r="W1075" t="s">
        <v>92</v>
      </c>
      <c r="X1075" t="s">
        <v>92</v>
      </c>
      <c r="Y1075">
        <v>3173</v>
      </c>
      <c r="Z1075">
        <v>1</v>
      </c>
      <c r="AA1075" t="s">
        <v>42</v>
      </c>
      <c r="AB1075" t="s">
        <v>43</v>
      </c>
      <c r="AC1075">
        <v>14</v>
      </c>
      <c r="AD1075">
        <v>3</v>
      </c>
      <c r="AE1075">
        <v>2</v>
      </c>
      <c r="AF1075">
        <v>80</v>
      </c>
      <c r="AG1075">
        <v>2</v>
      </c>
      <c r="AH10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75">
        <v>8</v>
      </c>
      <c r="AJ1075" t="s">
        <v>78</v>
      </c>
      <c r="AK1075">
        <v>2</v>
      </c>
      <c r="AL1075" t="s">
        <v>78</v>
      </c>
      <c r="AM1075">
        <v>2</v>
      </c>
      <c r="AN1075" t="s">
        <v>78</v>
      </c>
      <c r="AO1075">
        <v>8</v>
      </c>
      <c r="AP1075" t="s">
        <v>78</v>
      </c>
      <c r="AQ1075">
        <v>6</v>
      </c>
      <c r="AR1075">
        <v>1</v>
      </c>
      <c r="AS1075">
        <v>7</v>
      </c>
    </row>
    <row r="1076" spans="1:4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 t="str">
        <f>IF(Employee_data[[#This Row],[MonthlyIncome]]&lt;5000,"Low Income",
IF(Employee_data[[#This Row],[MonthlyIncome]]&lt;10000,"Medium Income","High Income"))</f>
        <v>Medium Income</v>
      </c>
      <c r="U1076" t="s">
        <v>92</v>
      </c>
      <c r="V1076" t="s">
        <v>92</v>
      </c>
      <c r="W1076" t="s">
        <v>92</v>
      </c>
      <c r="X1076" t="s">
        <v>92</v>
      </c>
      <c r="Y1076">
        <v>22049</v>
      </c>
      <c r="Z1076">
        <v>2</v>
      </c>
      <c r="AA1076" t="s">
        <v>42</v>
      </c>
      <c r="AB1076" t="s">
        <v>35</v>
      </c>
      <c r="AC1076">
        <v>17</v>
      </c>
      <c r="AD1076">
        <v>3</v>
      </c>
      <c r="AE1076">
        <v>1</v>
      </c>
      <c r="AF1076">
        <v>80</v>
      </c>
      <c r="AG1076">
        <v>0</v>
      </c>
      <c r="AH10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76">
        <v>14</v>
      </c>
      <c r="AJ1076" t="s">
        <v>74</v>
      </c>
      <c r="AK1076">
        <v>6</v>
      </c>
      <c r="AL1076" t="s">
        <v>74</v>
      </c>
      <c r="AM1076">
        <v>3</v>
      </c>
      <c r="AN1076" t="s">
        <v>74</v>
      </c>
      <c r="AO1076">
        <v>0</v>
      </c>
      <c r="AP1076" t="s">
        <v>74</v>
      </c>
      <c r="AQ1076">
        <v>0</v>
      </c>
      <c r="AR1076">
        <v>0</v>
      </c>
      <c r="AS1076">
        <v>0</v>
      </c>
    </row>
    <row r="1077" spans="1:4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 t="str">
        <f>IF(Employee_data[[#This Row],[MonthlyIncome]]&lt;5000,"Low Income",
IF(Employee_data[[#This Row],[MonthlyIncome]]&lt;10000,"Medium Income","High Income"))</f>
        <v>High Income</v>
      </c>
      <c r="U1077" t="s">
        <v>90</v>
      </c>
      <c r="V1077" t="s">
        <v>90</v>
      </c>
      <c r="W1077" t="s">
        <v>90</v>
      </c>
      <c r="X1077" t="s">
        <v>90</v>
      </c>
      <c r="Y1077">
        <v>21072</v>
      </c>
      <c r="Z1077">
        <v>2</v>
      </c>
      <c r="AA1077" t="s">
        <v>42</v>
      </c>
      <c r="AB1077" t="s">
        <v>43</v>
      </c>
      <c r="AC1077">
        <v>25</v>
      </c>
      <c r="AD1077">
        <v>4</v>
      </c>
      <c r="AE1077">
        <v>2</v>
      </c>
      <c r="AF1077">
        <v>80</v>
      </c>
      <c r="AG1077">
        <v>0</v>
      </c>
      <c r="AH10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77">
        <v>10</v>
      </c>
      <c r="AJ1077" t="s">
        <v>78</v>
      </c>
      <c r="AK1077">
        <v>5</v>
      </c>
      <c r="AL1077" t="s">
        <v>78</v>
      </c>
      <c r="AM1077">
        <v>4</v>
      </c>
      <c r="AN1077" t="s">
        <v>78</v>
      </c>
      <c r="AO1077">
        <v>5</v>
      </c>
      <c r="AP1077" t="s">
        <v>78</v>
      </c>
      <c r="AQ1077">
        <v>2</v>
      </c>
      <c r="AR1077">
        <v>0</v>
      </c>
      <c r="AS1077">
        <v>0</v>
      </c>
    </row>
    <row r="1078" spans="1:4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 t="str">
        <f>IF(Employee_data[[#This Row],[MonthlyIncome]]&lt;5000,"Low Income",
IF(Employee_data[[#This Row],[MonthlyIncome]]&lt;10000,"Medium Income","High Income"))</f>
        <v>High Income</v>
      </c>
      <c r="U1078" t="s">
        <v>90</v>
      </c>
      <c r="V1078" t="s">
        <v>90</v>
      </c>
      <c r="W1078" t="s">
        <v>90</v>
      </c>
      <c r="X1078" t="s">
        <v>90</v>
      </c>
      <c r="Y1078">
        <v>24456</v>
      </c>
      <c r="Z1078">
        <v>3</v>
      </c>
      <c r="AA1078" t="s">
        <v>42</v>
      </c>
      <c r="AB1078" t="s">
        <v>43</v>
      </c>
      <c r="AC1078">
        <v>20</v>
      </c>
      <c r="AD1078">
        <v>4</v>
      </c>
      <c r="AE1078">
        <v>1</v>
      </c>
      <c r="AF1078">
        <v>80</v>
      </c>
      <c r="AG1078">
        <v>1</v>
      </c>
      <c r="AH10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78">
        <v>26</v>
      </c>
      <c r="AJ1078" t="s">
        <v>75</v>
      </c>
      <c r="AK1078">
        <v>2</v>
      </c>
      <c r="AL1078" t="s">
        <v>75</v>
      </c>
      <c r="AM1078">
        <v>3</v>
      </c>
      <c r="AN1078" t="s">
        <v>75</v>
      </c>
      <c r="AO1078">
        <v>14</v>
      </c>
      <c r="AP1078" t="s">
        <v>75</v>
      </c>
      <c r="AQ1078">
        <v>9</v>
      </c>
      <c r="AR1078">
        <v>1</v>
      </c>
      <c r="AS1078">
        <v>12</v>
      </c>
    </row>
    <row r="1079" spans="1:4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 t="str">
        <f>IF(Employee_data[[#This Row],[MonthlyIncome]]&lt;5000,"Low Income",
IF(Employee_data[[#This Row],[MonthlyIncome]]&lt;10000,"Medium Income","High Income"))</f>
        <v>Low Income</v>
      </c>
      <c r="U1079" t="s">
        <v>91</v>
      </c>
      <c r="V1079" t="s">
        <v>91</v>
      </c>
      <c r="W1079" t="s">
        <v>91</v>
      </c>
      <c r="X1079" t="s">
        <v>91</v>
      </c>
      <c r="Y1079">
        <v>7568</v>
      </c>
      <c r="Z1079">
        <v>6</v>
      </c>
      <c r="AA1079" t="s">
        <v>42</v>
      </c>
      <c r="AB1079" t="s">
        <v>43</v>
      </c>
      <c r="AC1079">
        <v>13</v>
      </c>
      <c r="AD1079">
        <v>3</v>
      </c>
      <c r="AE1079">
        <v>3</v>
      </c>
      <c r="AF1079">
        <v>80</v>
      </c>
      <c r="AG1079">
        <v>0</v>
      </c>
      <c r="AH10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79">
        <v>11</v>
      </c>
      <c r="AJ1079" t="s">
        <v>78</v>
      </c>
      <c r="AK1079">
        <v>2</v>
      </c>
      <c r="AL1079" t="s">
        <v>78</v>
      </c>
      <c r="AM1079">
        <v>1</v>
      </c>
      <c r="AN1079" t="s">
        <v>78</v>
      </c>
      <c r="AO1079">
        <v>9</v>
      </c>
      <c r="AP1079" t="s">
        <v>78</v>
      </c>
      <c r="AQ1079">
        <v>7</v>
      </c>
      <c r="AR1079">
        <v>0</v>
      </c>
      <c r="AS1079">
        <v>7</v>
      </c>
    </row>
    <row r="1080" spans="1:4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 t="str">
        <f>IF(Employee_data[[#This Row],[MonthlyIncome]]&lt;5000,"Low Income",
IF(Employee_data[[#This Row],[MonthlyIncome]]&lt;10000,"Medium Income","High Income"))</f>
        <v>High Income</v>
      </c>
      <c r="U1080" t="s">
        <v>90</v>
      </c>
      <c r="V1080" t="s">
        <v>90</v>
      </c>
      <c r="W1080" t="s">
        <v>90</v>
      </c>
      <c r="X1080" t="s">
        <v>90</v>
      </c>
      <c r="Y1080">
        <v>22074</v>
      </c>
      <c r="Z1080">
        <v>3</v>
      </c>
      <c r="AA1080" t="s">
        <v>42</v>
      </c>
      <c r="AB1080" t="s">
        <v>43</v>
      </c>
      <c r="AC1080">
        <v>13</v>
      </c>
      <c r="AD1080">
        <v>3</v>
      </c>
      <c r="AE1080">
        <v>3</v>
      </c>
      <c r="AF1080">
        <v>80</v>
      </c>
      <c r="AG1080">
        <v>1</v>
      </c>
      <c r="AH10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080">
        <v>24</v>
      </c>
      <c r="AJ1080" t="s">
        <v>76</v>
      </c>
      <c r="AK1080">
        <v>1</v>
      </c>
      <c r="AL1080" t="s">
        <v>76</v>
      </c>
      <c r="AM1080">
        <v>4</v>
      </c>
      <c r="AN1080" t="s">
        <v>76</v>
      </c>
      <c r="AO1080">
        <v>20</v>
      </c>
      <c r="AP1080" t="s">
        <v>76</v>
      </c>
      <c r="AQ1080">
        <v>6</v>
      </c>
      <c r="AR1080">
        <v>14</v>
      </c>
      <c r="AS1080">
        <v>17</v>
      </c>
    </row>
    <row r="1081" spans="1:4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 t="str">
        <f>IF(Employee_data[[#This Row],[MonthlyIncome]]&lt;5000,"Low Income",
IF(Employee_data[[#This Row],[MonthlyIncome]]&lt;10000,"Medium Income","High Income"))</f>
        <v>Medium Income</v>
      </c>
      <c r="U1081" t="s">
        <v>92</v>
      </c>
      <c r="V1081" t="s">
        <v>92</v>
      </c>
      <c r="W1081" t="s">
        <v>92</v>
      </c>
      <c r="X1081" t="s">
        <v>92</v>
      </c>
      <c r="Y1081">
        <v>9150</v>
      </c>
      <c r="Z1081">
        <v>4</v>
      </c>
      <c r="AA1081" t="s">
        <v>42</v>
      </c>
      <c r="AB1081" t="s">
        <v>43</v>
      </c>
      <c r="AC1081">
        <v>18</v>
      </c>
      <c r="AD1081">
        <v>3</v>
      </c>
      <c r="AE1081">
        <v>4</v>
      </c>
      <c r="AF1081">
        <v>80</v>
      </c>
      <c r="AG1081">
        <v>0</v>
      </c>
      <c r="AH10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81">
        <v>9</v>
      </c>
      <c r="AJ1081" t="s">
        <v>74</v>
      </c>
      <c r="AK1081">
        <v>3</v>
      </c>
      <c r="AL1081" t="s">
        <v>74</v>
      </c>
      <c r="AM1081">
        <v>3</v>
      </c>
      <c r="AN1081" t="s">
        <v>74</v>
      </c>
      <c r="AO1081">
        <v>2</v>
      </c>
      <c r="AP1081" t="s">
        <v>74</v>
      </c>
      <c r="AQ1081">
        <v>0</v>
      </c>
      <c r="AR1081">
        <v>2</v>
      </c>
      <c r="AS1081">
        <v>2</v>
      </c>
    </row>
    <row r="1082" spans="1:4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 t="str">
        <f>IF(Employee_data[[#This Row],[MonthlyIncome]]&lt;5000,"Low Income",
IF(Employee_data[[#This Row],[MonthlyIncome]]&lt;10000,"Medium Income","High Income"))</f>
        <v>High Income</v>
      </c>
      <c r="U1082" t="s">
        <v>90</v>
      </c>
      <c r="V1082" t="s">
        <v>90</v>
      </c>
      <c r="W1082" t="s">
        <v>90</v>
      </c>
      <c r="X1082" t="s">
        <v>90</v>
      </c>
      <c r="Y1082">
        <v>11380</v>
      </c>
      <c r="Z1082">
        <v>8</v>
      </c>
      <c r="AA1082" t="s">
        <v>42</v>
      </c>
      <c r="AB1082" t="s">
        <v>43</v>
      </c>
      <c r="AC1082">
        <v>12</v>
      </c>
      <c r="AD1082">
        <v>3</v>
      </c>
      <c r="AE1082">
        <v>4</v>
      </c>
      <c r="AF1082">
        <v>80</v>
      </c>
      <c r="AG1082">
        <v>1</v>
      </c>
      <c r="AH10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82">
        <v>23</v>
      </c>
      <c r="AJ1082" t="s">
        <v>75</v>
      </c>
      <c r="AK1082">
        <v>2</v>
      </c>
      <c r="AL1082" t="s">
        <v>75</v>
      </c>
      <c r="AM1082">
        <v>4</v>
      </c>
      <c r="AN1082" t="s">
        <v>75</v>
      </c>
      <c r="AO1082">
        <v>13</v>
      </c>
      <c r="AP1082" t="s">
        <v>75</v>
      </c>
      <c r="AQ1082">
        <v>12</v>
      </c>
      <c r="AR1082">
        <v>5</v>
      </c>
      <c r="AS1082">
        <v>1</v>
      </c>
    </row>
    <row r="1083" spans="1:4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 t="str">
        <f>IF(Employee_data[[#This Row],[MonthlyIncome]]&lt;5000,"Low Income",
IF(Employee_data[[#This Row],[MonthlyIncome]]&lt;10000,"Medium Income","High Income"))</f>
        <v>Medium Income</v>
      </c>
      <c r="U1083" t="s">
        <v>92</v>
      </c>
      <c r="V1083" t="s">
        <v>92</v>
      </c>
      <c r="W1083" t="s">
        <v>92</v>
      </c>
      <c r="X1083" t="s">
        <v>92</v>
      </c>
      <c r="Y1083">
        <v>21195</v>
      </c>
      <c r="Z1083">
        <v>1</v>
      </c>
      <c r="AA1083" t="s">
        <v>42</v>
      </c>
      <c r="AB1083" t="s">
        <v>43</v>
      </c>
      <c r="AC1083">
        <v>19</v>
      </c>
      <c r="AD1083">
        <v>3</v>
      </c>
      <c r="AE1083">
        <v>4</v>
      </c>
      <c r="AF1083">
        <v>80</v>
      </c>
      <c r="AG1083">
        <v>0</v>
      </c>
      <c r="AH10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83">
        <v>11</v>
      </c>
      <c r="AJ1083" t="s">
        <v>75</v>
      </c>
      <c r="AK1083">
        <v>3</v>
      </c>
      <c r="AL1083" t="s">
        <v>75</v>
      </c>
      <c r="AM1083">
        <v>1</v>
      </c>
      <c r="AN1083" t="s">
        <v>75</v>
      </c>
      <c r="AO1083">
        <v>11</v>
      </c>
      <c r="AP1083" t="s">
        <v>75</v>
      </c>
      <c r="AQ1083">
        <v>8</v>
      </c>
      <c r="AR1083">
        <v>3</v>
      </c>
      <c r="AS1083">
        <v>3</v>
      </c>
    </row>
    <row r="1084" spans="1:4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 t="str">
        <f>IF(Employee_data[[#This Row],[MonthlyIncome]]&lt;5000,"Low Income",
IF(Employee_data[[#This Row],[MonthlyIncome]]&lt;10000,"Medium Income","High Income"))</f>
        <v>Low Income</v>
      </c>
      <c r="U1084" t="s">
        <v>91</v>
      </c>
      <c r="V1084" t="s">
        <v>91</v>
      </c>
      <c r="W1084" t="s">
        <v>91</v>
      </c>
      <c r="X1084" t="s">
        <v>91</v>
      </c>
      <c r="Y1084">
        <v>24812</v>
      </c>
      <c r="Z1084">
        <v>0</v>
      </c>
      <c r="AA1084" t="s">
        <v>42</v>
      </c>
      <c r="AB1084" t="s">
        <v>43</v>
      </c>
      <c r="AC1084">
        <v>14</v>
      </c>
      <c r="AD1084">
        <v>3</v>
      </c>
      <c r="AE1084">
        <v>2</v>
      </c>
      <c r="AF1084">
        <v>80</v>
      </c>
      <c r="AG1084">
        <v>0</v>
      </c>
      <c r="AH10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84">
        <v>5</v>
      </c>
      <c r="AJ1084" t="s">
        <v>74</v>
      </c>
      <c r="AK1084">
        <v>2</v>
      </c>
      <c r="AL1084" t="s">
        <v>74</v>
      </c>
      <c r="AM1084">
        <v>3</v>
      </c>
      <c r="AN1084" t="s">
        <v>74</v>
      </c>
      <c r="AO1084">
        <v>4</v>
      </c>
      <c r="AP1084" t="s">
        <v>74</v>
      </c>
      <c r="AQ1084">
        <v>3</v>
      </c>
      <c r="AR1084">
        <v>1</v>
      </c>
      <c r="AS1084">
        <v>2</v>
      </c>
    </row>
    <row r="1085" spans="1:4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 t="str">
        <f>IF(Employee_data[[#This Row],[MonthlyIncome]]&lt;5000,"Low Income",
IF(Employee_data[[#This Row],[MonthlyIncome]]&lt;10000,"Medium Income","High Income"))</f>
        <v>Low Income</v>
      </c>
      <c r="U1085" t="s">
        <v>91</v>
      </c>
      <c r="V1085" t="s">
        <v>91</v>
      </c>
      <c r="W1085" t="s">
        <v>91</v>
      </c>
      <c r="X1085" t="s">
        <v>91</v>
      </c>
      <c r="Y1085">
        <v>21831</v>
      </c>
      <c r="Z1085">
        <v>3</v>
      </c>
      <c r="AA1085" t="s">
        <v>42</v>
      </c>
      <c r="AB1085" t="s">
        <v>43</v>
      </c>
      <c r="AC1085">
        <v>14</v>
      </c>
      <c r="AD1085">
        <v>3</v>
      </c>
      <c r="AE1085">
        <v>2</v>
      </c>
      <c r="AF1085">
        <v>80</v>
      </c>
      <c r="AG1085">
        <v>0</v>
      </c>
      <c r="AH10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85">
        <v>15</v>
      </c>
      <c r="AJ1085" t="s">
        <v>78</v>
      </c>
      <c r="AK1085">
        <v>3</v>
      </c>
      <c r="AL1085" t="s">
        <v>78</v>
      </c>
      <c r="AM1085">
        <v>1</v>
      </c>
      <c r="AN1085" t="s">
        <v>78</v>
      </c>
      <c r="AO1085">
        <v>5</v>
      </c>
      <c r="AP1085" t="s">
        <v>78</v>
      </c>
      <c r="AQ1085">
        <v>4</v>
      </c>
      <c r="AR1085">
        <v>1</v>
      </c>
      <c r="AS1085">
        <v>0</v>
      </c>
    </row>
    <row r="1086" spans="1:4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 t="str">
        <f>IF(Employee_data[[#This Row],[MonthlyIncome]]&lt;5000,"Low Income",
IF(Employee_data[[#This Row],[MonthlyIncome]]&lt;10000,"Medium Income","High Income"))</f>
        <v>Medium Income</v>
      </c>
      <c r="U1086" t="s">
        <v>92</v>
      </c>
      <c r="V1086" t="s">
        <v>92</v>
      </c>
      <c r="W1086" t="s">
        <v>92</v>
      </c>
      <c r="X1086" t="s">
        <v>92</v>
      </c>
      <c r="Y1086">
        <v>12288</v>
      </c>
      <c r="Z1086">
        <v>1</v>
      </c>
      <c r="AA1086" t="s">
        <v>42</v>
      </c>
      <c r="AB1086" t="s">
        <v>35</v>
      </c>
      <c r="AC1086">
        <v>14</v>
      </c>
      <c r="AD1086">
        <v>3</v>
      </c>
      <c r="AE1086">
        <v>4</v>
      </c>
      <c r="AF1086">
        <v>80</v>
      </c>
      <c r="AG1086">
        <v>0</v>
      </c>
      <c r="AH10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86">
        <v>10</v>
      </c>
      <c r="AJ1086" t="s">
        <v>75</v>
      </c>
      <c r="AK1086">
        <v>3</v>
      </c>
      <c r="AL1086" t="s">
        <v>75</v>
      </c>
      <c r="AM1086">
        <v>3</v>
      </c>
      <c r="AN1086" t="s">
        <v>75</v>
      </c>
      <c r="AO1086">
        <v>10</v>
      </c>
      <c r="AP1086" t="s">
        <v>75</v>
      </c>
      <c r="AQ1086">
        <v>9</v>
      </c>
      <c r="AR1086">
        <v>8</v>
      </c>
      <c r="AS1086">
        <v>6</v>
      </c>
    </row>
    <row r="1087" spans="1:4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 t="str">
        <f>IF(Employee_data[[#This Row],[MonthlyIncome]]&lt;5000,"Low Income",
IF(Employee_data[[#This Row],[MonthlyIncome]]&lt;10000,"Medium Income","High Income"))</f>
        <v>Low Income</v>
      </c>
      <c r="U1087" t="s">
        <v>91</v>
      </c>
      <c r="V1087" t="s">
        <v>91</v>
      </c>
      <c r="W1087" t="s">
        <v>91</v>
      </c>
      <c r="X1087" t="s">
        <v>91</v>
      </c>
      <c r="Y1087">
        <v>4156</v>
      </c>
      <c r="Z1087">
        <v>1</v>
      </c>
      <c r="AA1087" t="s">
        <v>42</v>
      </c>
      <c r="AB1087" t="s">
        <v>43</v>
      </c>
      <c r="AC1087">
        <v>12</v>
      </c>
      <c r="AD1087">
        <v>3</v>
      </c>
      <c r="AE1087">
        <v>1</v>
      </c>
      <c r="AF1087">
        <v>80</v>
      </c>
      <c r="AG1087">
        <v>0</v>
      </c>
      <c r="AH10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87">
        <v>7</v>
      </c>
      <c r="AJ1087" t="s">
        <v>78</v>
      </c>
      <c r="AK1087">
        <v>2</v>
      </c>
      <c r="AL1087" t="s">
        <v>78</v>
      </c>
      <c r="AM1087">
        <v>1</v>
      </c>
      <c r="AN1087" t="s">
        <v>78</v>
      </c>
      <c r="AO1087">
        <v>7</v>
      </c>
      <c r="AP1087" t="s">
        <v>78</v>
      </c>
      <c r="AQ1087">
        <v>2</v>
      </c>
      <c r="AR1087">
        <v>7</v>
      </c>
      <c r="AS1087">
        <v>7</v>
      </c>
    </row>
    <row r="1088" spans="1:4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 t="str">
        <f>IF(Employee_data[[#This Row],[MonthlyIncome]]&lt;5000,"Low Income",
IF(Employee_data[[#This Row],[MonthlyIncome]]&lt;10000,"Medium Income","High Income"))</f>
        <v>High Income</v>
      </c>
      <c r="U1088" t="s">
        <v>90</v>
      </c>
      <c r="V1088" t="s">
        <v>90</v>
      </c>
      <c r="W1088" t="s">
        <v>90</v>
      </c>
      <c r="X1088" t="s">
        <v>90</v>
      </c>
      <c r="Y1088">
        <v>24450</v>
      </c>
      <c r="Z1088">
        <v>1</v>
      </c>
      <c r="AA1088" t="s">
        <v>42</v>
      </c>
      <c r="AB1088" t="s">
        <v>35</v>
      </c>
      <c r="AC1088">
        <v>13</v>
      </c>
      <c r="AD1088">
        <v>3</v>
      </c>
      <c r="AE1088">
        <v>4</v>
      </c>
      <c r="AF1088">
        <v>80</v>
      </c>
      <c r="AG1088">
        <v>0</v>
      </c>
      <c r="AH10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1088">
        <v>32</v>
      </c>
      <c r="AJ1088" t="s">
        <v>77</v>
      </c>
      <c r="AK1088">
        <v>2</v>
      </c>
      <c r="AL1088" t="s">
        <v>77</v>
      </c>
      <c r="AM1088">
        <v>3</v>
      </c>
      <c r="AN1088" t="s">
        <v>77</v>
      </c>
      <c r="AO1088">
        <v>32</v>
      </c>
      <c r="AP1088" t="s">
        <v>77</v>
      </c>
      <c r="AQ1088">
        <v>6</v>
      </c>
      <c r="AR1088">
        <v>13</v>
      </c>
      <c r="AS1088">
        <v>9</v>
      </c>
    </row>
    <row r="1089" spans="1:4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 t="str">
        <f>IF(Employee_data[[#This Row],[MonthlyIncome]]&lt;5000,"Low Income",
IF(Employee_data[[#This Row],[MonthlyIncome]]&lt;10000,"Medium Income","High Income"))</f>
        <v>Low Income</v>
      </c>
      <c r="U1089" t="s">
        <v>91</v>
      </c>
      <c r="V1089" t="s">
        <v>91</v>
      </c>
      <c r="W1089" t="s">
        <v>91</v>
      </c>
      <c r="X1089" t="s">
        <v>91</v>
      </c>
      <c r="Y1089">
        <v>4944</v>
      </c>
      <c r="Z1089">
        <v>0</v>
      </c>
      <c r="AA1089" t="s">
        <v>42</v>
      </c>
      <c r="AB1089" t="s">
        <v>35</v>
      </c>
      <c r="AC1089">
        <v>25</v>
      </c>
      <c r="AD1089">
        <v>4</v>
      </c>
      <c r="AE1089">
        <v>2</v>
      </c>
      <c r="AF1089">
        <v>80</v>
      </c>
      <c r="AG1089">
        <v>1</v>
      </c>
      <c r="AH10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89">
        <v>12</v>
      </c>
      <c r="AJ1089" t="s">
        <v>75</v>
      </c>
      <c r="AK1089">
        <v>4</v>
      </c>
      <c r="AL1089" t="s">
        <v>75</v>
      </c>
      <c r="AM1089">
        <v>3</v>
      </c>
      <c r="AN1089" t="s">
        <v>75</v>
      </c>
      <c r="AO1089">
        <v>11</v>
      </c>
      <c r="AP1089" t="s">
        <v>75</v>
      </c>
      <c r="AQ1089">
        <v>10</v>
      </c>
      <c r="AR1089">
        <v>5</v>
      </c>
      <c r="AS1089">
        <v>7</v>
      </c>
    </row>
    <row r="1090" spans="1:4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 t="str">
        <f>IF(Employee_data[[#This Row],[MonthlyIncome]]&lt;5000,"Low Income",
IF(Employee_data[[#This Row],[MonthlyIncome]]&lt;10000,"Medium Income","High Income"))</f>
        <v>Low Income</v>
      </c>
      <c r="U1090" t="s">
        <v>91</v>
      </c>
      <c r="V1090" t="s">
        <v>91</v>
      </c>
      <c r="W1090" t="s">
        <v>91</v>
      </c>
      <c r="X1090" t="s">
        <v>91</v>
      </c>
      <c r="Y1090">
        <v>24052</v>
      </c>
      <c r="Z1090">
        <v>4</v>
      </c>
      <c r="AA1090" t="s">
        <v>42</v>
      </c>
      <c r="AB1090" t="s">
        <v>43</v>
      </c>
      <c r="AC1090">
        <v>14</v>
      </c>
      <c r="AD1090">
        <v>3</v>
      </c>
      <c r="AE1090">
        <v>2</v>
      </c>
      <c r="AF1090">
        <v>80</v>
      </c>
      <c r="AG1090">
        <v>1</v>
      </c>
      <c r="AH10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90">
        <v>4</v>
      </c>
      <c r="AJ1090" t="s">
        <v>74</v>
      </c>
      <c r="AK1090">
        <v>3</v>
      </c>
      <c r="AL1090" t="s">
        <v>74</v>
      </c>
      <c r="AM1090">
        <v>3</v>
      </c>
      <c r="AN1090" t="s">
        <v>74</v>
      </c>
      <c r="AO1090">
        <v>1</v>
      </c>
      <c r="AP1090" t="s">
        <v>74</v>
      </c>
      <c r="AQ1090">
        <v>0</v>
      </c>
      <c r="AR1090">
        <v>0</v>
      </c>
      <c r="AS1090">
        <v>0</v>
      </c>
    </row>
    <row r="1091" spans="1:4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 t="str">
        <f>IF(Employee_data[[#This Row],[MonthlyIncome]]&lt;5000,"Low Income",
IF(Employee_data[[#This Row],[MonthlyIncome]]&lt;10000,"Medium Income","High Income"))</f>
        <v>Low Income</v>
      </c>
      <c r="U1091" t="s">
        <v>91</v>
      </c>
      <c r="V1091" t="s">
        <v>91</v>
      </c>
      <c r="W1091" t="s">
        <v>91</v>
      </c>
      <c r="X1091" t="s">
        <v>91</v>
      </c>
      <c r="Y1091">
        <v>3031</v>
      </c>
      <c r="Z1091">
        <v>1</v>
      </c>
      <c r="AA1091" t="s">
        <v>42</v>
      </c>
      <c r="AB1091" t="s">
        <v>43</v>
      </c>
      <c r="AC1091">
        <v>17</v>
      </c>
      <c r="AD1091">
        <v>3</v>
      </c>
      <c r="AE1091">
        <v>1</v>
      </c>
      <c r="AF1091">
        <v>80</v>
      </c>
      <c r="AG1091">
        <v>0</v>
      </c>
      <c r="AH10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091">
        <v>10</v>
      </c>
      <c r="AJ1091" t="s">
        <v>75</v>
      </c>
      <c r="AK1091">
        <v>2</v>
      </c>
      <c r="AL1091" t="s">
        <v>75</v>
      </c>
      <c r="AM1091">
        <v>3</v>
      </c>
      <c r="AN1091" t="s">
        <v>75</v>
      </c>
      <c r="AO1091">
        <v>10</v>
      </c>
      <c r="AP1091" t="s">
        <v>75</v>
      </c>
      <c r="AQ1091">
        <v>8</v>
      </c>
      <c r="AR1091">
        <v>3</v>
      </c>
      <c r="AS1091">
        <v>7</v>
      </c>
    </row>
    <row r="1092" spans="1:4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 t="str">
        <f>IF(Employee_data[[#This Row],[MonthlyIncome]]&lt;5000,"Low Income",
IF(Employee_data[[#This Row],[MonthlyIncome]]&lt;10000,"Medium Income","High Income"))</f>
        <v>Medium Income</v>
      </c>
      <c r="U1092" t="s">
        <v>92</v>
      </c>
      <c r="V1092" t="s">
        <v>92</v>
      </c>
      <c r="W1092" t="s">
        <v>92</v>
      </c>
      <c r="X1092" t="s">
        <v>92</v>
      </c>
      <c r="Y1092">
        <v>7288</v>
      </c>
      <c r="Z1092">
        <v>3</v>
      </c>
      <c r="AA1092" t="s">
        <v>42</v>
      </c>
      <c r="AB1092" t="s">
        <v>43</v>
      </c>
      <c r="AC1092">
        <v>13</v>
      </c>
      <c r="AD1092">
        <v>3</v>
      </c>
      <c r="AE1092">
        <v>3</v>
      </c>
      <c r="AF1092">
        <v>80</v>
      </c>
      <c r="AG1092">
        <v>1</v>
      </c>
      <c r="AH10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92">
        <v>9</v>
      </c>
      <c r="AJ1092" t="s">
        <v>78</v>
      </c>
      <c r="AK1092">
        <v>3</v>
      </c>
      <c r="AL1092" t="s">
        <v>78</v>
      </c>
      <c r="AM1092">
        <v>3</v>
      </c>
      <c r="AN1092" t="s">
        <v>78</v>
      </c>
      <c r="AO1092">
        <v>7</v>
      </c>
      <c r="AP1092" t="s">
        <v>78</v>
      </c>
      <c r="AQ1092">
        <v>7</v>
      </c>
      <c r="AR1092">
        <v>0</v>
      </c>
      <c r="AS1092">
        <v>7</v>
      </c>
    </row>
    <row r="1093" spans="1:4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 t="str">
        <f>IF(Employee_data[[#This Row],[MonthlyIncome]]&lt;5000,"Low Income",
IF(Employee_data[[#This Row],[MonthlyIncome]]&lt;10000,"Medium Income","High Income"))</f>
        <v>Low Income</v>
      </c>
      <c r="U1093" t="s">
        <v>91</v>
      </c>
      <c r="V1093" t="s">
        <v>91</v>
      </c>
      <c r="W1093" t="s">
        <v>91</v>
      </c>
      <c r="X1093" t="s">
        <v>91</v>
      </c>
      <c r="Y1093">
        <v>24152</v>
      </c>
      <c r="Z1093">
        <v>1</v>
      </c>
      <c r="AA1093" t="s">
        <v>42</v>
      </c>
      <c r="AB1093" t="s">
        <v>43</v>
      </c>
      <c r="AC1093">
        <v>13</v>
      </c>
      <c r="AD1093">
        <v>3</v>
      </c>
      <c r="AE1093">
        <v>4</v>
      </c>
      <c r="AF1093">
        <v>80</v>
      </c>
      <c r="AG1093">
        <v>0</v>
      </c>
      <c r="AH10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93">
        <v>5</v>
      </c>
      <c r="AJ1093" t="s">
        <v>78</v>
      </c>
      <c r="AK1093">
        <v>2</v>
      </c>
      <c r="AL1093" t="s">
        <v>78</v>
      </c>
      <c r="AM1093">
        <v>3</v>
      </c>
      <c r="AN1093" t="s">
        <v>78</v>
      </c>
      <c r="AO1093">
        <v>5</v>
      </c>
      <c r="AP1093" t="s">
        <v>78</v>
      </c>
      <c r="AQ1093">
        <v>3</v>
      </c>
      <c r="AR1093">
        <v>0</v>
      </c>
      <c r="AS1093">
        <v>2</v>
      </c>
    </row>
    <row r="1094" spans="1:4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 t="str">
        <f>IF(Employee_data[[#This Row],[MonthlyIncome]]&lt;5000,"Low Income",
IF(Employee_data[[#This Row],[MonthlyIncome]]&lt;10000,"Medium Income","High Income"))</f>
        <v>Low Income</v>
      </c>
      <c r="U1094" t="s">
        <v>91</v>
      </c>
      <c r="V1094" t="s">
        <v>91</v>
      </c>
      <c r="W1094" t="s">
        <v>91</v>
      </c>
      <c r="X1094" t="s">
        <v>91</v>
      </c>
      <c r="Y1094">
        <v>4585</v>
      </c>
      <c r="Z1094">
        <v>4</v>
      </c>
      <c r="AA1094" t="s">
        <v>42</v>
      </c>
      <c r="AB1094" t="s">
        <v>43</v>
      </c>
      <c r="AC1094">
        <v>20</v>
      </c>
      <c r="AD1094">
        <v>4</v>
      </c>
      <c r="AE1094">
        <v>4</v>
      </c>
      <c r="AF1094">
        <v>80</v>
      </c>
      <c r="AG1094">
        <v>1</v>
      </c>
      <c r="AH10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94">
        <v>8</v>
      </c>
      <c r="AJ1094" t="s">
        <v>78</v>
      </c>
      <c r="AK1094">
        <v>3</v>
      </c>
      <c r="AL1094" t="s">
        <v>78</v>
      </c>
      <c r="AM1094">
        <v>3</v>
      </c>
      <c r="AN1094" t="s">
        <v>78</v>
      </c>
      <c r="AO1094">
        <v>5</v>
      </c>
      <c r="AP1094" t="s">
        <v>78</v>
      </c>
      <c r="AQ1094">
        <v>4</v>
      </c>
      <c r="AR1094">
        <v>0</v>
      </c>
      <c r="AS1094">
        <v>3</v>
      </c>
    </row>
    <row r="1095" spans="1:4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 t="str">
        <f>IF(Employee_data[[#This Row],[MonthlyIncome]]&lt;5000,"Low Income",
IF(Employee_data[[#This Row],[MonthlyIncome]]&lt;10000,"Medium Income","High Income"))</f>
        <v>High Income</v>
      </c>
      <c r="U1095" t="s">
        <v>90</v>
      </c>
      <c r="V1095" t="s">
        <v>90</v>
      </c>
      <c r="W1095" t="s">
        <v>90</v>
      </c>
      <c r="X1095" t="s">
        <v>90</v>
      </c>
      <c r="Y1095">
        <v>18611</v>
      </c>
      <c r="Z1095">
        <v>2</v>
      </c>
      <c r="AA1095" t="s">
        <v>42</v>
      </c>
      <c r="AB1095" t="s">
        <v>35</v>
      </c>
      <c r="AC1095">
        <v>14</v>
      </c>
      <c r="AD1095">
        <v>3</v>
      </c>
      <c r="AE1095">
        <v>3</v>
      </c>
      <c r="AF1095">
        <v>80</v>
      </c>
      <c r="AG1095">
        <v>1</v>
      </c>
      <c r="AH10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095">
        <v>24</v>
      </c>
      <c r="AJ1095" t="s">
        <v>76</v>
      </c>
      <c r="AK1095">
        <v>3</v>
      </c>
      <c r="AL1095" t="s">
        <v>76</v>
      </c>
      <c r="AM1095">
        <v>1</v>
      </c>
      <c r="AN1095" t="s">
        <v>76</v>
      </c>
      <c r="AO1095">
        <v>20</v>
      </c>
      <c r="AP1095" t="s">
        <v>76</v>
      </c>
      <c r="AQ1095">
        <v>8</v>
      </c>
      <c r="AR1095">
        <v>13</v>
      </c>
      <c r="AS1095">
        <v>9</v>
      </c>
    </row>
    <row r="1096" spans="1:4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 t="str">
        <f>IF(Employee_data[[#This Row],[MonthlyIncome]]&lt;5000,"Low Income",
IF(Employee_data[[#This Row],[MonthlyIncome]]&lt;10000,"Medium Income","High Income"))</f>
        <v>Medium Income</v>
      </c>
      <c r="U1096" t="s">
        <v>92</v>
      </c>
      <c r="V1096" t="s">
        <v>92</v>
      </c>
      <c r="W1096" t="s">
        <v>92</v>
      </c>
      <c r="X1096" t="s">
        <v>92</v>
      </c>
      <c r="Y1096">
        <v>19345</v>
      </c>
      <c r="Z1096">
        <v>0</v>
      </c>
      <c r="AA1096" t="s">
        <v>42</v>
      </c>
      <c r="AB1096" t="s">
        <v>43</v>
      </c>
      <c r="AC1096">
        <v>12</v>
      </c>
      <c r="AD1096">
        <v>3</v>
      </c>
      <c r="AE1096">
        <v>4</v>
      </c>
      <c r="AF1096">
        <v>80</v>
      </c>
      <c r="AG1096">
        <v>0</v>
      </c>
      <c r="AH10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096">
        <v>9</v>
      </c>
      <c r="AJ1096" t="s">
        <v>78</v>
      </c>
      <c r="AK1096">
        <v>5</v>
      </c>
      <c r="AL1096" t="s">
        <v>78</v>
      </c>
      <c r="AM1096">
        <v>4</v>
      </c>
      <c r="AN1096" t="s">
        <v>78</v>
      </c>
      <c r="AO1096">
        <v>8</v>
      </c>
      <c r="AP1096" t="s">
        <v>78</v>
      </c>
      <c r="AQ1096">
        <v>4</v>
      </c>
      <c r="AR1096">
        <v>7</v>
      </c>
      <c r="AS1096">
        <v>1</v>
      </c>
    </row>
    <row r="1097" spans="1:4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 t="str">
        <f>IF(Employee_data[[#This Row],[MonthlyIncome]]&lt;5000,"Low Income",
IF(Employee_data[[#This Row],[MonthlyIncome]]&lt;10000,"Medium Income","High Income"))</f>
        <v>Medium Income</v>
      </c>
      <c r="U1097" t="s">
        <v>92</v>
      </c>
      <c r="V1097" t="s">
        <v>92</v>
      </c>
      <c r="W1097" t="s">
        <v>92</v>
      </c>
      <c r="X1097" t="s">
        <v>92</v>
      </c>
      <c r="Y1097">
        <v>22949</v>
      </c>
      <c r="Z1097">
        <v>1</v>
      </c>
      <c r="AA1097" t="s">
        <v>42</v>
      </c>
      <c r="AB1097" t="s">
        <v>35</v>
      </c>
      <c r="AC1097">
        <v>12</v>
      </c>
      <c r="AD1097">
        <v>3</v>
      </c>
      <c r="AE1097">
        <v>2</v>
      </c>
      <c r="AF1097">
        <v>80</v>
      </c>
      <c r="AG1097">
        <v>1</v>
      </c>
      <c r="AH10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097">
        <v>15</v>
      </c>
      <c r="AJ1097" t="s">
        <v>76</v>
      </c>
      <c r="AK1097">
        <v>3</v>
      </c>
      <c r="AL1097" t="s">
        <v>76</v>
      </c>
      <c r="AM1097">
        <v>3</v>
      </c>
      <c r="AN1097" t="s">
        <v>76</v>
      </c>
      <c r="AO1097">
        <v>15</v>
      </c>
      <c r="AP1097" t="s">
        <v>76</v>
      </c>
      <c r="AQ1097">
        <v>14</v>
      </c>
      <c r="AR1097">
        <v>5</v>
      </c>
      <c r="AS1097">
        <v>7</v>
      </c>
    </row>
    <row r="1098" spans="1:4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 t="str">
        <f>IF(Employee_data[[#This Row],[MonthlyIncome]]&lt;5000,"Low Income",
IF(Employee_data[[#This Row],[MonthlyIncome]]&lt;10000,"Medium Income","High Income"))</f>
        <v>High Income</v>
      </c>
      <c r="U1098" t="s">
        <v>90</v>
      </c>
      <c r="V1098" t="s">
        <v>90</v>
      </c>
      <c r="W1098" t="s">
        <v>90</v>
      </c>
      <c r="X1098" t="s">
        <v>90</v>
      </c>
      <c r="Y1098">
        <v>17381</v>
      </c>
      <c r="Z1098">
        <v>1</v>
      </c>
      <c r="AA1098" t="s">
        <v>42</v>
      </c>
      <c r="AB1098" t="s">
        <v>35</v>
      </c>
      <c r="AC1098">
        <v>21</v>
      </c>
      <c r="AD1098">
        <v>4</v>
      </c>
      <c r="AE1098">
        <v>4</v>
      </c>
      <c r="AF1098">
        <v>80</v>
      </c>
      <c r="AG1098">
        <v>0</v>
      </c>
      <c r="AH10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098">
        <v>21</v>
      </c>
      <c r="AJ1098" t="s">
        <v>76</v>
      </c>
      <c r="AK1098">
        <v>2</v>
      </c>
      <c r="AL1098" t="s">
        <v>76</v>
      </c>
      <c r="AM1098">
        <v>3</v>
      </c>
      <c r="AN1098" t="s">
        <v>76</v>
      </c>
      <c r="AO1098">
        <v>21</v>
      </c>
      <c r="AP1098" t="s">
        <v>76</v>
      </c>
      <c r="AQ1098">
        <v>7</v>
      </c>
      <c r="AR1098">
        <v>7</v>
      </c>
      <c r="AS1098">
        <v>7</v>
      </c>
    </row>
    <row r="1099" spans="1:4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 t="str">
        <f>IF(Employee_data[[#This Row],[MonthlyIncome]]&lt;5000,"Low Income",
IF(Employee_data[[#This Row],[MonthlyIncome]]&lt;10000,"Medium Income","High Income"))</f>
        <v>Low Income</v>
      </c>
      <c r="U1099" t="s">
        <v>91</v>
      </c>
      <c r="V1099" t="s">
        <v>91</v>
      </c>
      <c r="W1099" t="s">
        <v>91</v>
      </c>
      <c r="X1099" t="s">
        <v>91</v>
      </c>
      <c r="Y1099">
        <v>10036</v>
      </c>
      <c r="Z1099">
        <v>0</v>
      </c>
      <c r="AA1099" t="s">
        <v>42</v>
      </c>
      <c r="AB1099" t="s">
        <v>43</v>
      </c>
      <c r="AC1099">
        <v>14</v>
      </c>
      <c r="AD1099">
        <v>3</v>
      </c>
      <c r="AE1099">
        <v>2</v>
      </c>
      <c r="AF1099">
        <v>80</v>
      </c>
      <c r="AG1099">
        <v>3</v>
      </c>
      <c r="AH10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099">
        <v>2</v>
      </c>
      <c r="AJ1099" t="s">
        <v>74</v>
      </c>
      <c r="AK1099">
        <v>3</v>
      </c>
      <c r="AL1099" t="s">
        <v>74</v>
      </c>
      <c r="AM1099">
        <v>3</v>
      </c>
      <c r="AN1099" t="s">
        <v>74</v>
      </c>
      <c r="AO1099">
        <v>1</v>
      </c>
      <c r="AP1099" t="s">
        <v>74</v>
      </c>
      <c r="AQ1099">
        <v>1</v>
      </c>
      <c r="AR1099">
        <v>0</v>
      </c>
      <c r="AS1099">
        <v>0</v>
      </c>
    </row>
    <row r="1100" spans="1:4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 t="str">
        <f>IF(Employee_data[[#This Row],[MonthlyIncome]]&lt;5000,"Low Income",
IF(Employee_data[[#This Row],[MonthlyIncome]]&lt;10000,"Medium Income","High Income"))</f>
        <v>Low Income</v>
      </c>
      <c r="U1100" t="s">
        <v>91</v>
      </c>
      <c r="V1100" t="s">
        <v>91</v>
      </c>
      <c r="W1100" t="s">
        <v>91</v>
      </c>
      <c r="X1100" t="s">
        <v>91</v>
      </c>
      <c r="Y1100">
        <v>8841</v>
      </c>
      <c r="Z1100">
        <v>3</v>
      </c>
      <c r="AA1100" t="s">
        <v>42</v>
      </c>
      <c r="AB1100" t="s">
        <v>35</v>
      </c>
      <c r="AC1100">
        <v>18</v>
      </c>
      <c r="AD1100">
        <v>3</v>
      </c>
      <c r="AE1100">
        <v>3</v>
      </c>
      <c r="AF1100">
        <v>80</v>
      </c>
      <c r="AG1100">
        <v>0</v>
      </c>
      <c r="AH11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00">
        <v>8</v>
      </c>
      <c r="AJ1100" t="s">
        <v>74</v>
      </c>
      <c r="AK1100">
        <v>2</v>
      </c>
      <c r="AL1100" t="s">
        <v>74</v>
      </c>
      <c r="AM1100">
        <v>3</v>
      </c>
      <c r="AN1100" t="s">
        <v>74</v>
      </c>
      <c r="AO1100">
        <v>2</v>
      </c>
      <c r="AP1100" t="s">
        <v>74</v>
      </c>
      <c r="AQ1100">
        <v>2</v>
      </c>
      <c r="AR1100">
        <v>2</v>
      </c>
      <c r="AS1100">
        <v>2</v>
      </c>
    </row>
    <row r="1101" spans="1:4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 t="str">
        <f>IF(Employee_data[[#This Row],[MonthlyIncome]]&lt;5000,"Low Income",
IF(Employee_data[[#This Row],[MonthlyIncome]]&lt;10000,"Medium Income","High Income"))</f>
        <v>Medium Income</v>
      </c>
      <c r="U1101" t="s">
        <v>92</v>
      </c>
      <c r="V1101" t="s">
        <v>92</v>
      </c>
      <c r="W1101" t="s">
        <v>92</v>
      </c>
      <c r="X1101" t="s">
        <v>92</v>
      </c>
      <c r="Y1101">
        <v>20933</v>
      </c>
      <c r="Z1101">
        <v>1</v>
      </c>
      <c r="AA1101" t="s">
        <v>42</v>
      </c>
      <c r="AB1101" t="s">
        <v>43</v>
      </c>
      <c r="AC1101">
        <v>12</v>
      </c>
      <c r="AD1101">
        <v>3</v>
      </c>
      <c r="AE1101">
        <v>1</v>
      </c>
      <c r="AF1101">
        <v>80</v>
      </c>
      <c r="AG1101">
        <v>3</v>
      </c>
      <c r="AH11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01">
        <v>10</v>
      </c>
      <c r="AJ1101" t="s">
        <v>75</v>
      </c>
      <c r="AK1101">
        <v>4</v>
      </c>
      <c r="AL1101" t="s">
        <v>75</v>
      </c>
      <c r="AM1101">
        <v>3</v>
      </c>
      <c r="AN1101" t="s">
        <v>75</v>
      </c>
      <c r="AO1101">
        <v>10</v>
      </c>
      <c r="AP1101" t="s">
        <v>75</v>
      </c>
      <c r="AQ1101">
        <v>8</v>
      </c>
      <c r="AR1101">
        <v>7</v>
      </c>
      <c r="AS1101">
        <v>7</v>
      </c>
    </row>
    <row r="1102" spans="1:4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 t="str">
        <f>IF(Employee_data[[#This Row],[MonthlyIncome]]&lt;5000,"Low Income",
IF(Employee_data[[#This Row],[MonthlyIncome]]&lt;10000,"Medium Income","High Income"))</f>
        <v>Low Income</v>
      </c>
      <c r="U1102" t="s">
        <v>91</v>
      </c>
      <c r="V1102" t="s">
        <v>91</v>
      </c>
      <c r="W1102" t="s">
        <v>91</v>
      </c>
      <c r="X1102" t="s">
        <v>91</v>
      </c>
      <c r="Y1102">
        <v>26204</v>
      </c>
      <c r="Z1102">
        <v>0</v>
      </c>
      <c r="AA1102" t="s">
        <v>42</v>
      </c>
      <c r="AB1102" t="s">
        <v>43</v>
      </c>
      <c r="AC1102">
        <v>23</v>
      </c>
      <c r="AD1102">
        <v>4</v>
      </c>
      <c r="AE1102">
        <v>1</v>
      </c>
      <c r="AF1102">
        <v>80</v>
      </c>
      <c r="AG1102">
        <v>2</v>
      </c>
      <c r="AH11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02">
        <v>6</v>
      </c>
      <c r="AJ1102" t="s">
        <v>78</v>
      </c>
      <c r="AK1102">
        <v>5</v>
      </c>
      <c r="AL1102" t="s">
        <v>78</v>
      </c>
      <c r="AM1102">
        <v>3</v>
      </c>
      <c r="AN1102" t="s">
        <v>78</v>
      </c>
      <c r="AO1102">
        <v>5</v>
      </c>
      <c r="AP1102" t="s">
        <v>78</v>
      </c>
      <c r="AQ1102">
        <v>3</v>
      </c>
      <c r="AR1102">
        <v>4</v>
      </c>
      <c r="AS1102">
        <v>2</v>
      </c>
    </row>
    <row r="1103" spans="1:4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 t="str">
        <f>IF(Employee_data[[#This Row],[MonthlyIncome]]&lt;5000,"Low Income",
IF(Employee_data[[#This Row],[MonthlyIncome]]&lt;10000,"Medium Income","High Income"))</f>
        <v>Medium Income</v>
      </c>
      <c r="U1103" t="s">
        <v>92</v>
      </c>
      <c r="V1103" t="s">
        <v>92</v>
      </c>
      <c r="W1103" t="s">
        <v>92</v>
      </c>
      <c r="X1103" t="s">
        <v>92</v>
      </c>
      <c r="Y1103">
        <v>15624</v>
      </c>
      <c r="Z1103">
        <v>3</v>
      </c>
      <c r="AA1103" t="s">
        <v>42</v>
      </c>
      <c r="AB1103" t="s">
        <v>43</v>
      </c>
      <c r="AC1103">
        <v>12</v>
      </c>
      <c r="AD1103">
        <v>3</v>
      </c>
      <c r="AE1103">
        <v>1</v>
      </c>
      <c r="AF1103">
        <v>80</v>
      </c>
      <c r="AG1103">
        <v>1</v>
      </c>
      <c r="AH11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03">
        <v>12</v>
      </c>
      <c r="AJ1103" t="s">
        <v>78</v>
      </c>
      <c r="AK1103">
        <v>2</v>
      </c>
      <c r="AL1103" t="s">
        <v>78</v>
      </c>
      <c r="AM1103">
        <v>3</v>
      </c>
      <c r="AN1103" t="s">
        <v>78</v>
      </c>
      <c r="AO1103">
        <v>7</v>
      </c>
      <c r="AP1103" t="s">
        <v>78</v>
      </c>
      <c r="AQ1103">
        <v>1</v>
      </c>
      <c r="AR1103">
        <v>2</v>
      </c>
      <c r="AS1103">
        <v>5</v>
      </c>
    </row>
    <row r="1104" spans="1:4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 t="str">
        <f>IF(Employee_data[[#This Row],[MonthlyIncome]]&lt;5000,"Low Income",
IF(Employee_data[[#This Row],[MonthlyIncome]]&lt;10000,"Medium Income","High Income"))</f>
        <v>Low Income</v>
      </c>
      <c r="U1104" t="s">
        <v>91</v>
      </c>
      <c r="V1104" t="s">
        <v>91</v>
      </c>
      <c r="W1104" t="s">
        <v>91</v>
      </c>
      <c r="X1104" t="s">
        <v>91</v>
      </c>
      <c r="Y1104">
        <v>17001</v>
      </c>
      <c r="Z1104">
        <v>3</v>
      </c>
      <c r="AA1104" t="s">
        <v>42</v>
      </c>
      <c r="AB1104" t="s">
        <v>35</v>
      </c>
      <c r="AC1104">
        <v>21</v>
      </c>
      <c r="AD1104">
        <v>4</v>
      </c>
      <c r="AE1104">
        <v>4</v>
      </c>
      <c r="AF1104">
        <v>80</v>
      </c>
      <c r="AG1104">
        <v>0</v>
      </c>
      <c r="AH11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04">
        <v>7</v>
      </c>
      <c r="AJ1104" t="s">
        <v>74</v>
      </c>
      <c r="AK1104">
        <v>3</v>
      </c>
      <c r="AL1104" t="s">
        <v>74</v>
      </c>
      <c r="AM1104">
        <v>2</v>
      </c>
      <c r="AN1104" t="s">
        <v>74</v>
      </c>
      <c r="AO1104">
        <v>3</v>
      </c>
      <c r="AP1104" t="s">
        <v>74</v>
      </c>
      <c r="AQ1104">
        <v>2</v>
      </c>
      <c r="AR1104">
        <v>1</v>
      </c>
      <c r="AS1104">
        <v>2</v>
      </c>
    </row>
    <row r="1105" spans="1:4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 t="str">
        <f>IF(Employee_data[[#This Row],[MonthlyIncome]]&lt;5000,"Low Income",
IF(Employee_data[[#This Row],[MonthlyIncome]]&lt;10000,"Medium Income","High Income"))</f>
        <v>Medium Income</v>
      </c>
      <c r="U1105" t="s">
        <v>92</v>
      </c>
      <c r="V1105" t="s">
        <v>92</v>
      </c>
      <c r="W1105" t="s">
        <v>92</v>
      </c>
      <c r="X1105" t="s">
        <v>92</v>
      </c>
      <c r="Y1105">
        <v>13693</v>
      </c>
      <c r="Z1105">
        <v>8</v>
      </c>
      <c r="AA1105" t="s">
        <v>42</v>
      </c>
      <c r="AB1105" t="s">
        <v>43</v>
      </c>
      <c r="AC1105">
        <v>14</v>
      </c>
      <c r="AD1105">
        <v>3</v>
      </c>
      <c r="AE1105">
        <v>3</v>
      </c>
      <c r="AF1105">
        <v>80</v>
      </c>
      <c r="AG1105">
        <v>1</v>
      </c>
      <c r="AH11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05">
        <v>18</v>
      </c>
      <c r="AJ1105" t="s">
        <v>78</v>
      </c>
      <c r="AK1105">
        <v>2</v>
      </c>
      <c r="AL1105" t="s">
        <v>78</v>
      </c>
      <c r="AM1105">
        <v>3</v>
      </c>
      <c r="AN1105" t="s">
        <v>78</v>
      </c>
      <c r="AO1105">
        <v>8</v>
      </c>
      <c r="AP1105" t="s">
        <v>78</v>
      </c>
      <c r="AQ1105">
        <v>7</v>
      </c>
      <c r="AR1105">
        <v>7</v>
      </c>
      <c r="AS1105">
        <v>7</v>
      </c>
    </row>
    <row r="1106" spans="1:4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 t="str">
        <f>IF(Employee_data[[#This Row],[MonthlyIncome]]&lt;5000,"Low Income",
IF(Employee_data[[#This Row],[MonthlyIncome]]&lt;10000,"Medium Income","High Income"))</f>
        <v>Low Income</v>
      </c>
      <c r="U1106" t="s">
        <v>91</v>
      </c>
      <c r="V1106" t="s">
        <v>91</v>
      </c>
      <c r="W1106" t="s">
        <v>91</v>
      </c>
      <c r="X1106" t="s">
        <v>91</v>
      </c>
      <c r="Y1106">
        <v>22376</v>
      </c>
      <c r="Z1106">
        <v>6</v>
      </c>
      <c r="AA1106" t="s">
        <v>42</v>
      </c>
      <c r="AB1106" t="s">
        <v>43</v>
      </c>
      <c r="AC1106">
        <v>18</v>
      </c>
      <c r="AD1106">
        <v>3</v>
      </c>
      <c r="AE1106">
        <v>1</v>
      </c>
      <c r="AF1106">
        <v>80</v>
      </c>
      <c r="AG1106">
        <v>2</v>
      </c>
      <c r="AH11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06">
        <v>5</v>
      </c>
      <c r="AJ1106" t="s">
        <v>74</v>
      </c>
      <c r="AK1106">
        <v>2</v>
      </c>
      <c r="AL1106" t="s">
        <v>74</v>
      </c>
      <c r="AM1106">
        <v>2</v>
      </c>
      <c r="AN1106" t="s">
        <v>74</v>
      </c>
      <c r="AO1106">
        <v>1</v>
      </c>
      <c r="AP1106" t="s">
        <v>74</v>
      </c>
      <c r="AQ1106">
        <v>0</v>
      </c>
      <c r="AR1106">
        <v>0</v>
      </c>
      <c r="AS1106">
        <v>0</v>
      </c>
    </row>
    <row r="1107" spans="1:4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 t="str">
        <f>IF(Employee_data[[#This Row],[MonthlyIncome]]&lt;5000,"Low Income",
IF(Employee_data[[#This Row],[MonthlyIncome]]&lt;10000,"Medium Income","High Income"))</f>
        <v>Medium Income</v>
      </c>
      <c r="U1107" t="s">
        <v>92</v>
      </c>
      <c r="V1107" t="s">
        <v>92</v>
      </c>
      <c r="W1107" t="s">
        <v>92</v>
      </c>
      <c r="X1107" t="s">
        <v>92</v>
      </c>
      <c r="Y1107">
        <v>10589</v>
      </c>
      <c r="Z1107">
        <v>2</v>
      </c>
      <c r="AA1107" t="s">
        <v>42</v>
      </c>
      <c r="AB1107" t="s">
        <v>43</v>
      </c>
      <c r="AC1107">
        <v>13</v>
      </c>
      <c r="AD1107">
        <v>3</v>
      </c>
      <c r="AE1107">
        <v>4</v>
      </c>
      <c r="AF1107">
        <v>80</v>
      </c>
      <c r="AG1107">
        <v>1</v>
      </c>
      <c r="AH11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07">
        <v>8</v>
      </c>
      <c r="AJ1107" t="s">
        <v>74</v>
      </c>
      <c r="AK1107">
        <v>6</v>
      </c>
      <c r="AL1107" t="s">
        <v>74</v>
      </c>
      <c r="AM1107">
        <v>1</v>
      </c>
      <c r="AN1107" t="s">
        <v>74</v>
      </c>
      <c r="AO1107">
        <v>2</v>
      </c>
      <c r="AP1107" t="s">
        <v>74</v>
      </c>
      <c r="AQ1107">
        <v>2</v>
      </c>
      <c r="AR1107">
        <v>2</v>
      </c>
      <c r="AS1107">
        <v>2</v>
      </c>
    </row>
    <row r="1108" spans="1:4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 t="str">
        <f>IF(Employee_data[[#This Row],[MonthlyIncome]]&lt;5000,"Low Income",
IF(Employee_data[[#This Row],[MonthlyIncome]]&lt;10000,"Medium Income","High Income"))</f>
        <v>Medium Income</v>
      </c>
      <c r="U1108" t="s">
        <v>92</v>
      </c>
      <c r="V1108" t="s">
        <v>92</v>
      </c>
      <c r="W1108" t="s">
        <v>92</v>
      </c>
      <c r="X1108" t="s">
        <v>92</v>
      </c>
      <c r="Y1108">
        <v>5323</v>
      </c>
      <c r="Z1108">
        <v>1</v>
      </c>
      <c r="AA1108" t="s">
        <v>42</v>
      </c>
      <c r="AB1108" t="s">
        <v>43</v>
      </c>
      <c r="AC1108">
        <v>11</v>
      </c>
      <c r="AD1108">
        <v>3</v>
      </c>
      <c r="AE1108">
        <v>4</v>
      </c>
      <c r="AF1108">
        <v>80</v>
      </c>
      <c r="AG1108">
        <v>1</v>
      </c>
      <c r="AH11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08">
        <v>10</v>
      </c>
      <c r="AJ1108" t="s">
        <v>75</v>
      </c>
      <c r="AK1108">
        <v>4</v>
      </c>
      <c r="AL1108" t="s">
        <v>75</v>
      </c>
      <c r="AM1108">
        <v>3</v>
      </c>
      <c r="AN1108" t="s">
        <v>75</v>
      </c>
      <c r="AO1108">
        <v>10</v>
      </c>
      <c r="AP1108" t="s">
        <v>75</v>
      </c>
      <c r="AQ1108">
        <v>8</v>
      </c>
      <c r="AR1108">
        <v>6</v>
      </c>
      <c r="AS1108">
        <v>7</v>
      </c>
    </row>
    <row r="1109" spans="1:4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 t="str">
        <f>IF(Employee_data[[#This Row],[MonthlyIncome]]&lt;5000,"Low Income",
IF(Employee_data[[#This Row],[MonthlyIncome]]&lt;10000,"Medium Income","High Income"))</f>
        <v>Medium Income</v>
      </c>
      <c r="U1109" t="s">
        <v>92</v>
      </c>
      <c r="V1109" t="s">
        <v>92</v>
      </c>
      <c r="W1109" t="s">
        <v>92</v>
      </c>
      <c r="X1109" t="s">
        <v>92</v>
      </c>
      <c r="Y1109">
        <v>14814</v>
      </c>
      <c r="Z1109">
        <v>3</v>
      </c>
      <c r="AA1109" t="s">
        <v>42</v>
      </c>
      <c r="AB1109" t="s">
        <v>43</v>
      </c>
      <c r="AC1109">
        <v>11</v>
      </c>
      <c r="AD1109">
        <v>3</v>
      </c>
      <c r="AE1109">
        <v>3</v>
      </c>
      <c r="AF1109">
        <v>80</v>
      </c>
      <c r="AG1109">
        <v>0</v>
      </c>
      <c r="AH11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09">
        <v>10</v>
      </c>
      <c r="AJ1109" t="s">
        <v>78</v>
      </c>
      <c r="AK1109">
        <v>2</v>
      </c>
      <c r="AL1109" t="s">
        <v>78</v>
      </c>
      <c r="AM1109">
        <v>3</v>
      </c>
      <c r="AN1109" t="s">
        <v>78</v>
      </c>
      <c r="AO1109">
        <v>6</v>
      </c>
      <c r="AP1109" t="s">
        <v>78</v>
      </c>
      <c r="AQ1109">
        <v>3</v>
      </c>
      <c r="AR1109">
        <v>1</v>
      </c>
      <c r="AS1109">
        <v>2</v>
      </c>
    </row>
    <row r="1110" spans="1:4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 t="str">
        <f>IF(Employee_data[[#This Row],[MonthlyIncome]]&lt;5000,"Low Income",
IF(Employee_data[[#This Row],[MonthlyIncome]]&lt;10000,"Medium Income","High Income"))</f>
        <v>Low Income</v>
      </c>
      <c r="U1110" t="s">
        <v>91</v>
      </c>
      <c r="V1110" t="s">
        <v>91</v>
      </c>
      <c r="W1110" t="s">
        <v>91</v>
      </c>
      <c r="X1110" t="s">
        <v>91</v>
      </c>
      <c r="Y1110">
        <v>21731</v>
      </c>
      <c r="Z1110">
        <v>1</v>
      </c>
      <c r="AA1110" t="s">
        <v>42</v>
      </c>
      <c r="AB1110" t="s">
        <v>43</v>
      </c>
      <c r="AC1110">
        <v>19</v>
      </c>
      <c r="AD1110">
        <v>3</v>
      </c>
      <c r="AE1110">
        <v>2</v>
      </c>
      <c r="AF1110">
        <v>80</v>
      </c>
      <c r="AG1110">
        <v>0</v>
      </c>
      <c r="AH11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10">
        <v>3</v>
      </c>
      <c r="AJ1110" t="s">
        <v>74</v>
      </c>
      <c r="AK1110">
        <v>3</v>
      </c>
      <c r="AL1110" t="s">
        <v>74</v>
      </c>
      <c r="AM1110">
        <v>3</v>
      </c>
      <c r="AN1110" t="s">
        <v>74</v>
      </c>
      <c r="AO1110">
        <v>3</v>
      </c>
      <c r="AP1110" t="s">
        <v>74</v>
      </c>
      <c r="AQ1110">
        <v>0</v>
      </c>
      <c r="AR1110">
        <v>1</v>
      </c>
      <c r="AS1110">
        <v>2</v>
      </c>
    </row>
    <row r="1111" spans="1:4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 t="str">
        <f>IF(Employee_data[[#This Row],[MonthlyIncome]]&lt;5000,"Low Income",
IF(Employee_data[[#This Row],[MonthlyIncome]]&lt;10000,"Medium Income","High Income"))</f>
        <v>Medium Income</v>
      </c>
      <c r="U1111" t="s">
        <v>92</v>
      </c>
      <c r="V1111" t="s">
        <v>92</v>
      </c>
      <c r="W1111" t="s">
        <v>92</v>
      </c>
      <c r="X1111" t="s">
        <v>92</v>
      </c>
      <c r="Y1111">
        <v>17799</v>
      </c>
      <c r="Z1111">
        <v>3</v>
      </c>
      <c r="AA1111" t="s">
        <v>42</v>
      </c>
      <c r="AB1111" t="s">
        <v>43</v>
      </c>
      <c r="AC1111">
        <v>12</v>
      </c>
      <c r="AD1111">
        <v>3</v>
      </c>
      <c r="AE1111">
        <v>2</v>
      </c>
      <c r="AF1111">
        <v>80</v>
      </c>
      <c r="AG1111">
        <v>1</v>
      </c>
      <c r="AH11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11">
        <v>9</v>
      </c>
      <c r="AJ1111" t="s">
        <v>74</v>
      </c>
      <c r="AK1111">
        <v>3</v>
      </c>
      <c r="AL1111" t="s">
        <v>74</v>
      </c>
      <c r="AM1111">
        <v>3</v>
      </c>
      <c r="AN1111" t="s">
        <v>74</v>
      </c>
      <c r="AO1111">
        <v>4</v>
      </c>
      <c r="AP1111" t="s">
        <v>74</v>
      </c>
      <c r="AQ1111">
        <v>2</v>
      </c>
      <c r="AR1111">
        <v>1</v>
      </c>
      <c r="AS1111">
        <v>3</v>
      </c>
    </row>
    <row r="1112" spans="1:4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 t="str">
        <f>IF(Employee_data[[#This Row],[MonthlyIncome]]&lt;5000,"Low Income",
IF(Employee_data[[#This Row],[MonthlyIncome]]&lt;10000,"Medium Income","High Income"))</f>
        <v>Low Income</v>
      </c>
      <c r="U1112" t="s">
        <v>91</v>
      </c>
      <c r="V1112" t="s">
        <v>91</v>
      </c>
      <c r="W1112" t="s">
        <v>91</v>
      </c>
      <c r="X1112" t="s">
        <v>91</v>
      </c>
      <c r="Y1112">
        <v>26619</v>
      </c>
      <c r="Z1112">
        <v>1</v>
      </c>
      <c r="AA1112" t="s">
        <v>42</v>
      </c>
      <c r="AB1112" t="s">
        <v>35</v>
      </c>
      <c r="AC1112">
        <v>12</v>
      </c>
      <c r="AD1112">
        <v>3</v>
      </c>
      <c r="AE1112">
        <v>4</v>
      </c>
      <c r="AF1112">
        <v>80</v>
      </c>
      <c r="AG1112">
        <v>1</v>
      </c>
      <c r="AH11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12">
        <v>1</v>
      </c>
      <c r="AJ1112" t="s">
        <v>74</v>
      </c>
      <c r="AK1112">
        <v>2</v>
      </c>
      <c r="AL1112" t="s">
        <v>74</v>
      </c>
      <c r="AM1112">
        <v>3</v>
      </c>
      <c r="AN1112" t="s">
        <v>74</v>
      </c>
      <c r="AO1112">
        <v>1</v>
      </c>
      <c r="AP1112" t="s">
        <v>74</v>
      </c>
      <c r="AQ1112">
        <v>0</v>
      </c>
      <c r="AR1112">
        <v>0</v>
      </c>
      <c r="AS1112">
        <v>0</v>
      </c>
    </row>
    <row r="1113" spans="1:4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 t="str">
        <f>IF(Employee_data[[#This Row],[MonthlyIncome]]&lt;5000,"Low Income",
IF(Employee_data[[#This Row],[MonthlyIncome]]&lt;10000,"Medium Income","High Income"))</f>
        <v>High Income</v>
      </c>
      <c r="U1113" t="s">
        <v>90</v>
      </c>
      <c r="V1113" t="s">
        <v>90</v>
      </c>
      <c r="W1113" t="s">
        <v>90</v>
      </c>
      <c r="X1113" t="s">
        <v>90</v>
      </c>
      <c r="Y1113">
        <v>14618</v>
      </c>
      <c r="Z1113">
        <v>0</v>
      </c>
      <c r="AA1113" t="s">
        <v>42</v>
      </c>
      <c r="AB1113" t="s">
        <v>43</v>
      </c>
      <c r="AC1113">
        <v>16</v>
      </c>
      <c r="AD1113">
        <v>3</v>
      </c>
      <c r="AE1113">
        <v>2</v>
      </c>
      <c r="AF1113">
        <v>80</v>
      </c>
      <c r="AG1113">
        <v>1</v>
      </c>
      <c r="AH11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1113">
        <v>34</v>
      </c>
      <c r="AJ1113" t="s">
        <v>77</v>
      </c>
      <c r="AK1113">
        <v>4</v>
      </c>
      <c r="AL1113" t="s">
        <v>77</v>
      </c>
      <c r="AM1113">
        <v>3</v>
      </c>
      <c r="AN1113" t="s">
        <v>77</v>
      </c>
      <c r="AO1113">
        <v>33</v>
      </c>
      <c r="AP1113" t="s">
        <v>77</v>
      </c>
      <c r="AQ1113">
        <v>7</v>
      </c>
      <c r="AR1113">
        <v>1</v>
      </c>
      <c r="AS1113">
        <v>9</v>
      </c>
    </row>
    <row r="1114" spans="1:4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 t="str">
        <f>IF(Employee_data[[#This Row],[MonthlyIncome]]&lt;5000,"Low Income",
IF(Employee_data[[#This Row],[MonthlyIncome]]&lt;10000,"Medium Income","High Income"))</f>
        <v>Low Income</v>
      </c>
      <c r="U1114" t="s">
        <v>91</v>
      </c>
      <c r="V1114" t="s">
        <v>91</v>
      </c>
      <c r="W1114" t="s">
        <v>91</v>
      </c>
      <c r="X1114" t="s">
        <v>91</v>
      </c>
      <c r="Y1114">
        <v>7653</v>
      </c>
      <c r="Z1114">
        <v>4</v>
      </c>
      <c r="AA1114" t="s">
        <v>42</v>
      </c>
      <c r="AB1114" t="s">
        <v>43</v>
      </c>
      <c r="AC1114">
        <v>11</v>
      </c>
      <c r="AD1114">
        <v>3</v>
      </c>
      <c r="AE1114">
        <v>1</v>
      </c>
      <c r="AF1114">
        <v>80</v>
      </c>
      <c r="AG1114">
        <v>2</v>
      </c>
      <c r="AH11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14">
        <v>7</v>
      </c>
      <c r="AJ1114" t="s">
        <v>78</v>
      </c>
      <c r="AK1114">
        <v>2</v>
      </c>
      <c r="AL1114" t="s">
        <v>78</v>
      </c>
      <c r="AM1114">
        <v>3</v>
      </c>
      <c r="AN1114" t="s">
        <v>78</v>
      </c>
      <c r="AO1114">
        <v>5</v>
      </c>
      <c r="AP1114" t="s">
        <v>78</v>
      </c>
      <c r="AQ1114">
        <v>2</v>
      </c>
      <c r="AR1114">
        <v>1</v>
      </c>
      <c r="AS1114">
        <v>4</v>
      </c>
    </row>
    <row r="1115" spans="1:4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 t="str">
        <f>IF(Employee_data[[#This Row],[MonthlyIncome]]&lt;5000,"Low Income",
IF(Employee_data[[#This Row],[MonthlyIncome]]&lt;10000,"Medium Income","High Income"))</f>
        <v>Low Income</v>
      </c>
      <c r="U1115" t="s">
        <v>91</v>
      </c>
      <c r="V1115" t="s">
        <v>91</v>
      </c>
      <c r="W1115" t="s">
        <v>91</v>
      </c>
      <c r="X1115" t="s">
        <v>91</v>
      </c>
      <c r="Y1115">
        <v>25174</v>
      </c>
      <c r="Z1115">
        <v>4</v>
      </c>
      <c r="AA1115" t="s">
        <v>42</v>
      </c>
      <c r="AB1115" t="s">
        <v>43</v>
      </c>
      <c r="AC1115">
        <v>14</v>
      </c>
      <c r="AD1115">
        <v>3</v>
      </c>
      <c r="AE1115">
        <v>2</v>
      </c>
      <c r="AF1115">
        <v>80</v>
      </c>
      <c r="AG1115">
        <v>1</v>
      </c>
      <c r="AH11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15">
        <v>9</v>
      </c>
      <c r="AJ1115" t="s">
        <v>78</v>
      </c>
      <c r="AK1115">
        <v>3</v>
      </c>
      <c r="AL1115" t="s">
        <v>78</v>
      </c>
      <c r="AM1115">
        <v>2</v>
      </c>
      <c r="AN1115" t="s">
        <v>78</v>
      </c>
      <c r="AO1115">
        <v>6</v>
      </c>
      <c r="AP1115" t="s">
        <v>78</v>
      </c>
      <c r="AQ1115">
        <v>5</v>
      </c>
      <c r="AR1115">
        <v>1</v>
      </c>
      <c r="AS1115">
        <v>2</v>
      </c>
    </row>
    <row r="1116" spans="1:4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 t="str">
        <f>IF(Employee_data[[#This Row],[MonthlyIncome]]&lt;5000,"Low Income",
IF(Employee_data[[#This Row],[MonthlyIncome]]&lt;10000,"Medium Income","High Income"))</f>
        <v>Low Income</v>
      </c>
      <c r="U1116" t="s">
        <v>91</v>
      </c>
      <c r="V1116" t="s">
        <v>91</v>
      </c>
      <c r="W1116" t="s">
        <v>91</v>
      </c>
      <c r="X1116" t="s">
        <v>91</v>
      </c>
      <c r="Y1116">
        <v>16530</v>
      </c>
      <c r="Z1116">
        <v>8</v>
      </c>
      <c r="AA1116" t="s">
        <v>42</v>
      </c>
      <c r="AB1116" t="s">
        <v>43</v>
      </c>
      <c r="AC1116">
        <v>12</v>
      </c>
      <c r="AD1116">
        <v>3</v>
      </c>
      <c r="AE1116">
        <v>4</v>
      </c>
      <c r="AF1116">
        <v>80</v>
      </c>
      <c r="AG1116">
        <v>1</v>
      </c>
      <c r="AH11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16">
        <v>10</v>
      </c>
      <c r="AJ1116" t="s">
        <v>78</v>
      </c>
      <c r="AK1116">
        <v>3</v>
      </c>
      <c r="AL1116" t="s">
        <v>78</v>
      </c>
      <c r="AM1116">
        <v>2</v>
      </c>
      <c r="AN1116" t="s">
        <v>78</v>
      </c>
      <c r="AO1116">
        <v>8</v>
      </c>
      <c r="AP1116" t="s">
        <v>78</v>
      </c>
      <c r="AQ1116">
        <v>2</v>
      </c>
      <c r="AR1116">
        <v>7</v>
      </c>
      <c r="AS1116">
        <v>6</v>
      </c>
    </row>
    <row r="1117" spans="1:4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 t="str">
        <f>IF(Employee_data[[#This Row],[MonthlyIncome]]&lt;5000,"Low Income",
IF(Employee_data[[#This Row],[MonthlyIncome]]&lt;10000,"Medium Income","High Income"))</f>
        <v>Low Income</v>
      </c>
      <c r="U1117" t="s">
        <v>91</v>
      </c>
      <c r="V1117" t="s">
        <v>91</v>
      </c>
      <c r="W1117" t="s">
        <v>91</v>
      </c>
      <c r="X1117" t="s">
        <v>91</v>
      </c>
      <c r="Y1117">
        <v>22061</v>
      </c>
      <c r="Z1117">
        <v>1</v>
      </c>
      <c r="AA1117" t="s">
        <v>42</v>
      </c>
      <c r="AB1117" t="s">
        <v>43</v>
      </c>
      <c r="AC1117">
        <v>13</v>
      </c>
      <c r="AD1117">
        <v>3</v>
      </c>
      <c r="AE1117">
        <v>3</v>
      </c>
      <c r="AF1117">
        <v>80</v>
      </c>
      <c r="AG1117">
        <v>0</v>
      </c>
      <c r="AH11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17">
        <v>1</v>
      </c>
      <c r="AJ1117" t="s">
        <v>74</v>
      </c>
      <c r="AK1117">
        <v>4</v>
      </c>
      <c r="AL1117" t="s">
        <v>74</v>
      </c>
      <c r="AM1117">
        <v>1</v>
      </c>
      <c r="AN1117" t="s">
        <v>74</v>
      </c>
      <c r="AO1117">
        <v>1</v>
      </c>
      <c r="AP1117" t="s">
        <v>74</v>
      </c>
      <c r="AQ1117">
        <v>0</v>
      </c>
      <c r="AR1117">
        <v>0</v>
      </c>
      <c r="AS1117">
        <v>0</v>
      </c>
    </row>
    <row r="1118" spans="1:4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 t="str">
        <f>IF(Employee_data[[#This Row],[MonthlyIncome]]&lt;5000,"Low Income",
IF(Employee_data[[#This Row],[MonthlyIncome]]&lt;10000,"Medium Income","High Income"))</f>
        <v>High Income</v>
      </c>
      <c r="U1118" t="s">
        <v>90</v>
      </c>
      <c r="V1118" t="s">
        <v>90</v>
      </c>
      <c r="W1118" t="s">
        <v>90</v>
      </c>
      <c r="X1118" t="s">
        <v>90</v>
      </c>
      <c r="Y1118">
        <v>23037</v>
      </c>
      <c r="Z1118">
        <v>1</v>
      </c>
      <c r="AA1118" t="s">
        <v>42</v>
      </c>
      <c r="AB1118" t="s">
        <v>43</v>
      </c>
      <c r="AC1118">
        <v>21</v>
      </c>
      <c r="AD1118">
        <v>4</v>
      </c>
      <c r="AE1118">
        <v>3</v>
      </c>
      <c r="AF1118">
        <v>80</v>
      </c>
      <c r="AG1118">
        <v>1</v>
      </c>
      <c r="AH11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1118">
        <v>36</v>
      </c>
      <c r="AJ1118" t="s">
        <v>77</v>
      </c>
      <c r="AK1118">
        <v>3</v>
      </c>
      <c r="AL1118" t="s">
        <v>77</v>
      </c>
      <c r="AM1118">
        <v>3</v>
      </c>
      <c r="AN1118" t="s">
        <v>77</v>
      </c>
      <c r="AO1118">
        <v>36</v>
      </c>
      <c r="AP1118" t="s">
        <v>77</v>
      </c>
      <c r="AQ1118">
        <v>6</v>
      </c>
      <c r="AR1118">
        <v>2</v>
      </c>
      <c r="AS1118">
        <v>13</v>
      </c>
    </row>
    <row r="1119" spans="1:4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 t="str">
        <f>IF(Employee_data[[#This Row],[MonthlyIncome]]&lt;5000,"Low Income",
IF(Employee_data[[#This Row],[MonthlyIncome]]&lt;10000,"Medium Income","High Income"))</f>
        <v>Medium Income</v>
      </c>
      <c r="U1119" t="s">
        <v>92</v>
      </c>
      <c r="V1119" t="s">
        <v>92</v>
      </c>
      <c r="W1119" t="s">
        <v>92</v>
      </c>
      <c r="X1119" t="s">
        <v>92</v>
      </c>
      <c r="Y1119">
        <v>13008</v>
      </c>
      <c r="Z1119">
        <v>9</v>
      </c>
      <c r="AA1119" t="s">
        <v>42</v>
      </c>
      <c r="AB1119" t="s">
        <v>43</v>
      </c>
      <c r="AC1119">
        <v>17</v>
      </c>
      <c r="AD1119">
        <v>3</v>
      </c>
      <c r="AE1119">
        <v>2</v>
      </c>
      <c r="AF1119">
        <v>80</v>
      </c>
      <c r="AG1119">
        <v>1</v>
      </c>
      <c r="AH11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19">
        <v>9</v>
      </c>
      <c r="AJ1119" t="s">
        <v>74</v>
      </c>
      <c r="AK1119">
        <v>3</v>
      </c>
      <c r="AL1119" t="s">
        <v>74</v>
      </c>
      <c r="AM1119">
        <v>2</v>
      </c>
      <c r="AN1119" t="s">
        <v>74</v>
      </c>
      <c r="AO1119">
        <v>2</v>
      </c>
      <c r="AP1119" t="s">
        <v>74</v>
      </c>
      <c r="AQ1119">
        <v>2</v>
      </c>
      <c r="AR1119">
        <v>2</v>
      </c>
      <c r="AS1119">
        <v>1</v>
      </c>
    </row>
    <row r="1120" spans="1:4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 t="str">
        <f>IF(Employee_data[[#This Row],[MonthlyIncome]]&lt;5000,"Low Income",
IF(Employee_data[[#This Row],[MonthlyIncome]]&lt;10000,"Medium Income","High Income"))</f>
        <v>Low Income</v>
      </c>
      <c r="U1120" t="s">
        <v>91</v>
      </c>
      <c r="V1120" t="s">
        <v>91</v>
      </c>
      <c r="W1120" t="s">
        <v>91</v>
      </c>
      <c r="X1120" t="s">
        <v>91</v>
      </c>
      <c r="Y1120">
        <v>11133</v>
      </c>
      <c r="Z1120">
        <v>1</v>
      </c>
      <c r="AA1120" t="s">
        <v>42</v>
      </c>
      <c r="AB1120" t="s">
        <v>43</v>
      </c>
      <c r="AC1120">
        <v>21</v>
      </c>
      <c r="AD1120">
        <v>4</v>
      </c>
      <c r="AE1120">
        <v>1</v>
      </c>
      <c r="AF1120">
        <v>80</v>
      </c>
      <c r="AG1120">
        <v>0</v>
      </c>
      <c r="AH11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20">
        <v>1</v>
      </c>
      <c r="AJ1120" t="s">
        <v>74</v>
      </c>
      <c r="AK1120">
        <v>5</v>
      </c>
      <c r="AL1120" t="s">
        <v>74</v>
      </c>
      <c r="AM1120">
        <v>3</v>
      </c>
      <c r="AN1120" t="s">
        <v>74</v>
      </c>
      <c r="AO1120">
        <v>1</v>
      </c>
      <c r="AP1120" t="s">
        <v>74</v>
      </c>
      <c r="AQ1120">
        <v>0</v>
      </c>
      <c r="AR1120">
        <v>0</v>
      </c>
      <c r="AS1120">
        <v>0</v>
      </c>
    </row>
    <row r="1121" spans="1:4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 t="str">
        <f>IF(Employee_data[[#This Row],[MonthlyIncome]]&lt;5000,"Low Income",
IF(Employee_data[[#This Row],[MonthlyIncome]]&lt;10000,"Medium Income","High Income"))</f>
        <v>Medium Income</v>
      </c>
      <c r="U1121" t="s">
        <v>92</v>
      </c>
      <c r="V1121" t="s">
        <v>92</v>
      </c>
      <c r="W1121" t="s">
        <v>92</v>
      </c>
      <c r="X1121" t="s">
        <v>92</v>
      </c>
      <c r="Y1121">
        <v>12355</v>
      </c>
      <c r="Z1121">
        <v>0</v>
      </c>
      <c r="AA1121" t="s">
        <v>42</v>
      </c>
      <c r="AB1121" t="s">
        <v>43</v>
      </c>
      <c r="AC1121">
        <v>11</v>
      </c>
      <c r="AD1121">
        <v>3</v>
      </c>
      <c r="AE1121">
        <v>4</v>
      </c>
      <c r="AF1121">
        <v>80</v>
      </c>
      <c r="AG1121">
        <v>1</v>
      </c>
      <c r="AH11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21">
        <v>10</v>
      </c>
      <c r="AJ1121" t="s">
        <v>78</v>
      </c>
      <c r="AK1121">
        <v>3</v>
      </c>
      <c r="AL1121" t="s">
        <v>78</v>
      </c>
      <c r="AM1121">
        <v>3</v>
      </c>
      <c r="AN1121" t="s">
        <v>78</v>
      </c>
      <c r="AO1121">
        <v>9</v>
      </c>
      <c r="AP1121" t="s">
        <v>78</v>
      </c>
      <c r="AQ1121">
        <v>8</v>
      </c>
      <c r="AR1121">
        <v>7</v>
      </c>
      <c r="AS1121">
        <v>7</v>
      </c>
    </row>
    <row r="1122" spans="1:4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 t="str">
        <f>IF(Employee_data[[#This Row],[MonthlyIncome]]&lt;5000,"Low Income",
IF(Employee_data[[#This Row],[MonthlyIncome]]&lt;10000,"Medium Income","High Income"))</f>
        <v>Low Income</v>
      </c>
      <c r="U1122" t="s">
        <v>91</v>
      </c>
      <c r="V1122" t="s">
        <v>91</v>
      </c>
      <c r="W1122" t="s">
        <v>91</v>
      </c>
      <c r="X1122" t="s">
        <v>91</v>
      </c>
      <c r="Y1122">
        <v>16379</v>
      </c>
      <c r="Z1122">
        <v>2</v>
      </c>
      <c r="AA1122" t="s">
        <v>42</v>
      </c>
      <c r="AB1122" t="s">
        <v>43</v>
      </c>
      <c r="AC1122">
        <v>12</v>
      </c>
      <c r="AD1122">
        <v>3</v>
      </c>
      <c r="AE1122">
        <v>2</v>
      </c>
      <c r="AF1122">
        <v>80</v>
      </c>
      <c r="AG1122">
        <v>0</v>
      </c>
      <c r="AH11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22">
        <v>8</v>
      </c>
      <c r="AJ1122" t="s">
        <v>74</v>
      </c>
      <c r="AK1122">
        <v>5</v>
      </c>
      <c r="AL1122" t="s">
        <v>74</v>
      </c>
      <c r="AM1122">
        <v>4</v>
      </c>
      <c r="AN1122" t="s">
        <v>74</v>
      </c>
      <c r="AO1122">
        <v>3</v>
      </c>
      <c r="AP1122" t="s">
        <v>74</v>
      </c>
      <c r="AQ1122">
        <v>2</v>
      </c>
      <c r="AR1122">
        <v>1</v>
      </c>
      <c r="AS1122">
        <v>2</v>
      </c>
    </row>
    <row r="1123" spans="1:4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 t="str">
        <f>IF(Employee_data[[#This Row],[MonthlyIncome]]&lt;5000,"Low Income",
IF(Employee_data[[#This Row],[MonthlyIncome]]&lt;10000,"Medium Income","High Income"))</f>
        <v>Medium Income</v>
      </c>
      <c r="U1123" t="s">
        <v>92</v>
      </c>
      <c r="V1123" t="s">
        <v>92</v>
      </c>
      <c r="W1123" t="s">
        <v>92</v>
      </c>
      <c r="X1123" t="s">
        <v>92</v>
      </c>
      <c r="Y1123">
        <v>21447</v>
      </c>
      <c r="Z1123">
        <v>6</v>
      </c>
      <c r="AA1123" t="s">
        <v>42</v>
      </c>
      <c r="AB1123" t="s">
        <v>43</v>
      </c>
      <c r="AC1123">
        <v>13</v>
      </c>
      <c r="AD1123">
        <v>3</v>
      </c>
      <c r="AE1123">
        <v>1</v>
      </c>
      <c r="AF1123">
        <v>80</v>
      </c>
      <c r="AG1123">
        <v>0</v>
      </c>
      <c r="AH11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23">
        <v>15</v>
      </c>
      <c r="AJ1123" t="s">
        <v>74</v>
      </c>
      <c r="AK1123">
        <v>5</v>
      </c>
      <c r="AL1123" t="s">
        <v>74</v>
      </c>
      <c r="AM1123">
        <v>3</v>
      </c>
      <c r="AN1123" t="s">
        <v>74</v>
      </c>
      <c r="AO1123">
        <v>1</v>
      </c>
      <c r="AP1123" t="s">
        <v>74</v>
      </c>
      <c r="AQ1123">
        <v>0</v>
      </c>
      <c r="AR1123">
        <v>0</v>
      </c>
      <c r="AS1123">
        <v>0</v>
      </c>
    </row>
    <row r="1124" spans="1:4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 t="str">
        <f>IF(Employee_data[[#This Row],[MonthlyIncome]]&lt;5000,"Low Income",
IF(Employee_data[[#This Row],[MonthlyIncome]]&lt;10000,"Medium Income","High Income"))</f>
        <v>Low Income</v>
      </c>
      <c r="U1124" t="s">
        <v>91</v>
      </c>
      <c r="V1124" t="s">
        <v>91</v>
      </c>
      <c r="W1124" t="s">
        <v>91</v>
      </c>
      <c r="X1124" t="s">
        <v>91</v>
      </c>
      <c r="Y1124">
        <v>16213</v>
      </c>
      <c r="Z1124">
        <v>1</v>
      </c>
      <c r="AA1124" t="s">
        <v>42</v>
      </c>
      <c r="AB1124" t="s">
        <v>35</v>
      </c>
      <c r="AC1124">
        <v>18</v>
      </c>
      <c r="AD1124">
        <v>3</v>
      </c>
      <c r="AE1124">
        <v>4</v>
      </c>
      <c r="AF1124">
        <v>80</v>
      </c>
      <c r="AG1124">
        <v>0</v>
      </c>
      <c r="AH11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24">
        <v>10</v>
      </c>
      <c r="AJ1124" t="s">
        <v>75</v>
      </c>
      <c r="AK1124">
        <v>3</v>
      </c>
      <c r="AL1124" t="s">
        <v>75</v>
      </c>
      <c r="AM1124">
        <v>3</v>
      </c>
      <c r="AN1124" t="s">
        <v>75</v>
      </c>
      <c r="AO1124">
        <v>10</v>
      </c>
      <c r="AP1124" t="s">
        <v>75</v>
      </c>
      <c r="AQ1124">
        <v>9</v>
      </c>
      <c r="AR1124">
        <v>1</v>
      </c>
      <c r="AS1124">
        <v>5</v>
      </c>
    </row>
    <row r="1125" spans="1:4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 t="str">
        <f>IF(Employee_data[[#This Row],[MonthlyIncome]]&lt;5000,"Low Income",
IF(Employee_data[[#This Row],[MonthlyIncome]]&lt;10000,"Medium Income","High Income"))</f>
        <v>Medium Income</v>
      </c>
      <c r="U1125" t="s">
        <v>92</v>
      </c>
      <c r="V1125" t="s">
        <v>92</v>
      </c>
      <c r="W1125" t="s">
        <v>92</v>
      </c>
      <c r="X1125" t="s">
        <v>92</v>
      </c>
      <c r="Y1125">
        <v>4223</v>
      </c>
      <c r="Z1125">
        <v>3</v>
      </c>
      <c r="AA1125" t="s">
        <v>42</v>
      </c>
      <c r="AB1125" t="s">
        <v>35</v>
      </c>
      <c r="AC1125">
        <v>16</v>
      </c>
      <c r="AD1125">
        <v>3</v>
      </c>
      <c r="AE1125">
        <v>3</v>
      </c>
      <c r="AF1125">
        <v>80</v>
      </c>
      <c r="AG1125">
        <v>0</v>
      </c>
      <c r="AH11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25">
        <v>10</v>
      </c>
      <c r="AJ1125" t="s">
        <v>78</v>
      </c>
      <c r="AK1125">
        <v>4</v>
      </c>
      <c r="AL1125" t="s">
        <v>78</v>
      </c>
      <c r="AM1125">
        <v>3</v>
      </c>
      <c r="AN1125" t="s">
        <v>78</v>
      </c>
      <c r="AO1125">
        <v>5</v>
      </c>
      <c r="AP1125" t="s">
        <v>78</v>
      </c>
      <c r="AQ1125">
        <v>2</v>
      </c>
      <c r="AR1125">
        <v>0</v>
      </c>
      <c r="AS1125">
        <v>4</v>
      </c>
    </row>
    <row r="1126" spans="1:4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 t="str">
        <f>IF(Employee_data[[#This Row],[MonthlyIncome]]&lt;5000,"Low Income",
IF(Employee_data[[#This Row],[MonthlyIncome]]&lt;10000,"Medium Income","High Income"))</f>
        <v>Medium Income</v>
      </c>
      <c r="U1126" t="s">
        <v>92</v>
      </c>
      <c r="V1126" t="s">
        <v>92</v>
      </c>
      <c r="W1126" t="s">
        <v>92</v>
      </c>
      <c r="X1126" t="s">
        <v>92</v>
      </c>
      <c r="Y1126">
        <v>4658</v>
      </c>
      <c r="Z1126">
        <v>2</v>
      </c>
      <c r="AA1126" t="s">
        <v>42</v>
      </c>
      <c r="AB1126" t="s">
        <v>43</v>
      </c>
      <c r="AC1126">
        <v>11</v>
      </c>
      <c r="AD1126">
        <v>3</v>
      </c>
      <c r="AE1126">
        <v>1</v>
      </c>
      <c r="AF1126">
        <v>80</v>
      </c>
      <c r="AG1126">
        <v>1</v>
      </c>
      <c r="AH11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26">
        <v>11</v>
      </c>
      <c r="AJ1126" t="s">
        <v>78</v>
      </c>
      <c r="AK1126">
        <v>3</v>
      </c>
      <c r="AL1126" t="s">
        <v>78</v>
      </c>
      <c r="AM1126">
        <v>3</v>
      </c>
      <c r="AN1126" t="s">
        <v>78</v>
      </c>
      <c r="AO1126">
        <v>7</v>
      </c>
      <c r="AP1126" t="s">
        <v>78</v>
      </c>
      <c r="AQ1126">
        <v>6</v>
      </c>
      <c r="AR1126">
        <v>7</v>
      </c>
      <c r="AS1126">
        <v>6</v>
      </c>
    </row>
    <row r="1127" spans="1:4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 t="str">
        <f>IF(Employee_data[[#This Row],[MonthlyIncome]]&lt;5000,"Low Income",
IF(Employee_data[[#This Row],[MonthlyIncome]]&lt;10000,"Medium Income","High Income"))</f>
        <v>Medium Income</v>
      </c>
      <c r="U1127" t="s">
        <v>92</v>
      </c>
      <c r="V1127" t="s">
        <v>92</v>
      </c>
      <c r="W1127" t="s">
        <v>92</v>
      </c>
      <c r="X1127" t="s">
        <v>92</v>
      </c>
      <c r="Y1127">
        <v>24483</v>
      </c>
      <c r="Z1127">
        <v>1</v>
      </c>
      <c r="AA1127" t="s">
        <v>42</v>
      </c>
      <c r="AB1127" t="s">
        <v>43</v>
      </c>
      <c r="AC1127">
        <v>19</v>
      </c>
      <c r="AD1127">
        <v>3</v>
      </c>
      <c r="AE1127">
        <v>4</v>
      </c>
      <c r="AF1127">
        <v>80</v>
      </c>
      <c r="AG1127">
        <v>1</v>
      </c>
      <c r="AH11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27">
        <v>6</v>
      </c>
      <c r="AJ1127" t="s">
        <v>78</v>
      </c>
      <c r="AK1127">
        <v>0</v>
      </c>
      <c r="AL1127" t="s">
        <v>78</v>
      </c>
      <c r="AM1127">
        <v>4</v>
      </c>
      <c r="AN1127" t="s">
        <v>78</v>
      </c>
      <c r="AO1127">
        <v>6</v>
      </c>
      <c r="AP1127" t="s">
        <v>78</v>
      </c>
      <c r="AQ1127">
        <v>4</v>
      </c>
      <c r="AR1127">
        <v>1</v>
      </c>
      <c r="AS1127">
        <v>3</v>
      </c>
    </row>
    <row r="1128" spans="1:4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 t="str">
        <f>IF(Employee_data[[#This Row],[MonthlyIncome]]&lt;5000,"Low Income",
IF(Employee_data[[#This Row],[MonthlyIncome]]&lt;10000,"Medium Income","High Income"))</f>
        <v>High Income</v>
      </c>
      <c r="U1128" t="s">
        <v>90</v>
      </c>
      <c r="V1128" t="s">
        <v>90</v>
      </c>
      <c r="W1128" t="s">
        <v>90</v>
      </c>
      <c r="X1128" t="s">
        <v>90</v>
      </c>
      <c r="Y1128">
        <v>19519</v>
      </c>
      <c r="Z1128">
        <v>4</v>
      </c>
      <c r="AA1128" t="s">
        <v>42</v>
      </c>
      <c r="AB1128" t="s">
        <v>35</v>
      </c>
      <c r="AC1128">
        <v>16</v>
      </c>
      <c r="AD1128">
        <v>3</v>
      </c>
      <c r="AE1128">
        <v>3</v>
      </c>
      <c r="AF1128">
        <v>80</v>
      </c>
      <c r="AG1128">
        <v>1</v>
      </c>
      <c r="AH11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28">
        <v>27</v>
      </c>
      <c r="AJ1128" t="s">
        <v>74</v>
      </c>
      <c r="AK1128">
        <v>2</v>
      </c>
      <c r="AL1128" t="s">
        <v>74</v>
      </c>
      <c r="AM1128">
        <v>3</v>
      </c>
      <c r="AN1128" t="s">
        <v>74</v>
      </c>
      <c r="AO1128">
        <v>1</v>
      </c>
      <c r="AP1128" t="s">
        <v>74</v>
      </c>
      <c r="AQ1128">
        <v>0</v>
      </c>
      <c r="AR1128">
        <v>0</v>
      </c>
      <c r="AS1128">
        <v>0</v>
      </c>
    </row>
    <row r="1129" spans="1:4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 t="str">
        <f>IF(Employee_data[[#This Row],[MonthlyIncome]]&lt;5000,"Low Income",
IF(Employee_data[[#This Row],[MonthlyIncome]]&lt;10000,"Medium Income","High Income"))</f>
        <v>Low Income</v>
      </c>
      <c r="U1129" t="s">
        <v>91</v>
      </c>
      <c r="V1129" t="s">
        <v>91</v>
      </c>
      <c r="W1129" t="s">
        <v>91</v>
      </c>
      <c r="X1129" t="s">
        <v>91</v>
      </c>
      <c r="Y1129">
        <v>12826</v>
      </c>
      <c r="Z1129">
        <v>2</v>
      </c>
      <c r="AA1129" t="s">
        <v>42</v>
      </c>
      <c r="AB1129" t="s">
        <v>43</v>
      </c>
      <c r="AC1129">
        <v>16</v>
      </c>
      <c r="AD1129">
        <v>3</v>
      </c>
      <c r="AE1129">
        <v>4</v>
      </c>
      <c r="AF1129">
        <v>80</v>
      </c>
      <c r="AG1129">
        <v>1</v>
      </c>
      <c r="AH11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29">
        <v>4</v>
      </c>
      <c r="AJ1129" t="s">
        <v>74</v>
      </c>
      <c r="AK1129">
        <v>2</v>
      </c>
      <c r="AL1129" t="s">
        <v>74</v>
      </c>
      <c r="AM1129">
        <v>3</v>
      </c>
      <c r="AN1129" t="s">
        <v>74</v>
      </c>
      <c r="AO1129">
        <v>2</v>
      </c>
      <c r="AP1129" t="s">
        <v>74</v>
      </c>
      <c r="AQ1129">
        <v>2</v>
      </c>
      <c r="AR1129">
        <v>2</v>
      </c>
      <c r="AS1129">
        <v>2</v>
      </c>
    </row>
    <row r="1130" spans="1:4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 t="str">
        <f>IF(Employee_data[[#This Row],[MonthlyIncome]]&lt;5000,"Low Income",
IF(Employee_data[[#This Row],[MonthlyIncome]]&lt;10000,"Medium Income","High Income"))</f>
        <v>Medium Income</v>
      </c>
      <c r="U1130" t="s">
        <v>92</v>
      </c>
      <c r="V1130" t="s">
        <v>92</v>
      </c>
      <c r="W1130" t="s">
        <v>92</v>
      </c>
      <c r="X1130" t="s">
        <v>92</v>
      </c>
      <c r="Y1130">
        <v>19711</v>
      </c>
      <c r="Z1130">
        <v>3</v>
      </c>
      <c r="AA1130" t="s">
        <v>42</v>
      </c>
      <c r="AB1130" t="s">
        <v>35</v>
      </c>
      <c r="AC1130">
        <v>13</v>
      </c>
      <c r="AD1130">
        <v>3</v>
      </c>
      <c r="AE1130">
        <v>4</v>
      </c>
      <c r="AF1130">
        <v>80</v>
      </c>
      <c r="AG1130">
        <v>1</v>
      </c>
      <c r="AH11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30">
        <v>9</v>
      </c>
      <c r="AJ1130" t="s">
        <v>74</v>
      </c>
      <c r="AK1130">
        <v>3</v>
      </c>
      <c r="AL1130" t="s">
        <v>74</v>
      </c>
      <c r="AM1130">
        <v>3</v>
      </c>
      <c r="AN1130" t="s">
        <v>74</v>
      </c>
      <c r="AO1130">
        <v>3</v>
      </c>
      <c r="AP1130" t="s">
        <v>74</v>
      </c>
      <c r="AQ1130">
        <v>2</v>
      </c>
      <c r="AR1130">
        <v>0</v>
      </c>
      <c r="AS1130">
        <v>2</v>
      </c>
    </row>
    <row r="1131" spans="1:4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 t="str">
        <f>IF(Employee_data[[#This Row],[MonthlyIncome]]&lt;5000,"Low Income",
IF(Employee_data[[#This Row],[MonthlyIncome]]&lt;10000,"Medium Income","High Income"))</f>
        <v>High Income</v>
      </c>
      <c r="U1131" t="s">
        <v>90</v>
      </c>
      <c r="V1131" t="s">
        <v>90</v>
      </c>
      <c r="W1131" t="s">
        <v>90</v>
      </c>
      <c r="X1131" t="s">
        <v>90</v>
      </c>
      <c r="Y1131">
        <v>26362</v>
      </c>
      <c r="Z1131">
        <v>8</v>
      </c>
      <c r="AA1131" t="s">
        <v>42</v>
      </c>
      <c r="AB1131" t="s">
        <v>43</v>
      </c>
      <c r="AC1131">
        <v>22</v>
      </c>
      <c r="AD1131">
        <v>4</v>
      </c>
      <c r="AE1131">
        <v>4</v>
      </c>
      <c r="AF1131">
        <v>80</v>
      </c>
      <c r="AG1131">
        <v>0</v>
      </c>
      <c r="AH11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31">
        <v>24</v>
      </c>
      <c r="AJ1131" t="s">
        <v>74</v>
      </c>
      <c r="AK1131">
        <v>2</v>
      </c>
      <c r="AL1131" t="s">
        <v>74</v>
      </c>
      <c r="AM1131">
        <v>3</v>
      </c>
      <c r="AN1131" t="s">
        <v>74</v>
      </c>
      <c r="AO1131">
        <v>1</v>
      </c>
      <c r="AP1131" t="s">
        <v>74</v>
      </c>
      <c r="AQ1131">
        <v>0</v>
      </c>
      <c r="AR1131">
        <v>0</v>
      </c>
      <c r="AS1131">
        <v>1</v>
      </c>
    </row>
    <row r="1132" spans="1:4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 t="str">
        <f>IF(Employee_data[[#This Row],[MonthlyIncome]]&lt;5000,"Low Income",
IF(Employee_data[[#This Row],[MonthlyIncome]]&lt;10000,"Medium Income","High Income"))</f>
        <v>Low Income</v>
      </c>
      <c r="U1132" t="s">
        <v>91</v>
      </c>
      <c r="V1132" t="s">
        <v>91</v>
      </c>
      <c r="W1132" t="s">
        <v>91</v>
      </c>
      <c r="X1132" t="s">
        <v>91</v>
      </c>
      <c r="Y1132">
        <v>25348</v>
      </c>
      <c r="Z1132">
        <v>1</v>
      </c>
      <c r="AA1132" t="s">
        <v>42</v>
      </c>
      <c r="AB1132" t="s">
        <v>43</v>
      </c>
      <c r="AC1132">
        <v>17</v>
      </c>
      <c r="AD1132">
        <v>3</v>
      </c>
      <c r="AE1132">
        <v>4</v>
      </c>
      <c r="AF1132">
        <v>80</v>
      </c>
      <c r="AG1132">
        <v>2</v>
      </c>
      <c r="AH11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32">
        <v>10</v>
      </c>
      <c r="AJ1132" t="s">
        <v>75</v>
      </c>
      <c r="AK1132">
        <v>3</v>
      </c>
      <c r="AL1132" t="s">
        <v>75</v>
      </c>
      <c r="AM1132">
        <v>2</v>
      </c>
      <c r="AN1132" t="s">
        <v>75</v>
      </c>
      <c r="AO1132">
        <v>10</v>
      </c>
      <c r="AP1132" t="s">
        <v>75</v>
      </c>
      <c r="AQ1132">
        <v>9</v>
      </c>
      <c r="AR1132">
        <v>6</v>
      </c>
      <c r="AS1132">
        <v>8</v>
      </c>
    </row>
    <row r="1133" spans="1:4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 t="str">
        <f>IF(Employee_data[[#This Row],[MonthlyIncome]]&lt;5000,"Low Income",
IF(Employee_data[[#This Row],[MonthlyIncome]]&lt;10000,"Medium Income","High Income"))</f>
        <v>Medium Income</v>
      </c>
      <c r="U1133" t="s">
        <v>92</v>
      </c>
      <c r="V1133" t="s">
        <v>92</v>
      </c>
      <c r="W1133" t="s">
        <v>92</v>
      </c>
      <c r="X1133" t="s">
        <v>92</v>
      </c>
      <c r="Y1133">
        <v>15332</v>
      </c>
      <c r="Z1133">
        <v>1</v>
      </c>
      <c r="AA1133" t="s">
        <v>42</v>
      </c>
      <c r="AB1133" t="s">
        <v>43</v>
      </c>
      <c r="AC1133">
        <v>14</v>
      </c>
      <c r="AD1133">
        <v>3</v>
      </c>
      <c r="AE1133">
        <v>2</v>
      </c>
      <c r="AF1133">
        <v>80</v>
      </c>
      <c r="AG1133">
        <v>1</v>
      </c>
      <c r="AH11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33">
        <v>8</v>
      </c>
      <c r="AJ1133" t="s">
        <v>78</v>
      </c>
      <c r="AK1133">
        <v>3</v>
      </c>
      <c r="AL1133" t="s">
        <v>78</v>
      </c>
      <c r="AM1133">
        <v>2</v>
      </c>
      <c r="AN1133" t="s">
        <v>78</v>
      </c>
      <c r="AO1133">
        <v>8</v>
      </c>
      <c r="AP1133" t="s">
        <v>78</v>
      </c>
      <c r="AQ1133">
        <v>2</v>
      </c>
      <c r="AR1133">
        <v>7</v>
      </c>
      <c r="AS1133">
        <v>7</v>
      </c>
    </row>
    <row r="1134" spans="1:4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 t="str">
        <f>IF(Employee_data[[#This Row],[MonthlyIncome]]&lt;5000,"Low Income",
IF(Employee_data[[#This Row],[MonthlyIncome]]&lt;10000,"Medium Income","High Income"))</f>
        <v>Low Income</v>
      </c>
      <c r="U1134" t="s">
        <v>91</v>
      </c>
      <c r="V1134" t="s">
        <v>91</v>
      </c>
      <c r="W1134" t="s">
        <v>91</v>
      </c>
      <c r="X1134" t="s">
        <v>91</v>
      </c>
      <c r="Y1134">
        <v>11262</v>
      </c>
      <c r="Z1134">
        <v>1</v>
      </c>
      <c r="AA1134" t="s">
        <v>42</v>
      </c>
      <c r="AB1134" t="s">
        <v>43</v>
      </c>
      <c r="AC1134">
        <v>15</v>
      </c>
      <c r="AD1134">
        <v>3</v>
      </c>
      <c r="AE1134">
        <v>3</v>
      </c>
      <c r="AF1134">
        <v>80</v>
      </c>
      <c r="AG1134">
        <v>1</v>
      </c>
      <c r="AH11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34">
        <v>5</v>
      </c>
      <c r="AJ1134" t="s">
        <v>78</v>
      </c>
      <c r="AK1134">
        <v>2</v>
      </c>
      <c r="AL1134" t="s">
        <v>78</v>
      </c>
      <c r="AM1134">
        <v>3</v>
      </c>
      <c r="AN1134" t="s">
        <v>78</v>
      </c>
      <c r="AO1134">
        <v>5</v>
      </c>
      <c r="AP1134" t="s">
        <v>78</v>
      </c>
      <c r="AQ1134">
        <v>4</v>
      </c>
      <c r="AR1134">
        <v>1</v>
      </c>
      <c r="AS1134">
        <v>2</v>
      </c>
    </row>
    <row r="1135" spans="1:4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 t="str">
        <f>IF(Employee_data[[#This Row],[MonthlyIncome]]&lt;5000,"Low Income",
IF(Employee_data[[#This Row],[MonthlyIncome]]&lt;10000,"Medium Income","High Income"))</f>
        <v>Low Income</v>
      </c>
      <c r="U1135" t="s">
        <v>91</v>
      </c>
      <c r="V1135" t="s">
        <v>91</v>
      </c>
      <c r="W1135" t="s">
        <v>91</v>
      </c>
      <c r="X1135" t="s">
        <v>91</v>
      </c>
      <c r="Y1135">
        <v>5855</v>
      </c>
      <c r="Z1135">
        <v>5</v>
      </c>
      <c r="AA1135" t="s">
        <v>42</v>
      </c>
      <c r="AB1135" t="s">
        <v>43</v>
      </c>
      <c r="AC1135">
        <v>12</v>
      </c>
      <c r="AD1135">
        <v>3</v>
      </c>
      <c r="AE1135">
        <v>3</v>
      </c>
      <c r="AF1135">
        <v>80</v>
      </c>
      <c r="AG1135">
        <v>1</v>
      </c>
      <c r="AH11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35">
        <v>8</v>
      </c>
      <c r="AJ1135" t="s">
        <v>78</v>
      </c>
      <c r="AK1135">
        <v>0</v>
      </c>
      <c r="AL1135" t="s">
        <v>78</v>
      </c>
      <c r="AM1135">
        <v>3</v>
      </c>
      <c r="AN1135" t="s">
        <v>78</v>
      </c>
      <c r="AO1135">
        <v>6</v>
      </c>
      <c r="AP1135" t="s">
        <v>78</v>
      </c>
      <c r="AQ1135">
        <v>4</v>
      </c>
      <c r="AR1135">
        <v>0</v>
      </c>
      <c r="AS1135">
        <v>2</v>
      </c>
    </row>
    <row r="1136" spans="1:4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 t="str">
        <f>IF(Employee_data[[#This Row],[MonthlyIncome]]&lt;5000,"Low Income",
IF(Employee_data[[#This Row],[MonthlyIncome]]&lt;10000,"Medium Income","High Income"))</f>
        <v>Low Income</v>
      </c>
      <c r="U1136" t="s">
        <v>91</v>
      </c>
      <c r="V1136" t="s">
        <v>91</v>
      </c>
      <c r="W1136" t="s">
        <v>91</v>
      </c>
      <c r="X1136" t="s">
        <v>91</v>
      </c>
      <c r="Y1136">
        <v>7713</v>
      </c>
      <c r="Z1136">
        <v>1</v>
      </c>
      <c r="AA1136" t="s">
        <v>42</v>
      </c>
      <c r="AB1136" t="s">
        <v>43</v>
      </c>
      <c r="AC1136">
        <v>18</v>
      </c>
      <c r="AD1136">
        <v>3</v>
      </c>
      <c r="AE1136">
        <v>4</v>
      </c>
      <c r="AF1136">
        <v>80</v>
      </c>
      <c r="AG1136">
        <v>1</v>
      </c>
      <c r="AH11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36">
        <v>1</v>
      </c>
      <c r="AJ1136" t="s">
        <v>74</v>
      </c>
      <c r="AK1136">
        <v>5</v>
      </c>
      <c r="AL1136" t="s">
        <v>74</v>
      </c>
      <c r="AM1136">
        <v>2</v>
      </c>
      <c r="AN1136" t="s">
        <v>74</v>
      </c>
      <c r="AO1136">
        <v>1</v>
      </c>
      <c r="AP1136" t="s">
        <v>74</v>
      </c>
      <c r="AQ1136">
        <v>0</v>
      </c>
      <c r="AR1136">
        <v>0</v>
      </c>
      <c r="AS1136">
        <v>1</v>
      </c>
    </row>
    <row r="1137" spans="1:4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 t="str">
        <f>IF(Employee_data[[#This Row],[MonthlyIncome]]&lt;5000,"Low Income",
IF(Employee_data[[#This Row],[MonthlyIncome]]&lt;10000,"Medium Income","High Income"))</f>
        <v>High Income</v>
      </c>
      <c r="U1137" t="s">
        <v>90</v>
      </c>
      <c r="V1137" t="s">
        <v>90</v>
      </c>
      <c r="W1137" t="s">
        <v>90</v>
      </c>
      <c r="X1137" t="s">
        <v>90</v>
      </c>
      <c r="Y1137">
        <v>3156</v>
      </c>
      <c r="Z1137">
        <v>1</v>
      </c>
      <c r="AA1137" t="s">
        <v>42</v>
      </c>
      <c r="AB1137" t="s">
        <v>43</v>
      </c>
      <c r="AC1137">
        <v>15</v>
      </c>
      <c r="AD1137">
        <v>3</v>
      </c>
      <c r="AE1137">
        <v>2</v>
      </c>
      <c r="AF1137">
        <v>80</v>
      </c>
      <c r="AG1137">
        <v>0</v>
      </c>
      <c r="AH11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1137">
        <v>27</v>
      </c>
      <c r="AJ1137" t="s">
        <v>77</v>
      </c>
      <c r="AK1137">
        <v>5</v>
      </c>
      <c r="AL1137" t="s">
        <v>77</v>
      </c>
      <c r="AM1137">
        <v>1</v>
      </c>
      <c r="AN1137" t="s">
        <v>77</v>
      </c>
      <c r="AO1137">
        <v>26</v>
      </c>
      <c r="AP1137" t="s">
        <v>77</v>
      </c>
      <c r="AQ1137">
        <v>0</v>
      </c>
      <c r="AR1137">
        <v>0</v>
      </c>
      <c r="AS1137">
        <v>12</v>
      </c>
    </row>
    <row r="1138" spans="1:4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 t="str">
        <f>IF(Employee_data[[#This Row],[MonthlyIncome]]&lt;5000,"Low Income",
IF(Employee_data[[#This Row],[MonthlyIncome]]&lt;10000,"Medium Income","High Income"))</f>
        <v>Low Income</v>
      </c>
      <c r="U1138" t="s">
        <v>91</v>
      </c>
      <c r="V1138" t="s">
        <v>91</v>
      </c>
      <c r="W1138" t="s">
        <v>91</v>
      </c>
      <c r="X1138" t="s">
        <v>91</v>
      </c>
      <c r="Y1138">
        <v>7324</v>
      </c>
      <c r="Z1138">
        <v>1</v>
      </c>
      <c r="AA1138" t="s">
        <v>42</v>
      </c>
      <c r="AB1138" t="s">
        <v>35</v>
      </c>
      <c r="AC1138">
        <v>17</v>
      </c>
      <c r="AD1138">
        <v>3</v>
      </c>
      <c r="AE1138">
        <v>3</v>
      </c>
      <c r="AF1138">
        <v>80</v>
      </c>
      <c r="AG1138">
        <v>3</v>
      </c>
      <c r="AH11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38">
        <v>1</v>
      </c>
      <c r="AJ1138" t="s">
        <v>74</v>
      </c>
      <c r="AK1138">
        <v>3</v>
      </c>
      <c r="AL1138" t="s">
        <v>74</v>
      </c>
      <c r="AM1138">
        <v>3</v>
      </c>
      <c r="AN1138" t="s">
        <v>74</v>
      </c>
      <c r="AO1138">
        <v>1</v>
      </c>
      <c r="AP1138" t="s">
        <v>74</v>
      </c>
      <c r="AQ1138">
        <v>1</v>
      </c>
      <c r="AR1138">
        <v>0</v>
      </c>
      <c r="AS1138">
        <v>0</v>
      </c>
    </row>
    <row r="1139" spans="1:4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 t="str">
        <f>IF(Employee_data[[#This Row],[MonthlyIncome]]&lt;5000,"Low Income",
IF(Employee_data[[#This Row],[MonthlyIncome]]&lt;10000,"Medium Income","High Income"))</f>
        <v>Low Income</v>
      </c>
      <c r="U1139" t="s">
        <v>91</v>
      </c>
      <c r="V1139" t="s">
        <v>91</v>
      </c>
      <c r="W1139" t="s">
        <v>91</v>
      </c>
      <c r="X1139" t="s">
        <v>91</v>
      </c>
      <c r="Y1139">
        <v>10293</v>
      </c>
      <c r="Z1139">
        <v>1</v>
      </c>
      <c r="AA1139" t="s">
        <v>42</v>
      </c>
      <c r="AB1139" t="s">
        <v>35</v>
      </c>
      <c r="AC1139">
        <v>14</v>
      </c>
      <c r="AD1139">
        <v>3</v>
      </c>
      <c r="AE1139">
        <v>2</v>
      </c>
      <c r="AF1139">
        <v>80</v>
      </c>
      <c r="AG1139">
        <v>0</v>
      </c>
      <c r="AH11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39">
        <v>4</v>
      </c>
      <c r="AJ1139" t="s">
        <v>74</v>
      </c>
      <c r="AK1139">
        <v>2</v>
      </c>
      <c r="AL1139" t="s">
        <v>74</v>
      </c>
      <c r="AM1139">
        <v>2</v>
      </c>
      <c r="AN1139" t="s">
        <v>74</v>
      </c>
      <c r="AO1139">
        <v>4</v>
      </c>
      <c r="AP1139" t="s">
        <v>74</v>
      </c>
      <c r="AQ1139">
        <v>2</v>
      </c>
      <c r="AR1139">
        <v>1</v>
      </c>
      <c r="AS1139">
        <v>3</v>
      </c>
    </row>
    <row r="1140" spans="1:4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 t="str">
        <f>IF(Employee_data[[#This Row],[MonthlyIncome]]&lt;5000,"Low Income",
IF(Employee_data[[#This Row],[MonthlyIncome]]&lt;10000,"Medium Income","High Income"))</f>
        <v>High Income</v>
      </c>
      <c r="U1140" t="s">
        <v>90</v>
      </c>
      <c r="V1140" t="s">
        <v>90</v>
      </c>
      <c r="W1140" t="s">
        <v>90</v>
      </c>
      <c r="X1140" t="s">
        <v>90</v>
      </c>
      <c r="Y1140">
        <v>20689</v>
      </c>
      <c r="Z1140">
        <v>2</v>
      </c>
      <c r="AA1140" t="s">
        <v>42</v>
      </c>
      <c r="AB1140" t="s">
        <v>35</v>
      </c>
      <c r="AC1140">
        <v>15</v>
      </c>
      <c r="AD1140">
        <v>3</v>
      </c>
      <c r="AE1140">
        <v>3</v>
      </c>
      <c r="AF1140">
        <v>80</v>
      </c>
      <c r="AG1140">
        <v>1</v>
      </c>
      <c r="AH11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25+ Years</v>
      </c>
      <c r="AI1140">
        <v>32</v>
      </c>
      <c r="AJ1140" t="s">
        <v>77</v>
      </c>
      <c r="AK1140">
        <v>3</v>
      </c>
      <c r="AL1140" t="s">
        <v>77</v>
      </c>
      <c r="AM1140">
        <v>3</v>
      </c>
      <c r="AN1140" t="s">
        <v>77</v>
      </c>
      <c r="AO1140">
        <v>30</v>
      </c>
      <c r="AP1140" t="s">
        <v>77</v>
      </c>
      <c r="AQ1140">
        <v>8</v>
      </c>
      <c r="AR1140">
        <v>12</v>
      </c>
      <c r="AS1140">
        <v>13</v>
      </c>
    </row>
    <row r="1141" spans="1:4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 t="str">
        <f>IF(Employee_data[[#This Row],[MonthlyIncome]]&lt;5000,"Low Income",
IF(Employee_data[[#This Row],[MonthlyIncome]]&lt;10000,"Medium Income","High Income"))</f>
        <v>Low Income</v>
      </c>
      <c r="U1141" t="s">
        <v>91</v>
      </c>
      <c r="V1141" t="s">
        <v>91</v>
      </c>
      <c r="W1141" t="s">
        <v>91</v>
      </c>
      <c r="X1141" t="s">
        <v>91</v>
      </c>
      <c r="Y1141">
        <v>18783</v>
      </c>
      <c r="Z1141">
        <v>3</v>
      </c>
      <c r="AA1141" t="s">
        <v>42</v>
      </c>
      <c r="AB1141" t="s">
        <v>43</v>
      </c>
      <c r="AC1141">
        <v>17</v>
      </c>
      <c r="AD1141">
        <v>3</v>
      </c>
      <c r="AE1141">
        <v>4</v>
      </c>
      <c r="AF1141">
        <v>80</v>
      </c>
      <c r="AG1141">
        <v>2</v>
      </c>
      <c r="AH11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41">
        <v>6</v>
      </c>
      <c r="AJ1141" t="s">
        <v>74</v>
      </c>
      <c r="AK1141">
        <v>3</v>
      </c>
      <c r="AL1141" t="s">
        <v>74</v>
      </c>
      <c r="AM1141">
        <v>3</v>
      </c>
      <c r="AN1141" t="s">
        <v>74</v>
      </c>
      <c r="AO1141">
        <v>3</v>
      </c>
      <c r="AP1141" t="s">
        <v>74</v>
      </c>
      <c r="AQ1141">
        <v>2</v>
      </c>
      <c r="AR1141">
        <v>0</v>
      </c>
      <c r="AS1141">
        <v>2</v>
      </c>
    </row>
    <row r="1142" spans="1:4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 t="str">
        <f>IF(Employee_data[[#This Row],[MonthlyIncome]]&lt;5000,"Low Income",
IF(Employee_data[[#This Row],[MonthlyIncome]]&lt;10000,"Medium Income","High Income"))</f>
        <v>High Income</v>
      </c>
      <c r="U1142" t="s">
        <v>90</v>
      </c>
      <c r="V1142" t="s">
        <v>90</v>
      </c>
      <c r="W1142" t="s">
        <v>90</v>
      </c>
      <c r="X1142" t="s">
        <v>90</v>
      </c>
      <c r="Y1142">
        <v>3549</v>
      </c>
      <c r="Z1142">
        <v>0</v>
      </c>
      <c r="AA1142" t="s">
        <v>42</v>
      </c>
      <c r="AB1142" t="s">
        <v>35</v>
      </c>
      <c r="AC1142">
        <v>14</v>
      </c>
      <c r="AD1142">
        <v>3</v>
      </c>
      <c r="AE1142">
        <v>4</v>
      </c>
      <c r="AF1142">
        <v>80</v>
      </c>
      <c r="AG1142">
        <v>1</v>
      </c>
      <c r="AH11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142">
        <v>23</v>
      </c>
      <c r="AJ1142" t="s">
        <v>76</v>
      </c>
      <c r="AK1142">
        <v>4</v>
      </c>
      <c r="AL1142" t="s">
        <v>76</v>
      </c>
      <c r="AM1142">
        <v>2</v>
      </c>
      <c r="AN1142" t="s">
        <v>76</v>
      </c>
      <c r="AO1142">
        <v>22</v>
      </c>
      <c r="AP1142" t="s">
        <v>76</v>
      </c>
      <c r="AQ1142">
        <v>7</v>
      </c>
      <c r="AR1142">
        <v>1</v>
      </c>
      <c r="AS1142">
        <v>10</v>
      </c>
    </row>
    <row r="1143" spans="1:4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 t="str">
        <f>IF(Employee_data[[#This Row],[MonthlyIncome]]&lt;5000,"Low Income",
IF(Employee_data[[#This Row],[MonthlyIncome]]&lt;10000,"Medium Income","High Income"))</f>
        <v>Low Income</v>
      </c>
      <c r="U1143" t="s">
        <v>91</v>
      </c>
      <c r="V1143" t="s">
        <v>91</v>
      </c>
      <c r="W1143" t="s">
        <v>91</v>
      </c>
      <c r="X1143" t="s">
        <v>91</v>
      </c>
      <c r="Y1143">
        <v>5348</v>
      </c>
      <c r="Z1143">
        <v>1</v>
      </c>
      <c r="AA1143" t="s">
        <v>42</v>
      </c>
      <c r="AB1143" t="s">
        <v>43</v>
      </c>
      <c r="AC1143">
        <v>12</v>
      </c>
      <c r="AD1143">
        <v>3</v>
      </c>
      <c r="AE1143">
        <v>2</v>
      </c>
      <c r="AF1143">
        <v>80</v>
      </c>
      <c r="AG1143">
        <v>1</v>
      </c>
      <c r="AH11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43">
        <v>6</v>
      </c>
      <c r="AJ1143" t="s">
        <v>78</v>
      </c>
      <c r="AK1143">
        <v>3</v>
      </c>
      <c r="AL1143" t="s">
        <v>78</v>
      </c>
      <c r="AM1143">
        <v>2</v>
      </c>
      <c r="AN1143" t="s">
        <v>78</v>
      </c>
      <c r="AO1143">
        <v>6</v>
      </c>
      <c r="AP1143" t="s">
        <v>78</v>
      </c>
      <c r="AQ1143">
        <v>4</v>
      </c>
      <c r="AR1143">
        <v>1</v>
      </c>
      <c r="AS1143">
        <v>1</v>
      </c>
    </row>
    <row r="1144" spans="1:4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 t="str">
        <f>IF(Employee_data[[#This Row],[MonthlyIncome]]&lt;5000,"Low Income",
IF(Employee_data[[#This Row],[MonthlyIncome]]&lt;10000,"Medium Income","High Income"))</f>
        <v>Medium Income</v>
      </c>
      <c r="U1144" t="s">
        <v>92</v>
      </c>
      <c r="V1144" t="s">
        <v>92</v>
      </c>
      <c r="W1144" t="s">
        <v>92</v>
      </c>
      <c r="X1144" t="s">
        <v>92</v>
      </c>
      <c r="Y1144">
        <v>23447</v>
      </c>
      <c r="Z1144">
        <v>1</v>
      </c>
      <c r="AA1144" t="s">
        <v>42</v>
      </c>
      <c r="AB1144" t="s">
        <v>35</v>
      </c>
      <c r="AC1144">
        <v>14</v>
      </c>
      <c r="AD1144">
        <v>3</v>
      </c>
      <c r="AE1144">
        <v>1</v>
      </c>
      <c r="AF1144">
        <v>80</v>
      </c>
      <c r="AG1144">
        <v>0</v>
      </c>
      <c r="AH11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44">
        <v>10</v>
      </c>
      <c r="AJ1144" t="s">
        <v>75</v>
      </c>
      <c r="AK1144">
        <v>3</v>
      </c>
      <c r="AL1144" t="s">
        <v>75</v>
      </c>
      <c r="AM1144">
        <v>3</v>
      </c>
      <c r="AN1144" t="s">
        <v>75</v>
      </c>
      <c r="AO1144">
        <v>10</v>
      </c>
      <c r="AP1144" t="s">
        <v>75</v>
      </c>
      <c r="AQ1144">
        <v>7</v>
      </c>
      <c r="AR1144">
        <v>1</v>
      </c>
      <c r="AS1144">
        <v>4</v>
      </c>
    </row>
    <row r="1145" spans="1:4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 t="str">
        <f>IF(Employee_data[[#This Row],[MonthlyIncome]]&lt;5000,"Low Income",
IF(Employee_data[[#This Row],[MonthlyIncome]]&lt;10000,"Medium Income","High Income"))</f>
        <v>Low Income</v>
      </c>
      <c r="U1145" t="s">
        <v>91</v>
      </c>
      <c r="V1145" t="s">
        <v>91</v>
      </c>
      <c r="W1145" t="s">
        <v>91</v>
      </c>
      <c r="X1145" t="s">
        <v>91</v>
      </c>
      <c r="Y1145">
        <v>24162</v>
      </c>
      <c r="Z1145">
        <v>1</v>
      </c>
      <c r="AA1145" t="s">
        <v>42</v>
      </c>
      <c r="AB1145" t="s">
        <v>43</v>
      </c>
      <c r="AC1145">
        <v>15</v>
      </c>
      <c r="AD1145">
        <v>3</v>
      </c>
      <c r="AE1145">
        <v>1</v>
      </c>
      <c r="AF1145">
        <v>80</v>
      </c>
      <c r="AG1145">
        <v>1</v>
      </c>
      <c r="AH11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45">
        <v>10</v>
      </c>
      <c r="AJ1145" t="s">
        <v>75</v>
      </c>
      <c r="AK1145">
        <v>2</v>
      </c>
      <c r="AL1145" t="s">
        <v>75</v>
      </c>
      <c r="AM1145">
        <v>3</v>
      </c>
      <c r="AN1145" t="s">
        <v>75</v>
      </c>
      <c r="AO1145">
        <v>10</v>
      </c>
      <c r="AP1145" t="s">
        <v>75</v>
      </c>
      <c r="AQ1145">
        <v>7</v>
      </c>
      <c r="AR1145">
        <v>4</v>
      </c>
      <c r="AS1145">
        <v>5</v>
      </c>
    </row>
    <row r="1146" spans="1:4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 t="str">
        <f>IF(Employee_data[[#This Row],[MonthlyIncome]]&lt;5000,"Low Income",
IF(Employee_data[[#This Row],[MonthlyIncome]]&lt;10000,"Medium Income","High Income"))</f>
        <v>Medium Income</v>
      </c>
      <c r="U1146" t="s">
        <v>92</v>
      </c>
      <c r="V1146" t="s">
        <v>92</v>
      </c>
      <c r="W1146" t="s">
        <v>92</v>
      </c>
      <c r="X1146" t="s">
        <v>92</v>
      </c>
      <c r="Y1146">
        <v>21602</v>
      </c>
      <c r="Z1146">
        <v>7</v>
      </c>
      <c r="AA1146" t="s">
        <v>42</v>
      </c>
      <c r="AB1146" t="s">
        <v>43</v>
      </c>
      <c r="AC1146">
        <v>13</v>
      </c>
      <c r="AD1146">
        <v>3</v>
      </c>
      <c r="AE1146">
        <v>4</v>
      </c>
      <c r="AF1146">
        <v>80</v>
      </c>
      <c r="AG1146">
        <v>0</v>
      </c>
      <c r="AH11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46">
        <v>10</v>
      </c>
      <c r="AJ1146" t="s">
        <v>78</v>
      </c>
      <c r="AK1146">
        <v>3</v>
      </c>
      <c r="AL1146" t="s">
        <v>78</v>
      </c>
      <c r="AM1146">
        <v>3</v>
      </c>
      <c r="AN1146" t="s">
        <v>78</v>
      </c>
      <c r="AO1146">
        <v>5</v>
      </c>
      <c r="AP1146" t="s">
        <v>78</v>
      </c>
      <c r="AQ1146">
        <v>2</v>
      </c>
      <c r="AR1146">
        <v>0</v>
      </c>
      <c r="AS1146">
        <v>3</v>
      </c>
    </row>
    <row r="1147" spans="1:4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 t="str">
        <f>IF(Employee_data[[#This Row],[MonthlyIncome]]&lt;5000,"Low Income",
IF(Employee_data[[#This Row],[MonthlyIncome]]&lt;10000,"Medium Income","High Income"))</f>
        <v>Low Income</v>
      </c>
      <c r="U1147" t="s">
        <v>91</v>
      </c>
      <c r="V1147" t="s">
        <v>91</v>
      </c>
      <c r="W1147" t="s">
        <v>91</v>
      </c>
      <c r="X1147" t="s">
        <v>91</v>
      </c>
      <c r="Y1147">
        <v>12421</v>
      </c>
      <c r="Z1147">
        <v>9</v>
      </c>
      <c r="AA1147" t="s">
        <v>42</v>
      </c>
      <c r="AB1147" t="s">
        <v>35</v>
      </c>
      <c r="AC1147">
        <v>12</v>
      </c>
      <c r="AD1147">
        <v>3</v>
      </c>
      <c r="AE1147">
        <v>2</v>
      </c>
      <c r="AF1147">
        <v>80</v>
      </c>
      <c r="AG1147">
        <v>2</v>
      </c>
      <c r="AH11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47">
        <v>7</v>
      </c>
      <c r="AJ1147" t="s">
        <v>74</v>
      </c>
      <c r="AK1147">
        <v>2</v>
      </c>
      <c r="AL1147" t="s">
        <v>74</v>
      </c>
      <c r="AM1147">
        <v>3</v>
      </c>
      <c r="AN1147" t="s">
        <v>74</v>
      </c>
      <c r="AO1147">
        <v>3</v>
      </c>
      <c r="AP1147" t="s">
        <v>74</v>
      </c>
      <c r="AQ1147">
        <v>2</v>
      </c>
      <c r="AR1147">
        <v>1</v>
      </c>
      <c r="AS1147">
        <v>1</v>
      </c>
    </row>
    <row r="1148" spans="1:4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 t="str">
        <f>IF(Employee_data[[#This Row],[MonthlyIncome]]&lt;5000,"Low Income",
IF(Employee_data[[#This Row],[MonthlyIncome]]&lt;10000,"Medium Income","High Income"))</f>
        <v>Low Income</v>
      </c>
      <c r="U1148" t="s">
        <v>91</v>
      </c>
      <c r="V1148" t="s">
        <v>91</v>
      </c>
      <c r="W1148" t="s">
        <v>91</v>
      </c>
      <c r="X1148" t="s">
        <v>91</v>
      </c>
      <c r="Y1148">
        <v>17000</v>
      </c>
      <c r="Z1148">
        <v>1</v>
      </c>
      <c r="AA1148" t="s">
        <v>42</v>
      </c>
      <c r="AB1148" t="s">
        <v>43</v>
      </c>
      <c r="AC1148">
        <v>13</v>
      </c>
      <c r="AD1148">
        <v>3</v>
      </c>
      <c r="AE1148">
        <v>1</v>
      </c>
      <c r="AF1148">
        <v>80</v>
      </c>
      <c r="AG1148">
        <v>1</v>
      </c>
      <c r="AH11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48">
        <v>9</v>
      </c>
      <c r="AJ1148" t="s">
        <v>78</v>
      </c>
      <c r="AK1148">
        <v>3</v>
      </c>
      <c r="AL1148" t="s">
        <v>78</v>
      </c>
      <c r="AM1148">
        <v>3</v>
      </c>
      <c r="AN1148" t="s">
        <v>78</v>
      </c>
      <c r="AO1148">
        <v>9</v>
      </c>
      <c r="AP1148" t="s">
        <v>78</v>
      </c>
      <c r="AQ1148">
        <v>7</v>
      </c>
      <c r="AR1148">
        <v>7</v>
      </c>
      <c r="AS1148">
        <v>2</v>
      </c>
    </row>
    <row r="1149" spans="1:4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 t="str">
        <f>IF(Employee_data[[#This Row],[MonthlyIncome]]&lt;5000,"Low Income",
IF(Employee_data[[#This Row],[MonthlyIncome]]&lt;10000,"Medium Income","High Income"))</f>
        <v>Low Income</v>
      </c>
      <c r="U1149" t="s">
        <v>91</v>
      </c>
      <c r="V1149" t="s">
        <v>91</v>
      </c>
      <c r="W1149" t="s">
        <v>91</v>
      </c>
      <c r="X1149" t="s">
        <v>91</v>
      </c>
      <c r="Y1149">
        <v>22102</v>
      </c>
      <c r="Z1149">
        <v>1</v>
      </c>
      <c r="AA1149" t="s">
        <v>42</v>
      </c>
      <c r="AB1149" t="s">
        <v>43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49">
        <v>10</v>
      </c>
      <c r="AJ1149" t="s">
        <v>78</v>
      </c>
      <c r="AK1149">
        <v>3</v>
      </c>
      <c r="AL1149" t="s">
        <v>78</v>
      </c>
      <c r="AM1149">
        <v>2</v>
      </c>
      <c r="AN1149" t="s">
        <v>78</v>
      </c>
      <c r="AO1149">
        <v>9</v>
      </c>
      <c r="AP1149" t="s">
        <v>78</v>
      </c>
      <c r="AQ1149">
        <v>6</v>
      </c>
      <c r="AR1149">
        <v>1</v>
      </c>
      <c r="AS1149">
        <v>4</v>
      </c>
    </row>
    <row r="1150" spans="1:4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 t="str">
        <f>IF(Employee_data[[#This Row],[MonthlyIncome]]&lt;5000,"Low Income",
IF(Employee_data[[#This Row],[MonthlyIncome]]&lt;10000,"Medium Income","High Income"))</f>
        <v>Medium Income</v>
      </c>
      <c r="U1150" t="s">
        <v>92</v>
      </c>
      <c r="V1150" t="s">
        <v>92</v>
      </c>
      <c r="W1150" t="s">
        <v>92</v>
      </c>
      <c r="X1150" t="s">
        <v>92</v>
      </c>
      <c r="Y1150">
        <v>3835</v>
      </c>
      <c r="Z1150">
        <v>2</v>
      </c>
      <c r="AA1150" t="s">
        <v>42</v>
      </c>
      <c r="AB1150" t="s">
        <v>43</v>
      </c>
      <c r="AC1150">
        <v>13</v>
      </c>
      <c r="AD1150">
        <v>3</v>
      </c>
      <c r="AE1150">
        <v>4</v>
      </c>
      <c r="AF1150">
        <v>80</v>
      </c>
      <c r="AG1150">
        <v>3</v>
      </c>
      <c r="AH11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50">
        <v>10</v>
      </c>
      <c r="AJ1150" t="s">
        <v>78</v>
      </c>
      <c r="AK1150">
        <v>3</v>
      </c>
      <c r="AL1150" t="s">
        <v>78</v>
      </c>
      <c r="AM1150">
        <v>3</v>
      </c>
      <c r="AN1150" t="s">
        <v>78</v>
      </c>
      <c r="AO1150">
        <v>7</v>
      </c>
      <c r="AP1150" t="s">
        <v>78</v>
      </c>
      <c r="AQ1150">
        <v>7</v>
      </c>
      <c r="AR1150">
        <v>7</v>
      </c>
      <c r="AS1150">
        <v>7</v>
      </c>
    </row>
    <row r="1151" spans="1:4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 t="str">
        <f>IF(Employee_data[[#This Row],[MonthlyIncome]]&lt;5000,"Low Income",
IF(Employee_data[[#This Row],[MonthlyIncome]]&lt;10000,"Medium Income","High Income"))</f>
        <v>Low Income</v>
      </c>
      <c r="U1151" t="s">
        <v>91</v>
      </c>
      <c r="V1151" t="s">
        <v>91</v>
      </c>
      <c r="W1151" t="s">
        <v>91</v>
      </c>
      <c r="X1151" t="s">
        <v>91</v>
      </c>
      <c r="Y1151">
        <v>16290</v>
      </c>
      <c r="Z1151">
        <v>1</v>
      </c>
      <c r="AA1151" t="s">
        <v>42</v>
      </c>
      <c r="AB1151" t="s">
        <v>43</v>
      </c>
      <c r="AC1151">
        <v>11</v>
      </c>
      <c r="AD1151">
        <v>3</v>
      </c>
      <c r="AE1151">
        <v>1</v>
      </c>
      <c r="AF1151">
        <v>80</v>
      </c>
      <c r="AG1151">
        <v>2</v>
      </c>
      <c r="AH11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51">
        <v>7</v>
      </c>
      <c r="AJ1151" t="s">
        <v>78</v>
      </c>
      <c r="AK1151">
        <v>3</v>
      </c>
      <c r="AL1151" t="s">
        <v>78</v>
      </c>
      <c r="AM1151">
        <v>3</v>
      </c>
      <c r="AN1151" t="s">
        <v>78</v>
      </c>
      <c r="AO1151">
        <v>7</v>
      </c>
      <c r="AP1151" t="s">
        <v>78</v>
      </c>
      <c r="AQ1151">
        <v>7</v>
      </c>
      <c r="AR1151">
        <v>0</v>
      </c>
      <c r="AS1151">
        <v>7</v>
      </c>
    </row>
    <row r="1152" spans="1:4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 t="str">
        <f>IF(Employee_data[[#This Row],[MonthlyIncome]]&lt;5000,"Low Income",
IF(Employee_data[[#This Row],[MonthlyIncome]]&lt;10000,"Medium Income","High Income"))</f>
        <v>Medium Income</v>
      </c>
      <c r="U1152" t="s">
        <v>92</v>
      </c>
      <c r="V1152" t="s">
        <v>92</v>
      </c>
      <c r="W1152" t="s">
        <v>92</v>
      </c>
      <c r="X1152" t="s">
        <v>92</v>
      </c>
      <c r="Y1152">
        <v>26312</v>
      </c>
      <c r="Z1152">
        <v>1</v>
      </c>
      <c r="AA1152" t="s">
        <v>42</v>
      </c>
      <c r="AB1152" t="s">
        <v>43</v>
      </c>
      <c r="AC1152">
        <v>11</v>
      </c>
      <c r="AD1152">
        <v>3</v>
      </c>
      <c r="AE1152">
        <v>4</v>
      </c>
      <c r="AF1152">
        <v>80</v>
      </c>
      <c r="AG1152">
        <v>0</v>
      </c>
      <c r="AH11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152">
        <v>16</v>
      </c>
      <c r="AJ1152" t="s">
        <v>76</v>
      </c>
      <c r="AK1152">
        <v>2</v>
      </c>
      <c r="AL1152" t="s">
        <v>76</v>
      </c>
      <c r="AM1152">
        <v>3</v>
      </c>
      <c r="AN1152" t="s">
        <v>76</v>
      </c>
      <c r="AO1152">
        <v>16</v>
      </c>
      <c r="AP1152" t="s">
        <v>76</v>
      </c>
      <c r="AQ1152">
        <v>15</v>
      </c>
      <c r="AR1152">
        <v>1</v>
      </c>
      <c r="AS1152">
        <v>10</v>
      </c>
    </row>
    <row r="1153" spans="1:4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 t="str">
        <f>IF(Employee_data[[#This Row],[MonthlyIncome]]&lt;5000,"Low Income",
IF(Employee_data[[#This Row],[MonthlyIncome]]&lt;10000,"Medium Income","High Income"))</f>
        <v>Low Income</v>
      </c>
      <c r="U1153" t="s">
        <v>91</v>
      </c>
      <c r="V1153" t="s">
        <v>91</v>
      </c>
      <c r="W1153" t="s">
        <v>91</v>
      </c>
      <c r="X1153" t="s">
        <v>91</v>
      </c>
      <c r="Y1153">
        <v>20460</v>
      </c>
      <c r="Z1153">
        <v>0</v>
      </c>
      <c r="AA1153" t="s">
        <v>42</v>
      </c>
      <c r="AB1153" t="s">
        <v>43</v>
      </c>
      <c r="AC1153">
        <v>21</v>
      </c>
      <c r="AD1153">
        <v>4</v>
      </c>
      <c r="AE1153">
        <v>2</v>
      </c>
      <c r="AF1153">
        <v>80</v>
      </c>
      <c r="AG1153">
        <v>1</v>
      </c>
      <c r="AH11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53">
        <v>6</v>
      </c>
      <c r="AJ1153" t="s">
        <v>78</v>
      </c>
      <c r="AK1153">
        <v>5</v>
      </c>
      <c r="AL1153" t="s">
        <v>78</v>
      </c>
      <c r="AM1153">
        <v>2</v>
      </c>
      <c r="AN1153" t="s">
        <v>78</v>
      </c>
      <c r="AO1153">
        <v>5</v>
      </c>
      <c r="AP1153" t="s">
        <v>78</v>
      </c>
      <c r="AQ1153">
        <v>3</v>
      </c>
      <c r="AR1153">
        <v>0</v>
      </c>
      <c r="AS1153">
        <v>0</v>
      </c>
    </row>
    <row r="1154" spans="1:4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 t="str">
        <f>IF(Employee_data[[#This Row],[MonthlyIncome]]&lt;5000,"Low Income",
IF(Employee_data[[#This Row],[MonthlyIncome]]&lt;10000,"Medium Income","High Income"))</f>
        <v>Low Income</v>
      </c>
      <c r="U1154" t="s">
        <v>91</v>
      </c>
      <c r="V1154" t="s">
        <v>91</v>
      </c>
      <c r="W1154" t="s">
        <v>91</v>
      </c>
      <c r="X1154" t="s">
        <v>91</v>
      </c>
      <c r="Y1154">
        <v>26009</v>
      </c>
      <c r="Z1154">
        <v>1</v>
      </c>
      <c r="AA1154" t="s">
        <v>42</v>
      </c>
      <c r="AB1154" t="s">
        <v>43</v>
      </c>
      <c r="AC1154">
        <v>18</v>
      </c>
      <c r="AD1154">
        <v>3</v>
      </c>
      <c r="AE1154">
        <v>3</v>
      </c>
      <c r="AF1154">
        <v>80</v>
      </c>
      <c r="AG1154">
        <v>0</v>
      </c>
      <c r="AH11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54">
        <v>3</v>
      </c>
      <c r="AJ1154" t="s">
        <v>74</v>
      </c>
      <c r="AK1154">
        <v>2</v>
      </c>
      <c r="AL1154" t="s">
        <v>74</v>
      </c>
      <c r="AM1154">
        <v>3</v>
      </c>
      <c r="AN1154" t="s">
        <v>74</v>
      </c>
      <c r="AO1154">
        <v>2</v>
      </c>
      <c r="AP1154" t="s">
        <v>74</v>
      </c>
      <c r="AQ1154">
        <v>2</v>
      </c>
      <c r="AR1154">
        <v>2</v>
      </c>
      <c r="AS1154">
        <v>2</v>
      </c>
    </row>
    <row r="1155" spans="1:4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 t="str">
        <f>IF(Employee_data[[#This Row],[MonthlyIncome]]&lt;5000,"Low Income",
IF(Employee_data[[#This Row],[MonthlyIncome]]&lt;10000,"Medium Income","High Income"))</f>
        <v>Low Income</v>
      </c>
      <c r="U1155" t="s">
        <v>91</v>
      </c>
      <c r="V1155" t="s">
        <v>91</v>
      </c>
      <c r="W1155" t="s">
        <v>91</v>
      </c>
      <c r="X1155" t="s">
        <v>91</v>
      </c>
      <c r="Y1155">
        <v>18420</v>
      </c>
      <c r="Z1155">
        <v>1</v>
      </c>
      <c r="AA1155" t="s">
        <v>42</v>
      </c>
      <c r="AB1155" t="s">
        <v>35</v>
      </c>
      <c r="AC1155">
        <v>12</v>
      </c>
      <c r="AD1155">
        <v>3</v>
      </c>
      <c r="AE1155">
        <v>3</v>
      </c>
      <c r="AF1155">
        <v>80</v>
      </c>
      <c r="AG1155">
        <v>0</v>
      </c>
      <c r="AH11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55">
        <v>0</v>
      </c>
      <c r="AJ1155" t="s">
        <v>74</v>
      </c>
      <c r="AK1155">
        <v>2</v>
      </c>
      <c r="AL1155" t="s">
        <v>74</v>
      </c>
      <c r="AM1155">
        <v>4</v>
      </c>
      <c r="AN1155" t="s">
        <v>74</v>
      </c>
      <c r="AO1155">
        <v>0</v>
      </c>
      <c r="AP1155" t="s">
        <v>74</v>
      </c>
      <c r="AQ1155">
        <v>0</v>
      </c>
      <c r="AR1155">
        <v>0</v>
      </c>
      <c r="AS1155">
        <v>0</v>
      </c>
    </row>
    <row r="1156" spans="1:4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 t="str">
        <f>IF(Employee_data[[#This Row],[MonthlyIncome]]&lt;5000,"Low Income",
IF(Employee_data[[#This Row],[MonthlyIncome]]&lt;10000,"Medium Income","High Income"))</f>
        <v>High Income</v>
      </c>
      <c r="U1156" t="s">
        <v>90</v>
      </c>
      <c r="V1156" t="s">
        <v>90</v>
      </c>
      <c r="W1156" t="s">
        <v>90</v>
      </c>
      <c r="X1156" t="s">
        <v>90</v>
      </c>
      <c r="Y1156">
        <v>5220</v>
      </c>
      <c r="Z1156">
        <v>3</v>
      </c>
      <c r="AA1156" t="s">
        <v>42</v>
      </c>
      <c r="AB1156" t="s">
        <v>43</v>
      </c>
      <c r="AC1156">
        <v>11</v>
      </c>
      <c r="AD1156">
        <v>3</v>
      </c>
      <c r="AE1156">
        <v>3</v>
      </c>
      <c r="AF1156">
        <v>80</v>
      </c>
      <c r="AG1156">
        <v>1</v>
      </c>
      <c r="AH11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56">
        <v>27</v>
      </c>
      <c r="AJ1156" t="s">
        <v>78</v>
      </c>
      <c r="AK1156">
        <v>2</v>
      </c>
      <c r="AL1156" t="s">
        <v>78</v>
      </c>
      <c r="AM1156">
        <v>3</v>
      </c>
      <c r="AN1156" t="s">
        <v>78</v>
      </c>
      <c r="AO1156">
        <v>5</v>
      </c>
      <c r="AP1156" t="s">
        <v>78</v>
      </c>
      <c r="AQ1156">
        <v>2</v>
      </c>
      <c r="AR1156">
        <v>1</v>
      </c>
      <c r="AS1156">
        <v>0</v>
      </c>
    </row>
    <row r="1157" spans="1:4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 t="str">
        <f>IF(Employee_data[[#This Row],[MonthlyIncome]]&lt;5000,"Low Income",
IF(Employee_data[[#This Row],[MonthlyIncome]]&lt;10000,"Medium Income","High Income"))</f>
        <v>Low Income</v>
      </c>
      <c r="U1157" t="s">
        <v>91</v>
      </c>
      <c r="V1157" t="s">
        <v>91</v>
      </c>
      <c r="W1157" t="s">
        <v>91</v>
      </c>
      <c r="X1157" t="s">
        <v>91</v>
      </c>
      <c r="Y1157">
        <v>10302</v>
      </c>
      <c r="Z1157">
        <v>0</v>
      </c>
      <c r="AA1157" t="s">
        <v>42</v>
      </c>
      <c r="AB1157" t="s">
        <v>43</v>
      </c>
      <c r="AC1157">
        <v>15</v>
      </c>
      <c r="AD1157">
        <v>3</v>
      </c>
      <c r="AE1157">
        <v>4</v>
      </c>
      <c r="AF1157">
        <v>80</v>
      </c>
      <c r="AG1157">
        <v>1</v>
      </c>
      <c r="AH11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57">
        <v>11</v>
      </c>
      <c r="AJ1157" t="s">
        <v>75</v>
      </c>
      <c r="AK1157">
        <v>3</v>
      </c>
      <c r="AL1157" t="s">
        <v>75</v>
      </c>
      <c r="AM1157">
        <v>3</v>
      </c>
      <c r="AN1157" t="s">
        <v>75</v>
      </c>
      <c r="AO1157">
        <v>10</v>
      </c>
      <c r="AP1157" t="s">
        <v>75</v>
      </c>
      <c r="AQ1157">
        <v>8</v>
      </c>
      <c r="AR1157">
        <v>0</v>
      </c>
      <c r="AS1157">
        <v>7</v>
      </c>
    </row>
    <row r="1158" spans="1:4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 t="str">
        <f>IF(Employee_data[[#This Row],[MonthlyIncome]]&lt;5000,"Low Income",
IF(Employee_data[[#This Row],[MonthlyIncome]]&lt;10000,"Medium Income","High Income"))</f>
        <v>High Income</v>
      </c>
      <c r="U1158" t="s">
        <v>90</v>
      </c>
      <c r="V1158" t="s">
        <v>90</v>
      </c>
      <c r="W1158" t="s">
        <v>90</v>
      </c>
      <c r="X1158" t="s">
        <v>90</v>
      </c>
      <c r="Y1158">
        <v>25800</v>
      </c>
      <c r="Z1158">
        <v>1</v>
      </c>
      <c r="AA1158" t="s">
        <v>42</v>
      </c>
      <c r="AB1158" t="s">
        <v>43</v>
      </c>
      <c r="AC1158">
        <v>13</v>
      </c>
      <c r="AD1158">
        <v>3</v>
      </c>
      <c r="AE1158">
        <v>4</v>
      </c>
      <c r="AF1158">
        <v>80</v>
      </c>
      <c r="AG1158">
        <v>2</v>
      </c>
      <c r="AH11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158">
        <v>18</v>
      </c>
      <c r="AJ1158" t="s">
        <v>76</v>
      </c>
      <c r="AK1158">
        <v>2</v>
      </c>
      <c r="AL1158" t="s">
        <v>76</v>
      </c>
      <c r="AM1158">
        <v>3</v>
      </c>
      <c r="AN1158" t="s">
        <v>76</v>
      </c>
      <c r="AO1158">
        <v>18</v>
      </c>
      <c r="AP1158" t="s">
        <v>76</v>
      </c>
      <c r="AQ1158">
        <v>15</v>
      </c>
      <c r="AR1158">
        <v>14</v>
      </c>
      <c r="AS1158">
        <v>12</v>
      </c>
    </row>
    <row r="1159" spans="1:4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 t="str">
        <f>IF(Employee_data[[#This Row],[MonthlyIncome]]&lt;5000,"Low Income",
IF(Employee_data[[#This Row],[MonthlyIncome]]&lt;10000,"Medium Income","High Income"))</f>
        <v>Low Income</v>
      </c>
      <c r="U1159" t="s">
        <v>91</v>
      </c>
      <c r="V1159" t="s">
        <v>91</v>
      </c>
      <c r="W1159" t="s">
        <v>91</v>
      </c>
      <c r="X1159" t="s">
        <v>91</v>
      </c>
      <c r="Y1159">
        <v>12250</v>
      </c>
      <c r="Z1159">
        <v>1</v>
      </c>
      <c r="AA1159" t="s">
        <v>42</v>
      </c>
      <c r="AB1159" t="s">
        <v>43</v>
      </c>
      <c r="AC1159">
        <v>12</v>
      </c>
      <c r="AD1159">
        <v>3</v>
      </c>
      <c r="AE1159">
        <v>4</v>
      </c>
      <c r="AF1159">
        <v>80</v>
      </c>
      <c r="AG1159">
        <v>1</v>
      </c>
      <c r="AH11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59">
        <v>15</v>
      </c>
      <c r="AJ1159" t="s">
        <v>75</v>
      </c>
      <c r="AK1159">
        <v>5</v>
      </c>
      <c r="AL1159" t="s">
        <v>75</v>
      </c>
      <c r="AM1159">
        <v>3</v>
      </c>
      <c r="AN1159" t="s">
        <v>75</v>
      </c>
      <c r="AO1159">
        <v>14</v>
      </c>
      <c r="AP1159" t="s">
        <v>75</v>
      </c>
      <c r="AQ1159">
        <v>11</v>
      </c>
      <c r="AR1159">
        <v>2</v>
      </c>
      <c r="AS1159">
        <v>9</v>
      </c>
    </row>
    <row r="1160" spans="1:4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 t="str">
        <f>IF(Employee_data[[#This Row],[MonthlyIncome]]&lt;5000,"Low Income",
IF(Employee_data[[#This Row],[MonthlyIncome]]&lt;10000,"Medium Income","High Income"))</f>
        <v>Medium Income</v>
      </c>
      <c r="U1160" t="s">
        <v>92</v>
      </c>
      <c r="V1160" t="s">
        <v>92</v>
      </c>
      <c r="W1160" t="s">
        <v>92</v>
      </c>
      <c r="X1160" t="s">
        <v>92</v>
      </c>
      <c r="Y1160">
        <v>26493</v>
      </c>
      <c r="Z1160">
        <v>3</v>
      </c>
      <c r="AA1160" t="s">
        <v>42</v>
      </c>
      <c r="AB1160" t="s">
        <v>43</v>
      </c>
      <c r="AC1160">
        <v>17</v>
      </c>
      <c r="AD1160">
        <v>3</v>
      </c>
      <c r="AE1160">
        <v>1</v>
      </c>
      <c r="AF1160">
        <v>80</v>
      </c>
      <c r="AG1160">
        <v>3</v>
      </c>
      <c r="AH11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60">
        <v>9</v>
      </c>
      <c r="AJ1160" t="s">
        <v>74</v>
      </c>
      <c r="AK1160">
        <v>2</v>
      </c>
      <c r="AL1160" t="s">
        <v>74</v>
      </c>
      <c r="AM1160">
        <v>2</v>
      </c>
      <c r="AN1160" t="s">
        <v>74</v>
      </c>
      <c r="AO1160">
        <v>4</v>
      </c>
      <c r="AP1160" t="s">
        <v>74</v>
      </c>
      <c r="AQ1160">
        <v>3</v>
      </c>
      <c r="AR1160">
        <v>0</v>
      </c>
      <c r="AS1160">
        <v>2</v>
      </c>
    </row>
    <row r="1161" spans="1:4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 t="str">
        <f>IF(Employee_data[[#This Row],[MonthlyIncome]]&lt;5000,"Low Income",
IF(Employee_data[[#This Row],[MonthlyIncome]]&lt;10000,"Medium Income","High Income"))</f>
        <v>Medium Income</v>
      </c>
      <c r="U1161" t="s">
        <v>92</v>
      </c>
      <c r="V1161" t="s">
        <v>92</v>
      </c>
      <c r="W1161" t="s">
        <v>92</v>
      </c>
      <c r="X1161" t="s">
        <v>92</v>
      </c>
      <c r="Y1161">
        <v>3140</v>
      </c>
      <c r="Z1161">
        <v>0</v>
      </c>
      <c r="AA1161" t="s">
        <v>42</v>
      </c>
      <c r="AB1161" t="s">
        <v>43</v>
      </c>
      <c r="AC1161">
        <v>13</v>
      </c>
      <c r="AD1161">
        <v>3</v>
      </c>
      <c r="AE1161">
        <v>4</v>
      </c>
      <c r="AF1161">
        <v>80</v>
      </c>
      <c r="AG1161">
        <v>0</v>
      </c>
      <c r="AH11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61">
        <v>10</v>
      </c>
      <c r="AJ1161" t="s">
        <v>78</v>
      </c>
      <c r="AK1161">
        <v>2</v>
      </c>
      <c r="AL1161" t="s">
        <v>78</v>
      </c>
      <c r="AM1161">
        <v>1</v>
      </c>
      <c r="AN1161" t="s">
        <v>78</v>
      </c>
      <c r="AO1161">
        <v>9</v>
      </c>
      <c r="AP1161" t="s">
        <v>78</v>
      </c>
      <c r="AQ1161">
        <v>2</v>
      </c>
      <c r="AR1161">
        <v>3</v>
      </c>
      <c r="AS1161">
        <v>8</v>
      </c>
    </row>
    <row r="1162" spans="1:4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 t="str">
        <f>IF(Employee_data[[#This Row],[MonthlyIncome]]&lt;5000,"Low Income",
IF(Employee_data[[#This Row],[MonthlyIncome]]&lt;10000,"Medium Income","High Income"))</f>
        <v>Medium Income</v>
      </c>
      <c r="U1162" t="s">
        <v>92</v>
      </c>
      <c r="V1162" t="s">
        <v>92</v>
      </c>
      <c r="W1162" t="s">
        <v>92</v>
      </c>
      <c r="X1162" t="s">
        <v>92</v>
      </c>
      <c r="Y1162">
        <v>5388</v>
      </c>
      <c r="Z1162">
        <v>1</v>
      </c>
      <c r="AA1162" t="s">
        <v>42</v>
      </c>
      <c r="AB1162" t="s">
        <v>43</v>
      </c>
      <c r="AC1162">
        <v>19</v>
      </c>
      <c r="AD1162">
        <v>3</v>
      </c>
      <c r="AE1162">
        <v>1</v>
      </c>
      <c r="AF1162">
        <v>80</v>
      </c>
      <c r="AG1162">
        <v>2</v>
      </c>
      <c r="AH11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62">
        <v>10</v>
      </c>
      <c r="AJ1162" t="s">
        <v>75</v>
      </c>
      <c r="AK1162">
        <v>3</v>
      </c>
      <c r="AL1162" t="s">
        <v>75</v>
      </c>
      <c r="AM1162">
        <v>3</v>
      </c>
      <c r="AN1162" t="s">
        <v>75</v>
      </c>
      <c r="AO1162">
        <v>10</v>
      </c>
      <c r="AP1162" t="s">
        <v>75</v>
      </c>
      <c r="AQ1162">
        <v>7</v>
      </c>
      <c r="AR1162">
        <v>3</v>
      </c>
      <c r="AS1162">
        <v>9</v>
      </c>
    </row>
    <row r="1163" spans="1:4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 t="str">
        <f>IF(Employee_data[[#This Row],[MonthlyIncome]]&lt;5000,"Low Income",
IF(Employee_data[[#This Row],[MonthlyIncome]]&lt;10000,"Medium Income","High Income"))</f>
        <v>Medium Income</v>
      </c>
      <c r="U1163" t="s">
        <v>92</v>
      </c>
      <c r="V1163" t="s">
        <v>92</v>
      </c>
      <c r="W1163" t="s">
        <v>92</v>
      </c>
      <c r="X1163" t="s">
        <v>92</v>
      </c>
      <c r="Y1163">
        <v>14199</v>
      </c>
      <c r="Z1163">
        <v>3</v>
      </c>
      <c r="AA1163" t="s">
        <v>42</v>
      </c>
      <c r="AB1163" t="s">
        <v>35</v>
      </c>
      <c r="AC1163">
        <v>19</v>
      </c>
      <c r="AD1163">
        <v>3</v>
      </c>
      <c r="AE1163">
        <v>4</v>
      </c>
      <c r="AF1163">
        <v>80</v>
      </c>
      <c r="AG1163">
        <v>1</v>
      </c>
      <c r="AH11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63">
        <v>10</v>
      </c>
      <c r="AJ1163" t="s">
        <v>78</v>
      </c>
      <c r="AK1163">
        <v>6</v>
      </c>
      <c r="AL1163" t="s">
        <v>78</v>
      </c>
      <c r="AM1163">
        <v>4</v>
      </c>
      <c r="AN1163" t="s">
        <v>78</v>
      </c>
      <c r="AO1163">
        <v>5</v>
      </c>
      <c r="AP1163" t="s">
        <v>78</v>
      </c>
      <c r="AQ1163">
        <v>4</v>
      </c>
      <c r="AR1163">
        <v>0</v>
      </c>
      <c r="AS1163">
        <v>2</v>
      </c>
    </row>
    <row r="1164" spans="1:4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 t="str">
        <f>IF(Employee_data[[#This Row],[MonthlyIncome]]&lt;5000,"Low Income",
IF(Employee_data[[#This Row],[MonthlyIncome]]&lt;10000,"Medium Income","High Income"))</f>
        <v>High Income</v>
      </c>
      <c r="U1164" t="s">
        <v>90</v>
      </c>
      <c r="V1164" t="s">
        <v>90</v>
      </c>
      <c r="W1164" t="s">
        <v>90</v>
      </c>
      <c r="X1164" t="s">
        <v>90</v>
      </c>
      <c r="Y1164">
        <v>21530</v>
      </c>
      <c r="Z1164">
        <v>9</v>
      </c>
      <c r="AA1164" t="s">
        <v>42</v>
      </c>
      <c r="AB1164" t="s">
        <v>43</v>
      </c>
      <c r="AC1164">
        <v>17</v>
      </c>
      <c r="AD1164">
        <v>3</v>
      </c>
      <c r="AE1164">
        <v>3</v>
      </c>
      <c r="AF1164">
        <v>80</v>
      </c>
      <c r="AG1164">
        <v>0</v>
      </c>
      <c r="AH11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64">
        <v>15</v>
      </c>
      <c r="AJ1164" t="s">
        <v>75</v>
      </c>
      <c r="AK1164">
        <v>3</v>
      </c>
      <c r="AL1164" t="s">
        <v>75</v>
      </c>
      <c r="AM1164">
        <v>3</v>
      </c>
      <c r="AN1164" t="s">
        <v>75</v>
      </c>
      <c r="AO1164">
        <v>13</v>
      </c>
      <c r="AP1164" t="s">
        <v>75</v>
      </c>
      <c r="AQ1164">
        <v>12</v>
      </c>
      <c r="AR1164">
        <v>6</v>
      </c>
      <c r="AS1164">
        <v>0</v>
      </c>
    </row>
    <row r="1165" spans="1:4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 t="str">
        <f>IF(Employee_data[[#This Row],[MonthlyIncome]]&lt;5000,"Low Income",
IF(Employee_data[[#This Row],[MonthlyIncome]]&lt;10000,"Medium Income","High Income"))</f>
        <v>Low Income</v>
      </c>
      <c r="U1165" t="s">
        <v>91</v>
      </c>
      <c r="V1165" t="s">
        <v>91</v>
      </c>
      <c r="W1165" t="s">
        <v>91</v>
      </c>
      <c r="X1165" t="s">
        <v>91</v>
      </c>
      <c r="Y1165">
        <v>9953</v>
      </c>
      <c r="Z1165">
        <v>1</v>
      </c>
      <c r="AA1165" t="s">
        <v>42</v>
      </c>
      <c r="AB1165" t="s">
        <v>43</v>
      </c>
      <c r="AC1165">
        <v>11</v>
      </c>
      <c r="AD1165">
        <v>3</v>
      </c>
      <c r="AE1165">
        <v>1</v>
      </c>
      <c r="AF1165">
        <v>80</v>
      </c>
      <c r="AG1165">
        <v>1</v>
      </c>
      <c r="AH11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65">
        <v>8</v>
      </c>
      <c r="AJ1165" t="s">
        <v>78</v>
      </c>
      <c r="AK1165">
        <v>2</v>
      </c>
      <c r="AL1165" t="s">
        <v>78</v>
      </c>
      <c r="AM1165">
        <v>1</v>
      </c>
      <c r="AN1165" t="s">
        <v>78</v>
      </c>
      <c r="AO1165">
        <v>8</v>
      </c>
      <c r="AP1165" t="s">
        <v>78</v>
      </c>
      <c r="AQ1165">
        <v>4</v>
      </c>
      <c r="AR1165">
        <v>7</v>
      </c>
      <c r="AS1165">
        <v>7</v>
      </c>
    </row>
    <row r="1166" spans="1:4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 t="str">
        <f>IF(Employee_data[[#This Row],[MonthlyIncome]]&lt;5000,"Low Income",
IF(Employee_data[[#This Row],[MonthlyIncome]]&lt;10000,"Medium Income","High Income"))</f>
        <v>Medium Income</v>
      </c>
      <c r="U1166" t="s">
        <v>92</v>
      </c>
      <c r="V1166" t="s">
        <v>92</v>
      </c>
      <c r="W1166" t="s">
        <v>92</v>
      </c>
      <c r="X1166" t="s">
        <v>92</v>
      </c>
      <c r="Y1166">
        <v>19948</v>
      </c>
      <c r="Z1166">
        <v>6</v>
      </c>
      <c r="AA1166" t="s">
        <v>42</v>
      </c>
      <c r="AB1166" t="s">
        <v>35</v>
      </c>
      <c r="AC1166">
        <v>15</v>
      </c>
      <c r="AD1166">
        <v>3</v>
      </c>
      <c r="AE1166">
        <v>4</v>
      </c>
      <c r="AF1166">
        <v>80</v>
      </c>
      <c r="AG1166">
        <v>0</v>
      </c>
      <c r="AH11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66">
        <v>18</v>
      </c>
      <c r="AJ1166" t="s">
        <v>74</v>
      </c>
      <c r="AK1166">
        <v>2</v>
      </c>
      <c r="AL1166" t="s">
        <v>74</v>
      </c>
      <c r="AM1166">
        <v>2</v>
      </c>
      <c r="AN1166" t="s">
        <v>74</v>
      </c>
      <c r="AO1166">
        <v>4</v>
      </c>
      <c r="AP1166" t="s">
        <v>74</v>
      </c>
      <c r="AQ1166">
        <v>2</v>
      </c>
      <c r="AR1166">
        <v>3</v>
      </c>
      <c r="AS1166">
        <v>3</v>
      </c>
    </row>
    <row r="1167" spans="1:4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 t="str">
        <f>IF(Employee_data[[#This Row],[MonthlyIncome]]&lt;5000,"Low Income",
IF(Employee_data[[#This Row],[MonthlyIncome]]&lt;10000,"Medium Income","High Income"))</f>
        <v>Medium Income</v>
      </c>
      <c r="U1167" t="s">
        <v>92</v>
      </c>
      <c r="V1167" t="s">
        <v>92</v>
      </c>
      <c r="W1167" t="s">
        <v>92</v>
      </c>
      <c r="X1167" t="s">
        <v>92</v>
      </c>
      <c r="Y1167">
        <v>10503</v>
      </c>
      <c r="Z1167">
        <v>4</v>
      </c>
      <c r="AA1167" t="s">
        <v>42</v>
      </c>
      <c r="AB1167" t="s">
        <v>35</v>
      </c>
      <c r="AC1167">
        <v>11</v>
      </c>
      <c r="AD1167">
        <v>3</v>
      </c>
      <c r="AE1167">
        <v>3</v>
      </c>
      <c r="AF1167">
        <v>80</v>
      </c>
      <c r="AG1167">
        <v>0</v>
      </c>
      <c r="AH11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67">
        <v>14</v>
      </c>
      <c r="AJ1167" t="s">
        <v>75</v>
      </c>
      <c r="AK1167">
        <v>3</v>
      </c>
      <c r="AL1167" t="s">
        <v>75</v>
      </c>
      <c r="AM1167">
        <v>3</v>
      </c>
      <c r="AN1167" t="s">
        <v>75</v>
      </c>
      <c r="AO1167">
        <v>10</v>
      </c>
      <c r="AP1167" t="s">
        <v>75</v>
      </c>
      <c r="AQ1167">
        <v>7</v>
      </c>
      <c r="AR1167">
        <v>0</v>
      </c>
      <c r="AS1167">
        <v>2</v>
      </c>
    </row>
    <row r="1168" spans="1:4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 t="str">
        <f>IF(Employee_data[[#This Row],[MonthlyIncome]]&lt;5000,"Low Income",
IF(Employee_data[[#This Row],[MonthlyIncome]]&lt;10000,"Medium Income","High Income"))</f>
        <v>High Income</v>
      </c>
      <c r="U1168" t="s">
        <v>90</v>
      </c>
      <c r="V1168" t="s">
        <v>90</v>
      </c>
      <c r="W1168" t="s">
        <v>90</v>
      </c>
      <c r="X1168" t="s">
        <v>90</v>
      </c>
      <c r="Y1168">
        <v>5602</v>
      </c>
      <c r="Z1168">
        <v>2</v>
      </c>
      <c r="AA1168" t="s">
        <v>42</v>
      </c>
      <c r="AB1168" t="s">
        <v>43</v>
      </c>
      <c r="AC1168">
        <v>25</v>
      </c>
      <c r="AD1168">
        <v>4</v>
      </c>
      <c r="AE1168">
        <v>2</v>
      </c>
      <c r="AF1168">
        <v>80</v>
      </c>
      <c r="AG1168">
        <v>1</v>
      </c>
      <c r="AH11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68">
        <v>23</v>
      </c>
      <c r="AJ1168" t="s">
        <v>74</v>
      </c>
      <c r="AK1168">
        <v>3</v>
      </c>
      <c r="AL1168" t="s">
        <v>74</v>
      </c>
      <c r="AM1168">
        <v>3</v>
      </c>
      <c r="AN1168" t="s">
        <v>74</v>
      </c>
      <c r="AO1168">
        <v>2</v>
      </c>
      <c r="AP1168" t="s">
        <v>74</v>
      </c>
      <c r="AQ1168">
        <v>2</v>
      </c>
      <c r="AR1168">
        <v>2</v>
      </c>
      <c r="AS1168">
        <v>2</v>
      </c>
    </row>
    <row r="1169" spans="1:4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 t="str">
        <f>IF(Employee_data[[#This Row],[MonthlyIncome]]&lt;5000,"Low Income",
IF(Employee_data[[#This Row],[MonthlyIncome]]&lt;10000,"Medium Income","High Income"))</f>
        <v>Medium Income</v>
      </c>
      <c r="U1169" t="s">
        <v>92</v>
      </c>
      <c r="V1169" t="s">
        <v>92</v>
      </c>
      <c r="W1169" t="s">
        <v>92</v>
      </c>
      <c r="X1169" t="s">
        <v>92</v>
      </c>
      <c r="Y1169">
        <v>22098</v>
      </c>
      <c r="Z1169">
        <v>6</v>
      </c>
      <c r="AA1169" t="s">
        <v>42</v>
      </c>
      <c r="AB1169" t="s">
        <v>35</v>
      </c>
      <c r="AC1169">
        <v>14</v>
      </c>
      <c r="AD1169">
        <v>3</v>
      </c>
      <c r="AE1169">
        <v>4</v>
      </c>
      <c r="AF1169">
        <v>80</v>
      </c>
      <c r="AG1169">
        <v>2</v>
      </c>
      <c r="AH11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69">
        <v>7</v>
      </c>
      <c r="AJ1169" t="s">
        <v>74</v>
      </c>
      <c r="AK1169">
        <v>2</v>
      </c>
      <c r="AL1169" t="s">
        <v>74</v>
      </c>
      <c r="AM1169">
        <v>2</v>
      </c>
      <c r="AN1169" t="s">
        <v>74</v>
      </c>
      <c r="AO1169">
        <v>2</v>
      </c>
      <c r="AP1169" t="s">
        <v>74</v>
      </c>
      <c r="AQ1169">
        <v>2</v>
      </c>
      <c r="AR1169">
        <v>2</v>
      </c>
      <c r="AS1169">
        <v>2</v>
      </c>
    </row>
    <row r="1170" spans="1:4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 t="str">
        <f>IF(Employee_data[[#This Row],[MonthlyIncome]]&lt;5000,"Low Income",
IF(Employee_data[[#This Row],[MonthlyIncome]]&lt;10000,"Medium Income","High Income"))</f>
        <v>Low Income</v>
      </c>
      <c r="U1170" t="s">
        <v>91</v>
      </c>
      <c r="V1170" t="s">
        <v>91</v>
      </c>
      <c r="W1170" t="s">
        <v>91</v>
      </c>
      <c r="X1170" t="s">
        <v>91</v>
      </c>
      <c r="Y1170">
        <v>17218</v>
      </c>
      <c r="Z1170">
        <v>1</v>
      </c>
      <c r="AA1170" t="s">
        <v>42</v>
      </c>
      <c r="AB1170" t="s">
        <v>35</v>
      </c>
      <c r="AC1170">
        <v>13</v>
      </c>
      <c r="AD1170">
        <v>3</v>
      </c>
      <c r="AE1170">
        <v>3</v>
      </c>
      <c r="AF1170">
        <v>80</v>
      </c>
      <c r="AG1170">
        <v>0</v>
      </c>
      <c r="AH11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70">
        <v>6</v>
      </c>
      <c r="AJ1170" t="s">
        <v>78</v>
      </c>
      <c r="AK1170">
        <v>2</v>
      </c>
      <c r="AL1170" t="s">
        <v>78</v>
      </c>
      <c r="AM1170">
        <v>3</v>
      </c>
      <c r="AN1170" t="s">
        <v>78</v>
      </c>
      <c r="AO1170">
        <v>6</v>
      </c>
      <c r="AP1170" t="s">
        <v>78</v>
      </c>
      <c r="AQ1170">
        <v>3</v>
      </c>
      <c r="AR1170">
        <v>1</v>
      </c>
      <c r="AS1170">
        <v>3</v>
      </c>
    </row>
    <row r="1171" spans="1:4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 t="str">
        <f>IF(Employee_data[[#This Row],[MonthlyIncome]]&lt;5000,"Low Income",
IF(Employee_data[[#This Row],[MonthlyIncome]]&lt;10000,"Medium Income","High Income"))</f>
        <v>Low Income</v>
      </c>
      <c r="U1171" t="s">
        <v>91</v>
      </c>
      <c r="V1171" t="s">
        <v>91</v>
      </c>
      <c r="W1171" t="s">
        <v>91</v>
      </c>
      <c r="X1171" t="s">
        <v>91</v>
      </c>
      <c r="Y1171">
        <v>22490</v>
      </c>
      <c r="Z1171">
        <v>7</v>
      </c>
      <c r="AA1171" t="s">
        <v>42</v>
      </c>
      <c r="AB1171" t="s">
        <v>43</v>
      </c>
      <c r="AC1171">
        <v>17</v>
      </c>
      <c r="AD1171">
        <v>3</v>
      </c>
      <c r="AE1171">
        <v>1</v>
      </c>
      <c r="AF1171">
        <v>80</v>
      </c>
      <c r="AG1171">
        <v>0</v>
      </c>
      <c r="AH11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71">
        <v>5</v>
      </c>
      <c r="AJ1171" t="s">
        <v>74</v>
      </c>
      <c r="AK1171">
        <v>0</v>
      </c>
      <c r="AL1171" t="s">
        <v>74</v>
      </c>
      <c r="AM1171">
        <v>3</v>
      </c>
      <c r="AN1171" t="s">
        <v>74</v>
      </c>
      <c r="AO1171">
        <v>3</v>
      </c>
      <c r="AP1171" t="s">
        <v>74</v>
      </c>
      <c r="AQ1171">
        <v>2</v>
      </c>
      <c r="AR1171">
        <v>0</v>
      </c>
      <c r="AS1171">
        <v>2</v>
      </c>
    </row>
    <row r="1172" spans="1:4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 t="str">
        <f>IF(Employee_data[[#This Row],[MonthlyIncome]]&lt;5000,"Low Income",
IF(Employee_data[[#This Row],[MonthlyIncome]]&lt;10000,"Medium Income","High Income"))</f>
        <v>Low Income</v>
      </c>
      <c r="U1172" t="s">
        <v>91</v>
      </c>
      <c r="V1172" t="s">
        <v>91</v>
      </c>
      <c r="W1172" t="s">
        <v>91</v>
      </c>
      <c r="X1172" t="s">
        <v>91</v>
      </c>
      <c r="Y1172">
        <v>6297</v>
      </c>
      <c r="Z1172">
        <v>2</v>
      </c>
      <c r="AA1172" t="s">
        <v>42</v>
      </c>
      <c r="AB1172" t="s">
        <v>43</v>
      </c>
      <c r="AC1172">
        <v>13</v>
      </c>
      <c r="AD1172">
        <v>3</v>
      </c>
      <c r="AE1172">
        <v>3</v>
      </c>
      <c r="AF1172">
        <v>80</v>
      </c>
      <c r="AG1172">
        <v>0</v>
      </c>
      <c r="AH11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72">
        <v>6</v>
      </c>
      <c r="AJ1172" t="s">
        <v>74</v>
      </c>
      <c r="AK1172">
        <v>0</v>
      </c>
      <c r="AL1172" t="s">
        <v>74</v>
      </c>
      <c r="AM1172">
        <v>2</v>
      </c>
      <c r="AN1172" t="s">
        <v>74</v>
      </c>
      <c r="AO1172">
        <v>4</v>
      </c>
      <c r="AP1172" t="s">
        <v>74</v>
      </c>
      <c r="AQ1172">
        <v>2</v>
      </c>
      <c r="AR1172">
        <v>1</v>
      </c>
      <c r="AS1172">
        <v>2</v>
      </c>
    </row>
    <row r="1173" spans="1:4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 t="str">
        <f>IF(Employee_data[[#This Row],[MonthlyIncome]]&lt;5000,"Low Income",
IF(Employee_data[[#This Row],[MonthlyIncome]]&lt;10000,"Medium Income","High Income"))</f>
        <v>Low Income</v>
      </c>
      <c r="U1173" t="s">
        <v>91</v>
      </c>
      <c r="V1173" t="s">
        <v>91</v>
      </c>
      <c r="W1173" t="s">
        <v>91</v>
      </c>
      <c r="X1173" t="s">
        <v>91</v>
      </c>
      <c r="Y1173">
        <v>3339</v>
      </c>
      <c r="Z1173">
        <v>3</v>
      </c>
      <c r="AA1173" t="s">
        <v>42</v>
      </c>
      <c r="AB1173" t="s">
        <v>35</v>
      </c>
      <c r="AC1173">
        <v>14</v>
      </c>
      <c r="AD1173">
        <v>3</v>
      </c>
      <c r="AE1173">
        <v>2</v>
      </c>
      <c r="AF1173">
        <v>80</v>
      </c>
      <c r="AG1173">
        <v>0</v>
      </c>
      <c r="AH11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73">
        <v>10</v>
      </c>
      <c r="AJ1173" t="s">
        <v>74</v>
      </c>
      <c r="AK1173">
        <v>3</v>
      </c>
      <c r="AL1173" t="s">
        <v>74</v>
      </c>
      <c r="AM1173">
        <v>1</v>
      </c>
      <c r="AN1173" t="s">
        <v>74</v>
      </c>
      <c r="AO1173">
        <v>4</v>
      </c>
      <c r="AP1173" t="s">
        <v>74</v>
      </c>
      <c r="AQ1173">
        <v>2</v>
      </c>
      <c r="AR1173">
        <v>0</v>
      </c>
      <c r="AS1173">
        <v>3</v>
      </c>
    </row>
    <row r="1174" spans="1:4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 t="str">
        <f>IF(Employee_data[[#This Row],[MonthlyIncome]]&lt;5000,"Low Income",
IF(Employee_data[[#This Row],[MonthlyIncome]]&lt;10000,"Medium Income","High Income"))</f>
        <v>Medium Income</v>
      </c>
      <c r="U1174" t="s">
        <v>92</v>
      </c>
      <c r="V1174" t="s">
        <v>92</v>
      </c>
      <c r="W1174" t="s">
        <v>92</v>
      </c>
      <c r="X1174" t="s">
        <v>92</v>
      </c>
      <c r="Y1174">
        <v>23413</v>
      </c>
      <c r="Z1174">
        <v>9</v>
      </c>
      <c r="AA1174" t="s">
        <v>42</v>
      </c>
      <c r="AB1174" t="s">
        <v>43</v>
      </c>
      <c r="AC1174">
        <v>11</v>
      </c>
      <c r="AD1174">
        <v>3</v>
      </c>
      <c r="AE1174">
        <v>3</v>
      </c>
      <c r="AF1174">
        <v>80</v>
      </c>
      <c r="AG1174">
        <v>0</v>
      </c>
      <c r="AH11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74">
        <v>8</v>
      </c>
      <c r="AJ1174" t="s">
        <v>78</v>
      </c>
      <c r="AK1174">
        <v>2</v>
      </c>
      <c r="AL1174" t="s">
        <v>78</v>
      </c>
      <c r="AM1174">
        <v>3</v>
      </c>
      <c r="AN1174" t="s">
        <v>78</v>
      </c>
      <c r="AO1174">
        <v>5</v>
      </c>
      <c r="AP1174" t="s">
        <v>78</v>
      </c>
      <c r="AQ1174">
        <v>2</v>
      </c>
      <c r="AR1174">
        <v>1</v>
      </c>
      <c r="AS1174">
        <v>4</v>
      </c>
    </row>
    <row r="1175" spans="1:4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 t="str">
        <f>IF(Employee_data[[#This Row],[MonthlyIncome]]&lt;5000,"Low Income",
IF(Employee_data[[#This Row],[MonthlyIncome]]&lt;10000,"Medium Income","High Income"))</f>
        <v>Medium Income</v>
      </c>
      <c r="U1175" t="s">
        <v>92</v>
      </c>
      <c r="V1175" t="s">
        <v>92</v>
      </c>
      <c r="W1175" t="s">
        <v>92</v>
      </c>
      <c r="X1175" t="s">
        <v>92</v>
      </c>
      <c r="Y1175">
        <v>22792</v>
      </c>
      <c r="Z1175">
        <v>4</v>
      </c>
      <c r="AA1175" t="s">
        <v>42</v>
      </c>
      <c r="AB1175" t="s">
        <v>43</v>
      </c>
      <c r="AC1175">
        <v>12</v>
      </c>
      <c r="AD1175">
        <v>3</v>
      </c>
      <c r="AE1175">
        <v>3</v>
      </c>
      <c r="AF1175">
        <v>80</v>
      </c>
      <c r="AG1175">
        <v>2</v>
      </c>
      <c r="AH11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75">
        <v>9</v>
      </c>
      <c r="AJ1175" t="s">
        <v>74</v>
      </c>
      <c r="AK1175">
        <v>6</v>
      </c>
      <c r="AL1175" t="s">
        <v>74</v>
      </c>
      <c r="AM1175">
        <v>3</v>
      </c>
      <c r="AN1175" t="s">
        <v>74</v>
      </c>
      <c r="AO1175">
        <v>3</v>
      </c>
      <c r="AP1175" t="s">
        <v>74</v>
      </c>
      <c r="AQ1175">
        <v>2</v>
      </c>
      <c r="AR1175">
        <v>0</v>
      </c>
      <c r="AS1175">
        <v>2</v>
      </c>
    </row>
    <row r="1176" spans="1:4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 t="str">
        <f>IF(Employee_data[[#This Row],[MonthlyIncome]]&lt;5000,"Low Income",
IF(Employee_data[[#This Row],[MonthlyIncome]]&lt;10000,"Medium Income","High Income"))</f>
        <v>Medium Income</v>
      </c>
      <c r="U1176" t="s">
        <v>92</v>
      </c>
      <c r="V1176" t="s">
        <v>92</v>
      </c>
      <c r="W1176" t="s">
        <v>92</v>
      </c>
      <c r="X1176" t="s">
        <v>92</v>
      </c>
      <c r="Y1176">
        <v>4973</v>
      </c>
      <c r="Z1176">
        <v>1</v>
      </c>
      <c r="AA1176" t="s">
        <v>42</v>
      </c>
      <c r="AB1176" t="s">
        <v>43</v>
      </c>
      <c r="AC1176">
        <v>17</v>
      </c>
      <c r="AD1176">
        <v>3</v>
      </c>
      <c r="AE1176">
        <v>3</v>
      </c>
      <c r="AF1176">
        <v>80</v>
      </c>
      <c r="AG1176">
        <v>2</v>
      </c>
      <c r="AH11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76">
        <v>7</v>
      </c>
      <c r="AJ1176" t="s">
        <v>78</v>
      </c>
      <c r="AK1176">
        <v>6</v>
      </c>
      <c r="AL1176" t="s">
        <v>78</v>
      </c>
      <c r="AM1176">
        <v>3</v>
      </c>
      <c r="AN1176" t="s">
        <v>78</v>
      </c>
      <c r="AO1176">
        <v>7</v>
      </c>
      <c r="AP1176" t="s">
        <v>78</v>
      </c>
      <c r="AQ1176">
        <v>7</v>
      </c>
      <c r="AR1176">
        <v>0</v>
      </c>
      <c r="AS1176">
        <v>7</v>
      </c>
    </row>
    <row r="1177" spans="1:4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 t="str">
        <f>IF(Employee_data[[#This Row],[MonthlyIncome]]&lt;5000,"Low Income",
IF(Employee_data[[#This Row],[MonthlyIncome]]&lt;10000,"Medium Income","High Income"))</f>
        <v>Medium Income</v>
      </c>
      <c r="U1177" t="s">
        <v>92</v>
      </c>
      <c r="V1177" t="s">
        <v>92</v>
      </c>
      <c r="W1177" t="s">
        <v>92</v>
      </c>
      <c r="X1177" t="s">
        <v>92</v>
      </c>
      <c r="Y1177">
        <v>7693</v>
      </c>
      <c r="Z1177">
        <v>4</v>
      </c>
      <c r="AA1177" t="s">
        <v>42</v>
      </c>
      <c r="AB1177" t="s">
        <v>43</v>
      </c>
      <c r="AC1177">
        <v>21</v>
      </c>
      <c r="AD1177">
        <v>4</v>
      </c>
      <c r="AE1177">
        <v>3</v>
      </c>
      <c r="AF1177">
        <v>80</v>
      </c>
      <c r="AG1177">
        <v>0</v>
      </c>
      <c r="AH11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77">
        <v>7</v>
      </c>
      <c r="AJ1177" t="s">
        <v>78</v>
      </c>
      <c r="AK1177">
        <v>3</v>
      </c>
      <c r="AL1177" t="s">
        <v>78</v>
      </c>
      <c r="AM1177">
        <v>3</v>
      </c>
      <c r="AN1177" t="s">
        <v>78</v>
      </c>
      <c r="AO1177">
        <v>5</v>
      </c>
      <c r="AP1177" t="s">
        <v>78</v>
      </c>
      <c r="AQ1177">
        <v>4</v>
      </c>
      <c r="AR1177">
        <v>1</v>
      </c>
      <c r="AS1177">
        <v>0</v>
      </c>
    </row>
    <row r="1178" spans="1:4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 t="str">
        <f>IF(Employee_data[[#This Row],[MonthlyIncome]]&lt;5000,"Low Income",
IF(Employee_data[[#This Row],[MonthlyIncome]]&lt;10000,"Medium Income","High Income"))</f>
        <v>High Income</v>
      </c>
      <c r="U1178" t="s">
        <v>90</v>
      </c>
      <c r="V1178" t="s">
        <v>90</v>
      </c>
      <c r="W1178" t="s">
        <v>90</v>
      </c>
      <c r="X1178" t="s">
        <v>90</v>
      </c>
      <c r="Y1178">
        <v>3498</v>
      </c>
      <c r="Z1178">
        <v>3</v>
      </c>
      <c r="AA1178" t="s">
        <v>42</v>
      </c>
      <c r="AB1178" t="s">
        <v>43</v>
      </c>
      <c r="AC1178">
        <v>16</v>
      </c>
      <c r="AD1178">
        <v>3</v>
      </c>
      <c r="AE1178">
        <v>2</v>
      </c>
      <c r="AF1178">
        <v>80</v>
      </c>
      <c r="AG1178">
        <v>2</v>
      </c>
      <c r="AH11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78">
        <v>27</v>
      </c>
      <c r="AJ1178" t="s">
        <v>74</v>
      </c>
      <c r="AK1178">
        <v>2</v>
      </c>
      <c r="AL1178" t="s">
        <v>74</v>
      </c>
      <c r="AM1178">
        <v>3</v>
      </c>
      <c r="AN1178" t="s">
        <v>74</v>
      </c>
      <c r="AO1178">
        <v>4</v>
      </c>
      <c r="AP1178" t="s">
        <v>74</v>
      </c>
      <c r="AQ1178">
        <v>2</v>
      </c>
      <c r="AR1178">
        <v>1</v>
      </c>
      <c r="AS1178">
        <v>2</v>
      </c>
    </row>
    <row r="1179" spans="1:4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 t="str">
        <f>IF(Employee_data[[#This Row],[MonthlyIncome]]&lt;5000,"Low Income",
IF(Employee_data[[#This Row],[MonthlyIncome]]&lt;10000,"Medium Income","High Income"))</f>
        <v>High Income</v>
      </c>
      <c r="U1179" t="s">
        <v>90</v>
      </c>
      <c r="V1179" t="s">
        <v>90</v>
      </c>
      <c r="W1179" t="s">
        <v>90</v>
      </c>
      <c r="X1179" t="s">
        <v>90</v>
      </c>
      <c r="Y1179">
        <v>21981</v>
      </c>
      <c r="Z1179">
        <v>5</v>
      </c>
      <c r="AA1179" t="s">
        <v>42</v>
      </c>
      <c r="AB1179" t="s">
        <v>43</v>
      </c>
      <c r="AC1179">
        <v>15</v>
      </c>
      <c r="AD1179">
        <v>3</v>
      </c>
      <c r="AE1179">
        <v>3</v>
      </c>
      <c r="AF1179">
        <v>80</v>
      </c>
      <c r="AG1179">
        <v>3</v>
      </c>
      <c r="AH11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79">
        <v>19</v>
      </c>
      <c r="AJ1179" t="s">
        <v>75</v>
      </c>
      <c r="AK1179">
        <v>3</v>
      </c>
      <c r="AL1179" t="s">
        <v>75</v>
      </c>
      <c r="AM1179">
        <v>3</v>
      </c>
      <c r="AN1179" t="s">
        <v>75</v>
      </c>
      <c r="AO1179">
        <v>14</v>
      </c>
      <c r="AP1179" t="s">
        <v>75</v>
      </c>
      <c r="AQ1179">
        <v>11</v>
      </c>
      <c r="AR1179">
        <v>1</v>
      </c>
      <c r="AS1179">
        <v>11</v>
      </c>
    </row>
    <row r="1180" spans="1:4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 t="str">
        <f>IF(Employee_data[[#This Row],[MonthlyIncome]]&lt;5000,"Low Income",
IF(Employee_data[[#This Row],[MonthlyIncome]]&lt;10000,"Medium Income","High Income"))</f>
        <v>Low Income</v>
      </c>
      <c r="U1180" t="s">
        <v>91</v>
      </c>
      <c r="V1180" t="s">
        <v>91</v>
      </c>
      <c r="W1180" t="s">
        <v>91</v>
      </c>
      <c r="X1180" t="s">
        <v>91</v>
      </c>
      <c r="Y1180">
        <v>13251</v>
      </c>
      <c r="Z1180">
        <v>1</v>
      </c>
      <c r="AA1180" t="s">
        <v>42</v>
      </c>
      <c r="AB1180" t="s">
        <v>43</v>
      </c>
      <c r="AC1180">
        <v>19</v>
      </c>
      <c r="AD1180">
        <v>3</v>
      </c>
      <c r="AE1180">
        <v>1</v>
      </c>
      <c r="AF1180">
        <v>80</v>
      </c>
      <c r="AG1180">
        <v>0</v>
      </c>
      <c r="AH11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80">
        <v>2</v>
      </c>
      <c r="AJ1180" t="s">
        <v>74</v>
      </c>
      <c r="AK1180">
        <v>3</v>
      </c>
      <c r="AL1180" t="s">
        <v>74</v>
      </c>
      <c r="AM1180">
        <v>3</v>
      </c>
      <c r="AN1180" t="s">
        <v>74</v>
      </c>
      <c r="AO1180">
        <v>2</v>
      </c>
      <c r="AP1180" t="s">
        <v>74</v>
      </c>
      <c r="AQ1180">
        <v>2</v>
      </c>
      <c r="AR1180">
        <v>2</v>
      </c>
      <c r="AS1180">
        <v>2</v>
      </c>
    </row>
    <row r="1181" spans="1:4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 t="str">
        <f>IF(Employee_data[[#This Row],[MonthlyIncome]]&lt;5000,"Low Income",
IF(Employee_data[[#This Row],[MonthlyIncome]]&lt;10000,"Medium Income","High Income"))</f>
        <v>Medium Income</v>
      </c>
      <c r="U1181" t="s">
        <v>92</v>
      </c>
      <c r="V1181" t="s">
        <v>92</v>
      </c>
      <c r="W1181" t="s">
        <v>92</v>
      </c>
      <c r="X1181" t="s">
        <v>92</v>
      </c>
      <c r="Y1181">
        <v>19332</v>
      </c>
      <c r="Z1181">
        <v>1</v>
      </c>
      <c r="AA1181" t="s">
        <v>42</v>
      </c>
      <c r="AB1181" t="s">
        <v>43</v>
      </c>
      <c r="AC1181">
        <v>12</v>
      </c>
      <c r="AD1181">
        <v>3</v>
      </c>
      <c r="AE1181">
        <v>3</v>
      </c>
      <c r="AF1181">
        <v>80</v>
      </c>
      <c r="AG1181">
        <v>1</v>
      </c>
      <c r="AH11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81">
        <v>11</v>
      </c>
      <c r="AJ1181" t="s">
        <v>75</v>
      </c>
      <c r="AK1181">
        <v>2</v>
      </c>
      <c r="AL1181" t="s">
        <v>75</v>
      </c>
      <c r="AM1181">
        <v>3</v>
      </c>
      <c r="AN1181" t="s">
        <v>75</v>
      </c>
      <c r="AO1181">
        <v>11</v>
      </c>
      <c r="AP1181" t="s">
        <v>75</v>
      </c>
      <c r="AQ1181">
        <v>8</v>
      </c>
      <c r="AR1181">
        <v>7</v>
      </c>
      <c r="AS1181">
        <v>9</v>
      </c>
    </row>
    <row r="1182" spans="1:4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 t="str">
        <f>IF(Employee_data[[#This Row],[MonthlyIncome]]&lt;5000,"Low Income",
IF(Employee_data[[#This Row],[MonthlyIncome]]&lt;10000,"Medium Income","High Income"))</f>
        <v>Low Income</v>
      </c>
      <c r="U1182" t="s">
        <v>91</v>
      </c>
      <c r="V1182" t="s">
        <v>91</v>
      </c>
      <c r="W1182" t="s">
        <v>91</v>
      </c>
      <c r="X1182" t="s">
        <v>91</v>
      </c>
      <c r="Y1182">
        <v>10950</v>
      </c>
      <c r="Z1182">
        <v>2</v>
      </c>
      <c r="AA1182" t="s">
        <v>42</v>
      </c>
      <c r="AB1182" t="s">
        <v>43</v>
      </c>
      <c r="AC1182">
        <v>11</v>
      </c>
      <c r="AD1182">
        <v>3</v>
      </c>
      <c r="AE1182">
        <v>3</v>
      </c>
      <c r="AF1182">
        <v>80</v>
      </c>
      <c r="AG1182">
        <v>0</v>
      </c>
      <c r="AH11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82">
        <v>15</v>
      </c>
      <c r="AJ1182" t="s">
        <v>74</v>
      </c>
      <c r="AK1182">
        <v>4</v>
      </c>
      <c r="AL1182" t="s">
        <v>74</v>
      </c>
      <c r="AM1182">
        <v>3</v>
      </c>
      <c r="AN1182" t="s">
        <v>74</v>
      </c>
      <c r="AO1182">
        <v>4</v>
      </c>
      <c r="AP1182" t="s">
        <v>74</v>
      </c>
      <c r="AQ1182">
        <v>3</v>
      </c>
      <c r="AR1182">
        <v>1</v>
      </c>
      <c r="AS1182">
        <v>3</v>
      </c>
    </row>
    <row r="1183" spans="1:4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 t="str">
        <f>IF(Employee_data[[#This Row],[MonthlyIncome]]&lt;5000,"Low Income",
IF(Employee_data[[#This Row],[MonthlyIncome]]&lt;10000,"Medium Income","High Income"))</f>
        <v>High Income</v>
      </c>
      <c r="U1183" t="s">
        <v>90</v>
      </c>
      <c r="V1183" t="s">
        <v>90</v>
      </c>
      <c r="W1183" t="s">
        <v>90</v>
      </c>
      <c r="X1183" t="s">
        <v>90</v>
      </c>
      <c r="Y1183">
        <v>11652</v>
      </c>
      <c r="Z1183">
        <v>2</v>
      </c>
      <c r="AA1183" t="s">
        <v>42</v>
      </c>
      <c r="AB1183" t="s">
        <v>35</v>
      </c>
      <c r="AC1183">
        <v>19</v>
      </c>
      <c r="AD1183">
        <v>3</v>
      </c>
      <c r="AE1183">
        <v>2</v>
      </c>
      <c r="AF1183">
        <v>80</v>
      </c>
      <c r="AG1183">
        <v>1</v>
      </c>
      <c r="AH11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183">
        <v>30</v>
      </c>
      <c r="AJ1183" t="s">
        <v>76</v>
      </c>
      <c r="AK1183">
        <v>3</v>
      </c>
      <c r="AL1183" t="s">
        <v>76</v>
      </c>
      <c r="AM1183">
        <v>3</v>
      </c>
      <c r="AN1183" t="s">
        <v>76</v>
      </c>
      <c r="AO1183">
        <v>15</v>
      </c>
      <c r="AP1183" t="s">
        <v>76</v>
      </c>
      <c r="AQ1183">
        <v>11</v>
      </c>
      <c r="AR1183">
        <v>2</v>
      </c>
      <c r="AS1183">
        <v>12</v>
      </c>
    </row>
    <row r="1184" spans="1:4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 t="str">
        <f>IF(Employee_data[[#This Row],[MonthlyIncome]]&lt;5000,"Low Income",
IF(Employee_data[[#This Row],[MonthlyIncome]]&lt;10000,"Medium Income","High Income"))</f>
        <v>Low Income</v>
      </c>
      <c r="U1184" t="s">
        <v>91</v>
      </c>
      <c r="V1184" t="s">
        <v>91</v>
      </c>
      <c r="W1184" t="s">
        <v>91</v>
      </c>
      <c r="X1184" t="s">
        <v>91</v>
      </c>
      <c r="Y1184">
        <v>15411</v>
      </c>
      <c r="Z1184">
        <v>0</v>
      </c>
      <c r="AA1184" t="s">
        <v>42</v>
      </c>
      <c r="AB1184" t="s">
        <v>43</v>
      </c>
      <c r="AC1184">
        <v>15</v>
      </c>
      <c r="AD1184">
        <v>3</v>
      </c>
      <c r="AE1184">
        <v>3</v>
      </c>
      <c r="AF1184">
        <v>80</v>
      </c>
      <c r="AG1184">
        <v>0</v>
      </c>
      <c r="AH11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84">
        <v>4</v>
      </c>
      <c r="AJ1184" t="s">
        <v>74</v>
      </c>
      <c r="AK1184">
        <v>6</v>
      </c>
      <c r="AL1184" t="s">
        <v>74</v>
      </c>
      <c r="AM1184">
        <v>3</v>
      </c>
      <c r="AN1184" t="s">
        <v>74</v>
      </c>
      <c r="AO1184">
        <v>3</v>
      </c>
      <c r="AP1184" t="s">
        <v>74</v>
      </c>
      <c r="AQ1184">
        <v>2</v>
      </c>
      <c r="AR1184">
        <v>1</v>
      </c>
      <c r="AS1184">
        <v>2</v>
      </c>
    </row>
    <row r="1185" spans="1:4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 t="str">
        <f>IF(Employee_data[[#This Row],[MonthlyIncome]]&lt;5000,"Low Income",
IF(Employee_data[[#This Row],[MonthlyIncome]]&lt;10000,"Medium Income","High Income"))</f>
        <v>Medium Income</v>
      </c>
      <c r="U1185" t="s">
        <v>92</v>
      </c>
      <c r="V1185" t="s">
        <v>92</v>
      </c>
      <c r="W1185" t="s">
        <v>92</v>
      </c>
      <c r="X1185" t="s">
        <v>92</v>
      </c>
      <c r="Y1185">
        <v>26308</v>
      </c>
      <c r="Z1185">
        <v>6</v>
      </c>
      <c r="AA1185" t="s">
        <v>42</v>
      </c>
      <c r="AB1185" t="s">
        <v>43</v>
      </c>
      <c r="AC1185">
        <v>20</v>
      </c>
      <c r="AD1185">
        <v>4</v>
      </c>
      <c r="AE1185">
        <v>1</v>
      </c>
      <c r="AF1185">
        <v>80</v>
      </c>
      <c r="AG1185">
        <v>1</v>
      </c>
      <c r="AH11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85">
        <v>13</v>
      </c>
      <c r="AJ1185" t="s">
        <v>78</v>
      </c>
      <c r="AK1185">
        <v>3</v>
      </c>
      <c r="AL1185" t="s">
        <v>78</v>
      </c>
      <c r="AM1185">
        <v>3</v>
      </c>
      <c r="AN1185" t="s">
        <v>78</v>
      </c>
      <c r="AO1185">
        <v>5</v>
      </c>
      <c r="AP1185" t="s">
        <v>78</v>
      </c>
      <c r="AQ1185">
        <v>4</v>
      </c>
      <c r="AR1185">
        <v>0</v>
      </c>
      <c r="AS1185">
        <v>4</v>
      </c>
    </row>
    <row r="1186" spans="1:4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 t="str">
        <f>IF(Employee_data[[#This Row],[MonthlyIncome]]&lt;5000,"Low Income",
IF(Employee_data[[#This Row],[MonthlyIncome]]&lt;10000,"Medium Income","High Income"))</f>
        <v>High Income</v>
      </c>
      <c r="U1186" t="s">
        <v>90</v>
      </c>
      <c r="V1186" t="s">
        <v>90</v>
      </c>
      <c r="W1186" t="s">
        <v>90</v>
      </c>
      <c r="X1186" t="s">
        <v>90</v>
      </c>
      <c r="Y1186">
        <v>18685</v>
      </c>
      <c r="Z1186">
        <v>3</v>
      </c>
      <c r="AA1186" t="s">
        <v>42</v>
      </c>
      <c r="AB1186" t="s">
        <v>43</v>
      </c>
      <c r="AC1186">
        <v>25</v>
      </c>
      <c r="AD1186">
        <v>4</v>
      </c>
      <c r="AE1186">
        <v>3</v>
      </c>
      <c r="AF1186">
        <v>80</v>
      </c>
      <c r="AG1186">
        <v>1</v>
      </c>
      <c r="AH11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86">
        <v>36</v>
      </c>
      <c r="AJ1186" t="s">
        <v>75</v>
      </c>
      <c r="AK1186">
        <v>6</v>
      </c>
      <c r="AL1186" t="s">
        <v>75</v>
      </c>
      <c r="AM1186">
        <v>3</v>
      </c>
      <c r="AN1186" t="s">
        <v>75</v>
      </c>
      <c r="AO1186">
        <v>10</v>
      </c>
      <c r="AP1186" t="s">
        <v>75</v>
      </c>
      <c r="AQ1186">
        <v>8</v>
      </c>
      <c r="AR1186">
        <v>4</v>
      </c>
      <c r="AS1186">
        <v>7</v>
      </c>
    </row>
    <row r="1187" spans="1:4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 t="str">
        <f>IF(Employee_data[[#This Row],[MonthlyIncome]]&lt;5000,"Low Income",
IF(Employee_data[[#This Row],[MonthlyIncome]]&lt;10000,"Medium Income","High Income"))</f>
        <v>High Income</v>
      </c>
      <c r="U1187" t="s">
        <v>90</v>
      </c>
      <c r="V1187" t="s">
        <v>90</v>
      </c>
      <c r="W1187" t="s">
        <v>90</v>
      </c>
      <c r="X1187" t="s">
        <v>90</v>
      </c>
      <c r="Y1187">
        <v>3525</v>
      </c>
      <c r="Z1187">
        <v>1</v>
      </c>
      <c r="AA1187" t="s">
        <v>42</v>
      </c>
      <c r="AB1187" t="s">
        <v>43</v>
      </c>
      <c r="AC1187">
        <v>24</v>
      </c>
      <c r="AD1187">
        <v>4</v>
      </c>
      <c r="AE1187">
        <v>1</v>
      </c>
      <c r="AF1187">
        <v>80</v>
      </c>
      <c r="AG1187">
        <v>1</v>
      </c>
      <c r="AH11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87">
        <v>14</v>
      </c>
      <c r="AJ1187" t="s">
        <v>75</v>
      </c>
      <c r="AK1187">
        <v>3</v>
      </c>
      <c r="AL1187" t="s">
        <v>75</v>
      </c>
      <c r="AM1187">
        <v>3</v>
      </c>
      <c r="AN1187" t="s">
        <v>75</v>
      </c>
      <c r="AO1187">
        <v>14</v>
      </c>
      <c r="AP1187" t="s">
        <v>75</v>
      </c>
      <c r="AQ1187">
        <v>10</v>
      </c>
      <c r="AR1187">
        <v>6</v>
      </c>
      <c r="AS1187">
        <v>11</v>
      </c>
    </row>
    <row r="1188" spans="1:4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 t="str">
        <f>IF(Employee_data[[#This Row],[MonthlyIncome]]&lt;5000,"Low Income",
IF(Employee_data[[#This Row],[MonthlyIncome]]&lt;10000,"Medium Income","High Income"))</f>
        <v>Low Income</v>
      </c>
      <c r="U1188" t="s">
        <v>91</v>
      </c>
      <c r="V1188" t="s">
        <v>91</v>
      </c>
      <c r="W1188" t="s">
        <v>91</v>
      </c>
      <c r="X1188" t="s">
        <v>91</v>
      </c>
      <c r="Y1188">
        <v>10414</v>
      </c>
      <c r="Z1188">
        <v>3</v>
      </c>
      <c r="AA1188" t="s">
        <v>42</v>
      </c>
      <c r="AB1188" t="s">
        <v>35</v>
      </c>
      <c r="AC1188">
        <v>24</v>
      </c>
      <c r="AD1188">
        <v>4</v>
      </c>
      <c r="AE1188">
        <v>1</v>
      </c>
      <c r="AF1188">
        <v>80</v>
      </c>
      <c r="AG1188">
        <v>0</v>
      </c>
      <c r="AH11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88">
        <v>13</v>
      </c>
      <c r="AJ1188" t="s">
        <v>75</v>
      </c>
      <c r="AK1188">
        <v>2</v>
      </c>
      <c r="AL1188" t="s">
        <v>75</v>
      </c>
      <c r="AM1188">
        <v>4</v>
      </c>
      <c r="AN1188" t="s">
        <v>75</v>
      </c>
      <c r="AO1188">
        <v>11</v>
      </c>
      <c r="AP1188" t="s">
        <v>75</v>
      </c>
      <c r="AQ1188">
        <v>9</v>
      </c>
      <c r="AR1188">
        <v>6</v>
      </c>
      <c r="AS1188">
        <v>7</v>
      </c>
    </row>
    <row r="1189" spans="1:4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 t="str">
        <f>IF(Employee_data[[#This Row],[MonthlyIncome]]&lt;5000,"Low Income",
IF(Employee_data[[#This Row],[MonthlyIncome]]&lt;10000,"Medium Income","High Income"))</f>
        <v>Low Income</v>
      </c>
      <c r="U1189" t="s">
        <v>91</v>
      </c>
      <c r="V1189" t="s">
        <v>91</v>
      </c>
      <c r="W1189" t="s">
        <v>91</v>
      </c>
      <c r="X1189" t="s">
        <v>91</v>
      </c>
      <c r="Y1189">
        <v>9867</v>
      </c>
      <c r="Z1189">
        <v>7</v>
      </c>
      <c r="AA1189" t="s">
        <v>42</v>
      </c>
      <c r="AB1189" t="s">
        <v>43</v>
      </c>
      <c r="AC1189">
        <v>15</v>
      </c>
      <c r="AD1189">
        <v>3</v>
      </c>
      <c r="AE1189">
        <v>4</v>
      </c>
      <c r="AF1189">
        <v>80</v>
      </c>
      <c r="AG1189">
        <v>2</v>
      </c>
      <c r="AH11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89">
        <v>19</v>
      </c>
      <c r="AJ1189" t="s">
        <v>75</v>
      </c>
      <c r="AK1189">
        <v>4</v>
      </c>
      <c r="AL1189" t="s">
        <v>75</v>
      </c>
      <c r="AM1189">
        <v>4</v>
      </c>
      <c r="AN1189" t="s">
        <v>75</v>
      </c>
      <c r="AO1189">
        <v>13</v>
      </c>
      <c r="AP1189" t="s">
        <v>75</v>
      </c>
      <c r="AQ1189">
        <v>11</v>
      </c>
      <c r="AR1189">
        <v>2</v>
      </c>
      <c r="AS1189">
        <v>9</v>
      </c>
    </row>
    <row r="1190" spans="1:4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 t="str">
        <f>IF(Employee_data[[#This Row],[MonthlyIncome]]&lt;5000,"Low Income",
IF(Employee_data[[#This Row],[MonthlyIncome]]&lt;10000,"Medium Income","High Income"))</f>
        <v>Low Income</v>
      </c>
      <c r="U1190" t="s">
        <v>91</v>
      </c>
      <c r="V1190" t="s">
        <v>91</v>
      </c>
      <c r="W1190" t="s">
        <v>91</v>
      </c>
      <c r="X1190" t="s">
        <v>91</v>
      </c>
      <c r="Y1190">
        <v>3356</v>
      </c>
      <c r="Z1190">
        <v>1</v>
      </c>
      <c r="AA1190" t="s">
        <v>42</v>
      </c>
      <c r="AB1190" t="s">
        <v>35</v>
      </c>
      <c r="AC1190">
        <v>13</v>
      </c>
      <c r="AD1190">
        <v>3</v>
      </c>
      <c r="AE1190">
        <v>2</v>
      </c>
      <c r="AF1190">
        <v>80</v>
      </c>
      <c r="AG1190">
        <v>1</v>
      </c>
      <c r="AH11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90">
        <v>10</v>
      </c>
      <c r="AJ1190" t="s">
        <v>75</v>
      </c>
      <c r="AK1190">
        <v>3</v>
      </c>
      <c r="AL1190" t="s">
        <v>75</v>
      </c>
      <c r="AM1190">
        <v>2</v>
      </c>
      <c r="AN1190" t="s">
        <v>75</v>
      </c>
      <c r="AO1190">
        <v>10</v>
      </c>
      <c r="AP1190" t="s">
        <v>75</v>
      </c>
      <c r="AQ1190">
        <v>0</v>
      </c>
      <c r="AR1190">
        <v>0</v>
      </c>
      <c r="AS1190">
        <v>9</v>
      </c>
    </row>
    <row r="1191" spans="1:4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 t="str">
        <f>IF(Employee_data[[#This Row],[MonthlyIncome]]&lt;5000,"Low Income",
IF(Employee_data[[#This Row],[MonthlyIncome]]&lt;10000,"Medium Income","High Income"))</f>
        <v>Medium Income</v>
      </c>
      <c r="U1191" t="s">
        <v>92</v>
      </c>
      <c r="V1191" t="s">
        <v>92</v>
      </c>
      <c r="W1191" t="s">
        <v>92</v>
      </c>
      <c r="X1191" t="s">
        <v>92</v>
      </c>
      <c r="Y1191">
        <v>3921</v>
      </c>
      <c r="Z1191">
        <v>1</v>
      </c>
      <c r="AA1191" t="s">
        <v>42</v>
      </c>
      <c r="AB1191" t="s">
        <v>43</v>
      </c>
      <c r="AC1191">
        <v>14</v>
      </c>
      <c r="AD1191">
        <v>3</v>
      </c>
      <c r="AE1191">
        <v>3</v>
      </c>
      <c r="AF1191">
        <v>80</v>
      </c>
      <c r="AG1191">
        <v>2</v>
      </c>
      <c r="AH11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91">
        <v>6</v>
      </c>
      <c r="AJ1191" t="s">
        <v>78</v>
      </c>
      <c r="AK1191">
        <v>5</v>
      </c>
      <c r="AL1191" t="s">
        <v>78</v>
      </c>
      <c r="AM1191">
        <v>3</v>
      </c>
      <c r="AN1191" t="s">
        <v>78</v>
      </c>
      <c r="AO1191">
        <v>6</v>
      </c>
      <c r="AP1191" t="s">
        <v>78</v>
      </c>
      <c r="AQ1191">
        <v>2</v>
      </c>
      <c r="AR1191">
        <v>0</v>
      </c>
      <c r="AS1191">
        <v>4</v>
      </c>
    </row>
    <row r="1192" spans="1:4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 t="str">
        <f>IF(Employee_data[[#This Row],[MonthlyIncome]]&lt;5000,"Low Income",
IF(Employee_data[[#This Row],[MonthlyIncome]]&lt;10000,"Medium Income","High Income"))</f>
        <v>Medium Income</v>
      </c>
      <c r="U1192" t="s">
        <v>92</v>
      </c>
      <c r="V1192" t="s">
        <v>92</v>
      </c>
      <c r="W1192" t="s">
        <v>92</v>
      </c>
      <c r="X1192" t="s">
        <v>92</v>
      </c>
      <c r="Y1192">
        <v>25518</v>
      </c>
      <c r="Z1192">
        <v>0</v>
      </c>
      <c r="AA1192" t="s">
        <v>42</v>
      </c>
      <c r="AB1192" t="s">
        <v>43</v>
      </c>
      <c r="AC1192">
        <v>13</v>
      </c>
      <c r="AD1192">
        <v>3</v>
      </c>
      <c r="AE1192">
        <v>3</v>
      </c>
      <c r="AF1192">
        <v>80</v>
      </c>
      <c r="AG1192">
        <v>2</v>
      </c>
      <c r="AH11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92">
        <v>10</v>
      </c>
      <c r="AJ1192" t="s">
        <v>78</v>
      </c>
      <c r="AK1192">
        <v>4</v>
      </c>
      <c r="AL1192" t="s">
        <v>78</v>
      </c>
      <c r="AM1192">
        <v>2</v>
      </c>
      <c r="AN1192" t="s">
        <v>78</v>
      </c>
      <c r="AO1192">
        <v>9</v>
      </c>
      <c r="AP1192" t="s">
        <v>78</v>
      </c>
      <c r="AQ1192">
        <v>5</v>
      </c>
      <c r="AR1192">
        <v>1</v>
      </c>
      <c r="AS1192">
        <v>6</v>
      </c>
    </row>
    <row r="1193" spans="1:4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 t="str">
        <f>IF(Employee_data[[#This Row],[MonthlyIncome]]&lt;5000,"Low Income",
IF(Employee_data[[#This Row],[MonthlyIncome]]&lt;10000,"Medium Income","High Income"))</f>
        <v>Medium Income</v>
      </c>
      <c r="U1193" t="s">
        <v>92</v>
      </c>
      <c r="V1193" t="s">
        <v>92</v>
      </c>
      <c r="W1193" t="s">
        <v>92</v>
      </c>
      <c r="X1193" t="s">
        <v>92</v>
      </c>
      <c r="Y1193">
        <v>22589</v>
      </c>
      <c r="Z1193">
        <v>1</v>
      </c>
      <c r="AA1193" t="s">
        <v>42</v>
      </c>
      <c r="AB1193" t="s">
        <v>43</v>
      </c>
      <c r="AC1193">
        <v>11</v>
      </c>
      <c r="AD1193">
        <v>3</v>
      </c>
      <c r="AE1193">
        <v>1</v>
      </c>
      <c r="AF1193">
        <v>80</v>
      </c>
      <c r="AG1193">
        <v>2</v>
      </c>
      <c r="AH11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193">
        <v>10</v>
      </c>
      <c r="AJ1193" t="s">
        <v>75</v>
      </c>
      <c r="AK1193">
        <v>2</v>
      </c>
      <c r="AL1193" t="s">
        <v>75</v>
      </c>
      <c r="AM1193">
        <v>3</v>
      </c>
      <c r="AN1193" t="s">
        <v>75</v>
      </c>
      <c r="AO1193">
        <v>10</v>
      </c>
      <c r="AP1193" t="s">
        <v>75</v>
      </c>
      <c r="AQ1193">
        <v>0</v>
      </c>
      <c r="AR1193">
        <v>0</v>
      </c>
      <c r="AS1193">
        <v>2</v>
      </c>
    </row>
    <row r="1194" spans="1:4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 t="str">
        <f>IF(Employee_data[[#This Row],[MonthlyIncome]]&lt;5000,"Low Income",
IF(Employee_data[[#This Row],[MonthlyIncome]]&lt;10000,"Medium Income","High Income"))</f>
        <v>Low Income</v>
      </c>
      <c r="U1194" t="s">
        <v>91</v>
      </c>
      <c r="V1194" t="s">
        <v>91</v>
      </c>
      <c r="W1194" t="s">
        <v>91</v>
      </c>
      <c r="X1194" t="s">
        <v>91</v>
      </c>
      <c r="Y1194">
        <v>24941</v>
      </c>
      <c r="Z1194">
        <v>4</v>
      </c>
      <c r="AA1194" t="s">
        <v>42</v>
      </c>
      <c r="AB1194" t="s">
        <v>35</v>
      </c>
      <c r="AC1194">
        <v>16</v>
      </c>
      <c r="AD1194">
        <v>3</v>
      </c>
      <c r="AE1194">
        <v>2</v>
      </c>
      <c r="AF1194">
        <v>80</v>
      </c>
      <c r="AG1194">
        <v>1</v>
      </c>
      <c r="AH11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94">
        <v>17</v>
      </c>
      <c r="AJ1194" t="s">
        <v>74</v>
      </c>
      <c r="AK1194">
        <v>2</v>
      </c>
      <c r="AL1194" t="s">
        <v>74</v>
      </c>
      <c r="AM1194">
        <v>2</v>
      </c>
      <c r="AN1194" t="s">
        <v>74</v>
      </c>
      <c r="AO1194">
        <v>2</v>
      </c>
      <c r="AP1194" t="s">
        <v>74</v>
      </c>
      <c r="AQ1194">
        <v>2</v>
      </c>
      <c r="AR1194">
        <v>2</v>
      </c>
      <c r="AS1194">
        <v>2</v>
      </c>
    </row>
    <row r="1195" spans="1:4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 t="str">
        <f>IF(Employee_data[[#This Row],[MonthlyIncome]]&lt;5000,"Low Income",
IF(Employee_data[[#This Row],[MonthlyIncome]]&lt;10000,"Medium Income","High Income"))</f>
        <v>Low Income</v>
      </c>
      <c r="U1195" t="s">
        <v>91</v>
      </c>
      <c r="V1195" t="s">
        <v>91</v>
      </c>
      <c r="W1195" t="s">
        <v>91</v>
      </c>
      <c r="X1195" t="s">
        <v>91</v>
      </c>
      <c r="Y1195">
        <v>23826</v>
      </c>
      <c r="Z1195">
        <v>1</v>
      </c>
      <c r="AA1195" t="s">
        <v>42</v>
      </c>
      <c r="AB1195" t="s">
        <v>43</v>
      </c>
      <c r="AC1195">
        <v>22</v>
      </c>
      <c r="AD1195">
        <v>4</v>
      </c>
      <c r="AE1195">
        <v>2</v>
      </c>
      <c r="AF1195">
        <v>80</v>
      </c>
      <c r="AG1195">
        <v>0</v>
      </c>
      <c r="AH11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95">
        <v>4</v>
      </c>
      <c r="AJ1195" t="s">
        <v>74</v>
      </c>
      <c r="AK1195">
        <v>3</v>
      </c>
      <c r="AL1195" t="s">
        <v>74</v>
      </c>
      <c r="AM1195">
        <v>3</v>
      </c>
      <c r="AN1195" t="s">
        <v>74</v>
      </c>
      <c r="AO1195">
        <v>4</v>
      </c>
      <c r="AP1195" t="s">
        <v>74</v>
      </c>
      <c r="AQ1195">
        <v>3</v>
      </c>
      <c r="AR1195">
        <v>3</v>
      </c>
      <c r="AS1195">
        <v>3</v>
      </c>
    </row>
    <row r="1196" spans="1:4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 t="str">
        <f>IF(Employee_data[[#This Row],[MonthlyIncome]]&lt;5000,"Low Income",
IF(Employee_data[[#This Row],[MonthlyIncome]]&lt;10000,"Medium Income","High Income"))</f>
        <v>High Income</v>
      </c>
      <c r="U1196" t="s">
        <v>90</v>
      </c>
      <c r="V1196" t="s">
        <v>90</v>
      </c>
      <c r="W1196" t="s">
        <v>90</v>
      </c>
      <c r="X1196" t="s">
        <v>90</v>
      </c>
      <c r="Y1196">
        <v>21086</v>
      </c>
      <c r="Z1196">
        <v>6</v>
      </c>
      <c r="AA1196" t="s">
        <v>42</v>
      </c>
      <c r="AB1196" t="s">
        <v>43</v>
      </c>
      <c r="AC1196">
        <v>14</v>
      </c>
      <c r="AD1196">
        <v>3</v>
      </c>
      <c r="AE1196">
        <v>3</v>
      </c>
      <c r="AF1196">
        <v>80</v>
      </c>
      <c r="AG1196">
        <v>3</v>
      </c>
      <c r="AH11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96">
        <v>29</v>
      </c>
      <c r="AJ1196" t="s">
        <v>74</v>
      </c>
      <c r="AK1196">
        <v>2</v>
      </c>
      <c r="AL1196" t="s">
        <v>74</v>
      </c>
      <c r="AM1196">
        <v>3</v>
      </c>
      <c r="AN1196" t="s">
        <v>74</v>
      </c>
      <c r="AO1196">
        <v>3</v>
      </c>
      <c r="AP1196" t="s">
        <v>74</v>
      </c>
      <c r="AQ1196">
        <v>2</v>
      </c>
      <c r="AR1196">
        <v>1</v>
      </c>
      <c r="AS1196">
        <v>2</v>
      </c>
    </row>
    <row r="1197" spans="1:4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 t="str">
        <f>IF(Employee_data[[#This Row],[MonthlyIncome]]&lt;5000,"Low Income",
IF(Employee_data[[#This Row],[MonthlyIncome]]&lt;10000,"Medium Income","High Income"))</f>
        <v>High Income</v>
      </c>
      <c r="U1197" t="s">
        <v>90</v>
      </c>
      <c r="V1197" t="s">
        <v>90</v>
      </c>
      <c r="W1197" t="s">
        <v>90</v>
      </c>
      <c r="X1197" t="s">
        <v>90</v>
      </c>
      <c r="Y1197">
        <v>22384</v>
      </c>
      <c r="Z1197">
        <v>4</v>
      </c>
      <c r="AA1197" t="s">
        <v>42</v>
      </c>
      <c r="AB1197" t="s">
        <v>43</v>
      </c>
      <c r="AC1197">
        <v>14</v>
      </c>
      <c r="AD1197">
        <v>3</v>
      </c>
      <c r="AE1197">
        <v>1</v>
      </c>
      <c r="AF1197">
        <v>80</v>
      </c>
      <c r="AG1197">
        <v>0</v>
      </c>
      <c r="AH11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197">
        <v>23</v>
      </c>
      <c r="AJ1197" t="s">
        <v>78</v>
      </c>
      <c r="AK1197">
        <v>2</v>
      </c>
      <c r="AL1197" t="s">
        <v>78</v>
      </c>
      <c r="AM1197">
        <v>3</v>
      </c>
      <c r="AN1197" t="s">
        <v>78</v>
      </c>
      <c r="AO1197">
        <v>8</v>
      </c>
      <c r="AP1197" t="s">
        <v>78</v>
      </c>
      <c r="AQ1197">
        <v>7</v>
      </c>
      <c r="AR1197">
        <v>0</v>
      </c>
      <c r="AS1197">
        <v>0</v>
      </c>
    </row>
    <row r="1198" spans="1:4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 t="str">
        <f>IF(Employee_data[[#This Row],[MonthlyIncome]]&lt;5000,"Low Income",
IF(Employee_data[[#This Row],[MonthlyIncome]]&lt;10000,"Medium Income","High Income"))</f>
        <v>Medium Income</v>
      </c>
      <c r="U1198" t="s">
        <v>92</v>
      </c>
      <c r="V1198" t="s">
        <v>92</v>
      </c>
      <c r="W1198" t="s">
        <v>92</v>
      </c>
      <c r="X1198" t="s">
        <v>92</v>
      </c>
      <c r="Y1198">
        <v>11591</v>
      </c>
      <c r="Z1198">
        <v>3</v>
      </c>
      <c r="AA1198" t="s">
        <v>42</v>
      </c>
      <c r="AB1198" t="s">
        <v>35</v>
      </c>
      <c r="AC1198">
        <v>16</v>
      </c>
      <c r="AD1198">
        <v>3</v>
      </c>
      <c r="AE1198">
        <v>4</v>
      </c>
      <c r="AF1198">
        <v>80</v>
      </c>
      <c r="AG1198">
        <v>0</v>
      </c>
      <c r="AH11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98">
        <v>21</v>
      </c>
      <c r="AJ1198" t="s">
        <v>74</v>
      </c>
      <c r="AK1198">
        <v>2</v>
      </c>
      <c r="AL1198" t="s">
        <v>74</v>
      </c>
      <c r="AM1198">
        <v>3</v>
      </c>
      <c r="AN1198" t="s">
        <v>74</v>
      </c>
      <c r="AO1198">
        <v>2</v>
      </c>
      <c r="AP1198" t="s">
        <v>74</v>
      </c>
      <c r="AQ1198">
        <v>0</v>
      </c>
      <c r="AR1198">
        <v>0</v>
      </c>
      <c r="AS1198">
        <v>2</v>
      </c>
    </row>
    <row r="1199" spans="1:4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 t="str">
        <f>IF(Employee_data[[#This Row],[MonthlyIncome]]&lt;5000,"Low Income",
IF(Employee_data[[#This Row],[MonthlyIncome]]&lt;10000,"Medium Income","High Income"))</f>
        <v>Low Income</v>
      </c>
      <c r="U1199" t="s">
        <v>91</v>
      </c>
      <c r="V1199" t="s">
        <v>91</v>
      </c>
      <c r="W1199" t="s">
        <v>91</v>
      </c>
      <c r="X1199" t="s">
        <v>91</v>
      </c>
      <c r="Y1199">
        <v>21082</v>
      </c>
      <c r="Z1199">
        <v>1</v>
      </c>
      <c r="AA1199" t="s">
        <v>42</v>
      </c>
      <c r="AB1199" t="s">
        <v>43</v>
      </c>
      <c r="AC1199">
        <v>11</v>
      </c>
      <c r="AD1199">
        <v>3</v>
      </c>
      <c r="AE1199">
        <v>1</v>
      </c>
      <c r="AF1199">
        <v>80</v>
      </c>
      <c r="AG1199">
        <v>0</v>
      </c>
      <c r="AH11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199">
        <v>2</v>
      </c>
      <c r="AJ1199" t="s">
        <v>74</v>
      </c>
      <c r="AK1199">
        <v>3</v>
      </c>
      <c r="AL1199" t="s">
        <v>74</v>
      </c>
      <c r="AM1199">
        <v>3</v>
      </c>
      <c r="AN1199" t="s">
        <v>74</v>
      </c>
      <c r="AO1199">
        <v>2</v>
      </c>
      <c r="AP1199" t="s">
        <v>74</v>
      </c>
      <c r="AQ1199">
        <v>2</v>
      </c>
      <c r="AR1199">
        <v>0</v>
      </c>
      <c r="AS1199">
        <v>2</v>
      </c>
    </row>
    <row r="1200" spans="1:4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 t="str">
        <f>IF(Employee_data[[#This Row],[MonthlyIncome]]&lt;5000,"Low Income",
IF(Employee_data[[#This Row],[MonthlyIncome]]&lt;10000,"Medium Income","High Income"))</f>
        <v>Medium Income</v>
      </c>
      <c r="U1200" t="s">
        <v>92</v>
      </c>
      <c r="V1200" t="s">
        <v>92</v>
      </c>
      <c r="W1200" t="s">
        <v>92</v>
      </c>
      <c r="X1200" t="s">
        <v>92</v>
      </c>
      <c r="Y1200">
        <v>16130</v>
      </c>
      <c r="Z1200">
        <v>1</v>
      </c>
      <c r="AA1200" t="s">
        <v>42</v>
      </c>
      <c r="AB1200" t="s">
        <v>35</v>
      </c>
      <c r="AC1200">
        <v>25</v>
      </c>
      <c r="AD1200">
        <v>4</v>
      </c>
      <c r="AE1200">
        <v>3</v>
      </c>
      <c r="AF1200">
        <v>80</v>
      </c>
      <c r="AG1200">
        <v>1</v>
      </c>
      <c r="AH12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00">
        <v>7</v>
      </c>
      <c r="AJ1200" t="s">
        <v>78</v>
      </c>
      <c r="AK1200">
        <v>2</v>
      </c>
      <c r="AL1200" t="s">
        <v>78</v>
      </c>
      <c r="AM1200">
        <v>3</v>
      </c>
      <c r="AN1200" t="s">
        <v>78</v>
      </c>
      <c r="AO1200">
        <v>6</v>
      </c>
      <c r="AP1200" t="s">
        <v>78</v>
      </c>
      <c r="AQ1200">
        <v>5</v>
      </c>
      <c r="AR1200">
        <v>1</v>
      </c>
      <c r="AS1200">
        <v>2</v>
      </c>
    </row>
    <row r="1201" spans="1:4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 t="str">
        <f>IF(Employee_data[[#This Row],[MonthlyIncome]]&lt;5000,"Low Income",
IF(Employee_data[[#This Row],[MonthlyIncome]]&lt;10000,"Medium Income","High Income"))</f>
        <v>Medium Income</v>
      </c>
      <c r="U1201" t="s">
        <v>92</v>
      </c>
      <c r="V1201" t="s">
        <v>92</v>
      </c>
      <c r="W1201" t="s">
        <v>92</v>
      </c>
      <c r="X1201" t="s">
        <v>92</v>
      </c>
      <c r="Y1201">
        <v>7419</v>
      </c>
      <c r="Z1201">
        <v>6</v>
      </c>
      <c r="AA1201" t="s">
        <v>42</v>
      </c>
      <c r="AB1201" t="s">
        <v>43</v>
      </c>
      <c r="AC1201">
        <v>14</v>
      </c>
      <c r="AD1201">
        <v>3</v>
      </c>
      <c r="AE1201">
        <v>2</v>
      </c>
      <c r="AF1201">
        <v>80</v>
      </c>
      <c r="AG1201">
        <v>2</v>
      </c>
      <c r="AH12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01">
        <v>10</v>
      </c>
      <c r="AJ1201" t="s">
        <v>74</v>
      </c>
      <c r="AK1201">
        <v>2</v>
      </c>
      <c r="AL1201" t="s">
        <v>74</v>
      </c>
      <c r="AM1201">
        <v>2</v>
      </c>
      <c r="AN1201" t="s">
        <v>74</v>
      </c>
      <c r="AO1201">
        <v>3</v>
      </c>
      <c r="AP1201" t="s">
        <v>74</v>
      </c>
      <c r="AQ1201">
        <v>2</v>
      </c>
      <c r="AR1201">
        <v>0</v>
      </c>
      <c r="AS1201">
        <v>2</v>
      </c>
    </row>
    <row r="1202" spans="1:4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 t="str">
        <f>IF(Employee_data[[#This Row],[MonthlyIncome]]&lt;5000,"Low Income",
IF(Employee_data[[#This Row],[MonthlyIncome]]&lt;10000,"Medium Income","High Income"))</f>
        <v>Low Income</v>
      </c>
      <c r="U1202" t="s">
        <v>91</v>
      </c>
      <c r="V1202" t="s">
        <v>91</v>
      </c>
      <c r="W1202" t="s">
        <v>91</v>
      </c>
      <c r="X1202" t="s">
        <v>91</v>
      </c>
      <c r="Y1202">
        <v>4167</v>
      </c>
      <c r="Z1202">
        <v>4</v>
      </c>
      <c r="AA1202" t="s">
        <v>42</v>
      </c>
      <c r="AB1202" t="s">
        <v>35</v>
      </c>
      <c r="AC1202">
        <v>18</v>
      </c>
      <c r="AD1202">
        <v>3</v>
      </c>
      <c r="AE1202">
        <v>1</v>
      </c>
      <c r="AF1202">
        <v>80</v>
      </c>
      <c r="AG1202">
        <v>3</v>
      </c>
      <c r="AH12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02">
        <v>8</v>
      </c>
      <c r="AJ1202" t="s">
        <v>74</v>
      </c>
      <c r="AK1202">
        <v>2</v>
      </c>
      <c r="AL1202" t="s">
        <v>74</v>
      </c>
      <c r="AM1202">
        <v>3</v>
      </c>
      <c r="AN1202" t="s">
        <v>74</v>
      </c>
      <c r="AO1202">
        <v>2</v>
      </c>
      <c r="AP1202" t="s">
        <v>74</v>
      </c>
      <c r="AQ1202">
        <v>2</v>
      </c>
      <c r="AR1202">
        <v>2</v>
      </c>
      <c r="AS1202">
        <v>2</v>
      </c>
    </row>
    <row r="1203" spans="1:4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 t="str">
        <f>IF(Employee_data[[#This Row],[MonthlyIncome]]&lt;5000,"Low Income",
IF(Employee_data[[#This Row],[MonthlyIncome]]&lt;10000,"Medium Income","High Income"))</f>
        <v>Low Income</v>
      </c>
      <c r="U1203" t="s">
        <v>91</v>
      </c>
      <c r="V1203" t="s">
        <v>91</v>
      </c>
      <c r="W1203" t="s">
        <v>91</v>
      </c>
      <c r="X1203" t="s">
        <v>91</v>
      </c>
      <c r="Y1203">
        <v>20586</v>
      </c>
      <c r="Z1203">
        <v>1</v>
      </c>
      <c r="AA1203" t="s">
        <v>42</v>
      </c>
      <c r="AB1203" t="s">
        <v>35</v>
      </c>
      <c r="AC1203">
        <v>11</v>
      </c>
      <c r="AD1203">
        <v>3</v>
      </c>
      <c r="AE1203">
        <v>1</v>
      </c>
      <c r="AF1203">
        <v>80</v>
      </c>
      <c r="AG1203">
        <v>0</v>
      </c>
      <c r="AH12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03">
        <v>5</v>
      </c>
      <c r="AJ1203" t="s">
        <v>78</v>
      </c>
      <c r="AK1203">
        <v>2</v>
      </c>
      <c r="AL1203" t="s">
        <v>78</v>
      </c>
      <c r="AM1203">
        <v>3</v>
      </c>
      <c r="AN1203" t="s">
        <v>78</v>
      </c>
      <c r="AO1203">
        <v>5</v>
      </c>
      <c r="AP1203" t="s">
        <v>78</v>
      </c>
      <c r="AQ1203">
        <v>4</v>
      </c>
      <c r="AR1203">
        <v>1</v>
      </c>
      <c r="AS1203">
        <v>2</v>
      </c>
    </row>
    <row r="1204" spans="1:4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 t="str">
        <f>IF(Employee_data[[#This Row],[MonthlyIncome]]&lt;5000,"Low Income",
IF(Employee_data[[#This Row],[MonthlyIncome]]&lt;10000,"Medium Income","High Income"))</f>
        <v>Low Income</v>
      </c>
      <c r="U1204" t="s">
        <v>91</v>
      </c>
      <c r="V1204" t="s">
        <v>91</v>
      </c>
      <c r="W1204" t="s">
        <v>91</v>
      </c>
      <c r="X1204" t="s">
        <v>91</v>
      </c>
      <c r="Y1204">
        <v>26176</v>
      </c>
      <c r="Z1204">
        <v>7</v>
      </c>
      <c r="AA1204" t="s">
        <v>42</v>
      </c>
      <c r="AB1204" t="s">
        <v>43</v>
      </c>
      <c r="AC1204">
        <v>19</v>
      </c>
      <c r="AD1204">
        <v>3</v>
      </c>
      <c r="AE1204">
        <v>4</v>
      </c>
      <c r="AF1204">
        <v>80</v>
      </c>
      <c r="AG1204">
        <v>1</v>
      </c>
      <c r="AH12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04">
        <v>7</v>
      </c>
      <c r="AJ1204" t="s">
        <v>74</v>
      </c>
      <c r="AK1204">
        <v>5</v>
      </c>
      <c r="AL1204" t="s">
        <v>74</v>
      </c>
      <c r="AM1204">
        <v>2</v>
      </c>
      <c r="AN1204" t="s">
        <v>74</v>
      </c>
      <c r="AO1204">
        <v>0</v>
      </c>
      <c r="AP1204" t="s">
        <v>74</v>
      </c>
      <c r="AQ1204">
        <v>0</v>
      </c>
      <c r="AR1204">
        <v>0</v>
      </c>
      <c r="AS1204">
        <v>0</v>
      </c>
    </row>
    <row r="1205" spans="1:4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 t="str">
        <f>IF(Employee_data[[#This Row],[MonthlyIncome]]&lt;5000,"Low Income",
IF(Employee_data[[#This Row],[MonthlyIncome]]&lt;10000,"Medium Income","High Income"))</f>
        <v>Medium Income</v>
      </c>
      <c r="U1205" t="s">
        <v>92</v>
      </c>
      <c r="V1205" t="s">
        <v>92</v>
      </c>
      <c r="W1205" t="s">
        <v>92</v>
      </c>
      <c r="X1205" t="s">
        <v>92</v>
      </c>
      <c r="Y1205">
        <v>3458</v>
      </c>
      <c r="Z1205">
        <v>3</v>
      </c>
      <c r="AA1205" t="s">
        <v>42</v>
      </c>
      <c r="AB1205" t="s">
        <v>43</v>
      </c>
      <c r="AC1205">
        <v>15</v>
      </c>
      <c r="AD1205">
        <v>3</v>
      </c>
      <c r="AE1205">
        <v>3</v>
      </c>
      <c r="AF1205">
        <v>80</v>
      </c>
      <c r="AG1205">
        <v>0</v>
      </c>
      <c r="AH12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05">
        <v>11</v>
      </c>
      <c r="AJ1205" t="s">
        <v>74</v>
      </c>
      <c r="AK1205">
        <v>2</v>
      </c>
      <c r="AL1205" t="s">
        <v>74</v>
      </c>
      <c r="AM1205">
        <v>3</v>
      </c>
      <c r="AN1205" t="s">
        <v>74</v>
      </c>
      <c r="AO1205">
        <v>4</v>
      </c>
      <c r="AP1205" t="s">
        <v>74</v>
      </c>
      <c r="AQ1205">
        <v>3</v>
      </c>
      <c r="AR1205">
        <v>1</v>
      </c>
      <c r="AS1205">
        <v>2</v>
      </c>
    </row>
    <row r="1206" spans="1:4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 t="str">
        <f>IF(Employee_data[[#This Row],[MonthlyIncome]]&lt;5000,"Low Income",
IF(Employee_data[[#This Row],[MonthlyIncome]]&lt;10000,"Medium Income","High Income"))</f>
        <v>Low Income</v>
      </c>
      <c r="U1206" t="s">
        <v>91</v>
      </c>
      <c r="V1206" t="s">
        <v>91</v>
      </c>
      <c r="W1206" t="s">
        <v>91</v>
      </c>
      <c r="X1206" t="s">
        <v>91</v>
      </c>
      <c r="Y1206">
        <v>11740</v>
      </c>
      <c r="Z1206">
        <v>2</v>
      </c>
      <c r="AA1206" t="s">
        <v>42</v>
      </c>
      <c r="AB1206" t="s">
        <v>35</v>
      </c>
      <c r="AC1206">
        <v>11</v>
      </c>
      <c r="AD1206">
        <v>3</v>
      </c>
      <c r="AE1206">
        <v>3</v>
      </c>
      <c r="AF1206">
        <v>80</v>
      </c>
      <c r="AG1206">
        <v>2</v>
      </c>
      <c r="AH12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06">
        <v>19</v>
      </c>
      <c r="AJ1206" t="s">
        <v>78</v>
      </c>
      <c r="AK1206">
        <v>3</v>
      </c>
      <c r="AL1206" t="s">
        <v>78</v>
      </c>
      <c r="AM1206">
        <v>3</v>
      </c>
      <c r="AN1206" t="s">
        <v>78</v>
      </c>
      <c r="AO1206">
        <v>9</v>
      </c>
      <c r="AP1206" t="s">
        <v>78</v>
      </c>
      <c r="AQ1206">
        <v>7</v>
      </c>
      <c r="AR1206">
        <v>7</v>
      </c>
      <c r="AS1206">
        <v>7</v>
      </c>
    </row>
    <row r="1207" spans="1:4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 t="str">
        <f>IF(Employee_data[[#This Row],[MonthlyIncome]]&lt;5000,"Low Income",
IF(Employee_data[[#This Row],[MonthlyIncome]]&lt;10000,"Medium Income","High Income"))</f>
        <v>Low Income</v>
      </c>
      <c r="U1207" t="s">
        <v>91</v>
      </c>
      <c r="V1207" t="s">
        <v>91</v>
      </c>
      <c r="W1207" t="s">
        <v>91</v>
      </c>
      <c r="X1207" t="s">
        <v>91</v>
      </c>
      <c r="Y1207">
        <v>24852</v>
      </c>
      <c r="Z1207">
        <v>1</v>
      </c>
      <c r="AA1207" t="s">
        <v>42</v>
      </c>
      <c r="AB1207" t="s">
        <v>43</v>
      </c>
      <c r="AC1207">
        <v>12</v>
      </c>
      <c r="AD1207">
        <v>3</v>
      </c>
      <c r="AE1207">
        <v>1</v>
      </c>
      <c r="AF1207">
        <v>80</v>
      </c>
      <c r="AG1207">
        <v>0</v>
      </c>
      <c r="AH12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07">
        <v>1</v>
      </c>
      <c r="AJ1207" t="s">
        <v>74</v>
      </c>
      <c r="AK1207">
        <v>2</v>
      </c>
      <c r="AL1207" t="s">
        <v>74</v>
      </c>
      <c r="AM1207">
        <v>3</v>
      </c>
      <c r="AN1207" t="s">
        <v>74</v>
      </c>
      <c r="AO1207">
        <v>1</v>
      </c>
      <c r="AP1207" t="s">
        <v>74</v>
      </c>
      <c r="AQ1207">
        <v>0</v>
      </c>
      <c r="AR1207">
        <v>0</v>
      </c>
      <c r="AS1207">
        <v>0</v>
      </c>
    </row>
    <row r="1208" spans="1:4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 t="str">
        <f>IF(Employee_data[[#This Row],[MonthlyIncome]]&lt;5000,"Low Income",
IF(Employee_data[[#This Row],[MonthlyIncome]]&lt;10000,"Medium Income","High Income"))</f>
        <v>Low Income</v>
      </c>
      <c r="U1208" t="s">
        <v>91</v>
      </c>
      <c r="V1208" t="s">
        <v>91</v>
      </c>
      <c r="W1208" t="s">
        <v>91</v>
      </c>
      <c r="X1208" t="s">
        <v>91</v>
      </c>
      <c r="Y1208">
        <v>11925</v>
      </c>
      <c r="Z1208">
        <v>1</v>
      </c>
      <c r="AA1208" t="s">
        <v>42</v>
      </c>
      <c r="AB1208" t="s">
        <v>43</v>
      </c>
      <c r="AC1208">
        <v>20</v>
      </c>
      <c r="AD1208">
        <v>4</v>
      </c>
      <c r="AE1208">
        <v>3</v>
      </c>
      <c r="AF1208">
        <v>80</v>
      </c>
      <c r="AG1208">
        <v>0</v>
      </c>
      <c r="AH12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08">
        <v>7</v>
      </c>
      <c r="AJ1208" t="s">
        <v>78</v>
      </c>
      <c r="AK1208">
        <v>5</v>
      </c>
      <c r="AL1208" t="s">
        <v>78</v>
      </c>
      <c r="AM1208">
        <v>3</v>
      </c>
      <c r="AN1208" t="s">
        <v>78</v>
      </c>
      <c r="AO1208">
        <v>7</v>
      </c>
      <c r="AP1208" t="s">
        <v>78</v>
      </c>
      <c r="AQ1208">
        <v>7</v>
      </c>
      <c r="AR1208">
        <v>5</v>
      </c>
      <c r="AS1208">
        <v>7</v>
      </c>
    </row>
    <row r="1209" spans="1:4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 t="str">
        <f>IF(Employee_data[[#This Row],[MonthlyIncome]]&lt;5000,"Low Income",
IF(Employee_data[[#This Row],[MonthlyIncome]]&lt;10000,"Medium Income","High Income"))</f>
        <v>Low Income</v>
      </c>
      <c r="U1209" t="s">
        <v>91</v>
      </c>
      <c r="V1209" t="s">
        <v>91</v>
      </c>
      <c r="W1209" t="s">
        <v>91</v>
      </c>
      <c r="X1209" t="s">
        <v>91</v>
      </c>
      <c r="Y1209">
        <v>23737</v>
      </c>
      <c r="Z1209">
        <v>5</v>
      </c>
      <c r="AA1209" t="s">
        <v>42</v>
      </c>
      <c r="AB1209" t="s">
        <v>43</v>
      </c>
      <c r="AC1209">
        <v>12</v>
      </c>
      <c r="AD1209">
        <v>3</v>
      </c>
      <c r="AE1209">
        <v>4</v>
      </c>
      <c r="AF1209">
        <v>80</v>
      </c>
      <c r="AG1209">
        <v>1</v>
      </c>
      <c r="AH12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09">
        <v>8</v>
      </c>
      <c r="AJ1209" t="s">
        <v>74</v>
      </c>
      <c r="AK1209">
        <v>1</v>
      </c>
      <c r="AL1209" t="s">
        <v>74</v>
      </c>
      <c r="AM1209">
        <v>3</v>
      </c>
      <c r="AN1209" t="s">
        <v>74</v>
      </c>
      <c r="AO1209">
        <v>4</v>
      </c>
      <c r="AP1209" t="s">
        <v>74</v>
      </c>
      <c r="AQ1209">
        <v>2</v>
      </c>
      <c r="AR1209">
        <v>1</v>
      </c>
      <c r="AS1209">
        <v>2</v>
      </c>
    </row>
    <row r="1210" spans="1:4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 t="str">
        <f>IF(Employee_data[[#This Row],[MonthlyIncome]]&lt;5000,"Low Income",
IF(Employee_data[[#This Row],[MonthlyIncome]]&lt;10000,"Medium Income","High Income"))</f>
        <v>Low Income</v>
      </c>
      <c r="U1210" t="s">
        <v>91</v>
      </c>
      <c r="V1210" t="s">
        <v>91</v>
      </c>
      <c r="W1210" t="s">
        <v>91</v>
      </c>
      <c r="X1210" t="s">
        <v>91</v>
      </c>
      <c r="Y1210">
        <v>11912</v>
      </c>
      <c r="Z1210">
        <v>1</v>
      </c>
      <c r="AA1210" t="s">
        <v>42</v>
      </c>
      <c r="AB1210" t="s">
        <v>43</v>
      </c>
      <c r="AC1210">
        <v>14</v>
      </c>
      <c r="AD1210">
        <v>3</v>
      </c>
      <c r="AE1210">
        <v>3</v>
      </c>
      <c r="AF1210">
        <v>80</v>
      </c>
      <c r="AG1210">
        <v>1</v>
      </c>
      <c r="AH12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210">
        <v>15</v>
      </c>
      <c r="AJ1210" t="s">
        <v>76</v>
      </c>
      <c r="AK1210">
        <v>3</v>
      </c>
      <c r="AL1210" t="s">
        <v>76</v>
      </c>
      <c r="AM1210">
        <v>4</v>
      </c>
      <c r="AN1210" t="s">
        <v>76</v>
      </c>
      <c r="AO1210">
        <v>15</v>
      </c>
      <c r="AP1210" t="s">
        <v>76</v>
      </c>
      <c r="AQ1210">
        <v>10</v>
      </c>
      <c r="AR1210">
        <v>4</v>
      </c>
      <c r="AS1210">
        <v>13</v>
      </c>
    </row>
    <row r="1211" spans="1:4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 t="str">
        <f>IF(Employee_data[[#This Row],[MonthlyIncome]]&lt;5000,"Low Income",
IF(Employee_data[[#This Row],[MonthlyIncome]]&lt;10000,"Medium Income","High Income"))</f>
        <v>High Income</v>
      </c>
      <c r="U1211" t="s">
        <v>90</v>
      </c>
      <c r="V1211" t="s">
        <v>90</v>
      </c>
      <c r="W1211" t="s">
        <v>90</v>
      </c>
      <c r="X1211" t="s">
        <v>90</v>
      </c>
      <c r="Y1211">
        <v>20467</v>
      </c>
      <c r="Z1211">
        <v>3</v>
      </c>
      <c r="AA1211" t="s">
        <v>42</v>
      </c>
      <c r="AB1211" t="s">
        <v>43</v>
      </c>
      <c r="AC1211">
        <v>20</v>
      </c>
      <c r="AD1211">
        <v>4</v>
      </c>
      <c r="AE1211">
        <v>3</v>
      </c>
      <c r="AF1211">
        <v>80</v>
      </c>
      <c r="AG1211">
        <v>1</v>
      </c>
      <c r="AH12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11">
        <v>19</v>
      </c>
      <c r="AJ1211" t="s">
        <v>74</v>
      </c>
      <c r="AK1211">
        <v>2</v>
      </c>
      <c r="AL1211" t="s">
        <v>74</v>
      </c>
      <c r="AM1211">
        <v>4</v>
      </c>
      <c r="AN1211" t="s">
        <v>74</v>
      </c>
      <c r="AO1211">
        <v>1</v>
      </c>
      <c r="AP1211" t="s">
        <v>74</v>
      </c>
      <c r="AQ1211">
        <v>0</v>
      </c>
      <c r="AR1211">
        <v>0</v>
      </c>
      <c r="AS1211">
        <v>0</v>
      </c>
    </row>
    <row r="1212" spans="1:4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 t="str">
        <f>IF(Employee_data[[#This Row],[MonthlyIncome]]&lt;5000,"Low Income",
IF(Employee_data[[#This Row],[MonthlyIncome]]&lt;10000,"Medium Income","High Income"))</f>
        <v>Low Income</v>
      </c>
      <c r="U1212" t="s">
        <v>91</v>
      </c>
      <c r="V1212" t="s">
        <v>91</v>
      </c>
      <c r="W1212" t="s">
        <v>91</v>
      </c>
      <c r="X1212" t="s">
        <v>91</v>
      </c>
      <c r="Y1212">
        <v>13637</v>
      </c>
      <c r="Z1212">
        <v>1</v>
      </c>
      <c r="AA1212" t="s">
        <v>42</v>
      </c>
      <c r="AB1212" t="s">
        <v>43</v>
      </c>
      <c r="AC1212">
        <v>18</v>
      </c>
      <c r="AD1212">
        <v>3</v>
      </c>
      <c r="AE1212">
        <v>4</v>
      </c>
      <c r="AF1212">
        <v>80</v>
      </c>
      <c r="AG1212">
        <v>3</v>
      </c>
      <c r="AH12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12">
        <v>14</v>
      </c>
      <c r="AJ1212" t="s">
        <v>75</v>
      </c>
      <c r="AK1212">
        <v>6</v>
      </c>
      <c r="AL1212" t="s">
        <v>75</v>
      </c>
      <c r="AM1212">
        <v>3</v>
      </c>
      <c r="AN1212" t="s">
        <v>75</v>
      </c>
      <c r="AO1212">
        <v>14</v>
      </c>
      <c r="AP1212" t="s">
        <v>75</v>
      </c>
      <c r="AQ1212">
        <v>11</v>
      </c>
      <c r="AR1212">
        <v>2</v>
      </c>
      <c r="AS1212">
        <v>13</v>
      </c>
    </row>
    <row r="1213" spans="1:4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 t="str">
        <f>IF(Employee_data[[#This Row],[MonthlyIncome]]&lt;5000,"Low Income",
IF(Employee_data[[#This Row],[MonthlyIncome]]&lt;10000,"Medium Income","High Income"))</f>
        <v>Medium Income</v>
      </c>
      <c r="U1213" t="s">
        <v>92</v>
      </c>
      <c r="V1213" t="s">
        <v>92</v>
      </c>
      <c r="W1213" t="s">
        <v>92</v>
      </c>
      <c r="X1213" t="s">
        <v>92</v>
      </c>
      <c r="Y1213">
        <v>7677</v>
      </c>
      <c r="Z1213">
        <v>1</v>
      </c>
      <c r="AA1213" t="s">
        <v>42</v>
      </c>
      <c r="AB1213" t="s">
        <v>43</v>
      </c>
      <c r="AC1213">
        <v>14</v>
      </c>
      <c r="AD1213">
        <v>3</v>
      </c>
      <c r="AE1213">
        <v>3</v>
      </c>
      <c r="AF1213">
        <v>80</v>
      </c>
      <c r="AG1213">
        <v>2</v>
      </c>
      <c r="AH12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13">
        <v>6</v>
      </c>
      <c r="AJ1213" t="s">
        <v>78</v>
      </c>
      <c r="AK1213">
        <v>2</v>
      </c>
      <c r="AL1213" t="s">
        <v>78</v>
      </c>
      <c r="AM1213">
        <v>2</v>
      </c>
      <c r="AN1213" t="s">
        <v>78</v>
      </c>
      <c r="AO1213">
        <v>6</v>
      </c>
      <c r="AP1213" t="s">
        <v>78</v>
      </c>
      <c r="AQ1213">
        <v>3</v>
      </c>
      <c r="AR1213">
        <v>1</v>
      </c>
      <c r="AS1213">
        <v>3</v>
      </c>
    </row>
    <row r="1214" spans="1:4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 t="str">
        <f>IF(Employee_data[[#This Row],[MonthlyIncome]]&lt;5000,"Low Income",
IF(Employee_data[[#This Row],[MonthlyIncome]]&lt;10000,"Medium Income","High Income"))</f>
        <v>Low Income</v>
      </c>
      <c r="U1214" t="s">
        <v>91</v>
      </c>
      <c r="V1214" t="s">
        <v>91</v>
      </c>
      <c r="W1214" t="s">
        <v>91</v>
      </c>
      <c r="X1214" t="s">
        <v>91</v>
      </c>
      <c r="Y1214">
        <v>20338</v>
      </c>
      <c r="Z1214">
        <v>1</v>
      </c>
      <c r="AA1214" t="s">
        <v>42</v>
      </c>
      <c r="AB1214" t="s">
        <v>43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14">
        <v>10</v>
      </c>
      <c r="AJ1214" t="s">
        <v>75</v>
      </c>
      <c r="AK1214">
        <v>3</v>
      </c>
      <c r="AL1214" t="s">
        <v>75</v>
      </c>
      <c r="AM1214">
        <v>3</v>
      </c>
      <c r="AN1214" t="s">
        <v>75</v>
      </c>
      <c r="AO1214">
        <v>10</v>
      </c>
      <c r="AP1214" t="s">
        <v>75</v>
      </c>
      <c r="AQ1214">
        <v>9</v>
      </c>
      <c r="AR1214">
        <v>8</v>
      </c>
      <c r="AS1214">
        <v>7</v>
      </c>
    </row>
    <row r="1215" spans="1:4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 t="str">
        <f>IF(Employee_data[[#This Row],[MonthlyIncome]]&lt;5000,"Low Income",
IF(Employee_data[[#This Row],[MonthlyIncome]]&lt;10000,"Medium Income","High Income"))</f>
        <v>Low Income</v>
      </c>
      <c r="U1215" t="s">
        <v>91</v>
      </c>
      <c r="V1215" t="s">
        <v>91</v>
      </c>
      <c r="W1215" t="s">
        <v>91</v>
      </c>
      <c r="X1215" t="s">
        <v>91</v>
      </c>
      <c r="Y1215">
        <v>25103</v>
      </c>
      <c r="Z1215">
        <v>1</v>
      </c>
      <c r="AA1215" t="s">
        <v>42</v>
      </c>
      <c r="AB1215" t="s">
        <v>35</v>
      </c>
      <c r="AC1215">
        <v>21</v>
      </c>
      <c r="AD1215">
        <v>4</v>
      </c>
      <c r="AE1215">
        <v>2</v>
      </c>
      <c r="AF1215">
        <v>80</v>
      </c>
      <c r="AG1215">
        <v>1</v>
      </c>
      <c r="AH12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15">
        <v>3</v>
      </c>
      <c r="AJ1215" t="s">
        <v>74</v>
      </c>
      <c r="AK1215">
        <v>2</v>
      </c>
      <c r="AL1215" t="s">
        <v>74</v>
      </c>
      <c r="AM1215">
        <v>3</v>
      </c>
      <c r="AN1215" t="s">
        <v>74</v>
      </c>
      <c r="AO1215">
        <v>3</v>
      </c>
      <c r="AP1215" t="s">
        <v>74</v>
      </c>
      <c r="AQ1215">
        <v>2</v>
      </c>
      <c r="AR1215">
        <v>0</v>
      </c>
      <c r="AS1215">
        <v>2</v>
      </c>
    </row>
    <row r="1216" spans="1:4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 t="str">
        <f>IF(Employee_data[[#This Row],[MonthlyIncome]]&lt;5000,"Low Income",
IF(Employee_data[[#This Row],[MonthlyIncome]]&lt;10000,"Medium Income","High Income"))</f>
        <v>Medium Income</v>
      </c>
      <c r="U1216" t="s">
        <v>92</v>
      </c>
      <c r="V1216" t="s">
        <v>92</v>
      </c>
      <c r="W1216" t="s">
        <v>92</v>
      </c>
      <c r="X1216" t="s">
        <v>92</v>
      </c>
      <c r="Y1216">
        <v>14810</v>
      </c>
      <c r="Z1216">
        <v>1</v>
      </c>
      <c r="AA1216" t="s">
        <v>42</v>
      </c>
      <c r="AB1216" t="s">
        <v>35</v>
      </c>
      <c r="AC1216">
        <v>19</v>
      </c>
      <c r="AD1216">
        <v>3</v>
      </c>
      <c r="AE1216">
        <v>2</v>
      </c>
      <c r="AF1216">
        <v>80</v>
      </c>
      <c r="AG1216">
        <v>1</v>
      </c>
      <c r="AH12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16">
        <v>9</v>
      </c>
      <c r="AJ1216" t="s">
        <v>78</v>
      </c>
      <c r="AK1216">
        <v>2</v>
      </c>
      <c r="AL1216" t="s">
        <v>78</v>
      </c>
      <c r="AM1216">
        <v>3</v>
      </c>
      <c r="AN1216" t="s">
        <v>78</v>
      </c>
      <c r="AO1216">
        <v>8</v>
      </c>
      <c r="AP1216" t="s">
        <v>78</v>
      </c>
      <c r="AQ1216">
        <v>7</v>
      </c>
      <c r="AR1216">
        <v>6</v>
      </c>
      <c r="AS1216">
        <v>7</v>
      </c>
    </row>
    <row r="1217" spans="1:4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 t="str">
        <f>IF(Employee_data[[#This Row],[MonthlyIncome]]&lt;5000,"Low Income",
IF(Employee_data[[#This Row],[MonthlyIncome]]&lt;10000,"Medium Income","High Income"))</f>
        <v>Low Income</v>
      </c>
      <c r="U1217" t="s">
        <v>91</v>
      </c>
      <c r="V1217" t="s">
        <v>91</v>
      </c>
      <c r="W1217" t="s">
        <v>91</v>
      </c>
      <c r="X1217" t="s">
        <v>91</v>
      </c>
      <c r="Y1217">
        <v>13970</v>
      </c>
      <c r="Z1217">
        <v>0</v>
      </c>
      <c r="AA1217" t="s">
        <v>42</v>
      </c>
      <c r="AB1217" t="s">
        <v>35</v>
      </c>
      <c r="AC1217">
        <v>14</v>
      </c>
      <c r="AD1217">
        <v>3</v>
      </c>
      <c r="AE1217">
        <v>3</v>
      </c>
      <c r="AF1217">
        <v>80</v>
      </c>
      <c r="AG1217">
        <v>0</v>
      </c>
      <c r="AH12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17">
        <v>6</v>
      </c>
      <c r="AJ1217" t="s">
        <v>78</v>
      </c>
      <c r="AK1217">
        <v>2</v>
      </c>
      <c r="AL1217" t="s">
        <v>78</v>
      </c>
      <c r="AM1217">
        <v>4</v>
      </c>
      <c r="AN1217" t="s">
        <v>78</v>
      </c>
      <c r="AO1217">
        <v>5</v>
      </c>
      <c r="AP1217" t="s">
        <v>78</v>
      </c>
      <c r="AQ1217">
        <v>4</v>
      </c>
      <c r="AR1217">
        <v>1</v>
      </c>
      <c r="AS1217">
        <v>4</v>
      </c>
    </row>
    <row r="1218" spans="1:4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 t="str">
        <f>IF(Employee_data[[#This Row],[MonthlyIncome]]&lt;5000,"Low Income",
IF(Employee_data[[#This Row],[MonthlyIncome]]&lt;10000,"Medium Income","High Income"))</f>
        <v>Medium Income</v>
      </c>
      <c r="U1218" t="s">
        <v>92</v>
      </c>
      <c r="V1218" t="s">
        <v>92</v>
      </c>
      <c r="W1218" t="s">
        <v>92</v>
      </c>
      <c r="X1218" t="s">
        <v>92</v>
      </c>
      <c r="Y1218">
        <v>6069</v>
      </c>
      <c r="Z1218">
        <v>1</v>
      </c>
      <c r="AA1218" t="s">
        <v>42</v>
      </c>
      <c r="AB1218" t="s">
        <v>35</v>
      </c>
      <c r="AC1218">
        <v>17</v>
      </c>
      <c r="AD1218">
        <v>3</v>
      </c>
      <c r="AE1218">
        <v>1</v>
      </c>
      <c r="AF1218">
        <v>80</v>
      </c>
      <c r="AG1218">
        <v>1</v>
      </c>
      <c r="AH12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18">
        <v>10</v>
      </c>
      <c r="AJ1218" t="s">
        <v>75</v>
      </c>
      <c r="AK1218">
        <v>3</v>
      </c>
      <c r="AL1218" t="s">
        <v>75</v>
      </c>
      <c r="AM1218">
        <v>3</v>
      </c>
      <c r="AN1218" t="s">
        <v>75</v>
      </c>
      <c r="AO1218">
        <v>10</v>
      </c>
      <c r="AP1218" t="s">
        <v>75</v>
      </c>
      <c r="AQ1218">
        <v>9</v>
      </c>
      <c r="AR1218">
        <v>8</v>
      </c>
      <c r="AS1218">
        <v>8</v>
      </c>
    </row>
    <row r="1219" spans="1:4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 t="str">
        <f>IF(Employee_data[[#This Row],[MonthlyIncome]]&lt;5000,"Low Income",
IF(Employee_data[[#This Row],[MonthlyIncome]]&lt;10000,"Medium Income","High Income"))</f>
        <v>Low Income</v>
      </c>
      <c r="U1219" t="s">
        <v>91</v>
      </c>
      <c r="V1219" t="s">
        <v>91</v>
      </c>
      <c r="W1219" t="s">
        <v>91</v>
      </c>
      <c r="X1219" t="s">
        <v>91</v>
      </c>
      <c r="Y1219">
        <v>17616</v>
      </c>
      <c r="Z1219">
        <v>1</v>
      </c>
      <c r="AA1219" t="s">
        <v>42</v>
      </c>
      <c r="AB1219" t="s">
        <v>43</v>
      </c>
      <c r="AC1219">
        <v>16</v>
      </c>
      <c r="AD1219">
        <v>3</v>
      </c>
      <c r="AE1219">
        <v>4</v>
      </c>
      <c r="AF1219">
        <v>80</v>
      </c>
      <c r="AG1219">
        <v>1</v>
      </c>
      <c r="AH12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19">
        <v>5</v>
      </c>
      <c r="AJ1219" t="s">
        <v>78</v>
      </c>
      <c r="AK1219">
        <v>1</v>
      </c>
      <c r="AL1219" t="s">
        <v>78</v>
      </c>
      <c r="AM1219">
        <v>3</v>
      </c>
      <c r="AN1219" t="s">
        <v>78</v>
      </c>
      <c r="AO1219">
        <v>5</v>
      </c>
      <c r="AP1219" t="s">
        <v>78</v>
      </c>
      <c r="AQ1219">
        <v>3</v>
      </c>
      <c r="AR1219">
        <v>0</v>
      </c>
      <c r="AS1219">
        <v>4</v>
      </c>
    </row>
    <row r="1220" spans="1:4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 t="str">
        <f>IF(Employee_data[[#This Row],[MonthlyIncome]]&lt;5000,"Low Income",
IF(Employee_data[[#This Row],[MonthlyIncome]]&lt;10000,"Medium Income","High Income"))</f>
        <v>Medium Income</v>
      </c>
      <c r="U1220" t="s">
        <v>92</v>
      </c>
      <c r="V1220" t="s">
        <v>92</v>
      </c>
      <c r="W1220" t="s">
        <v>92</v>
      </c>
      <c r="X1220" t="s">
        <v>92</v>
      </c>
      <c r="Y1220">
        <v>15869</v>
      </c>
      <c r="Z1220">
        <v>1</v>
      </c>
      <c r="AA1220" t="s">
        <v>42</v>
      </c>
      <c r="AB1220" t="s">
        <v>43</v>
      </c>
      <c r="AC1220">
        <v>12</v>
      </c>
      <c r="AD1220">
        <v>3</v>
      </c>
      <c r="AE1220">
        <v>2</v>
      </c>
      <c r="AF1220">
        <v>80</v>
      </c>
      <c r="AG1220">
        <v>0</v>
      </c>
      <c r="AH12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20">
        <v>10</v>
      </c>
      <c r="AJ1220" t="s">
        <v>75</v>
      </c>
      <c r="AK1220">
        <v>3</v>
      </c>
      <c r="AL1220" t="s">
        <v>75</v>
      </c>
      <c r="AM1220">
        <v>3</v>
      </c>
      <c r="AN1220" t="s">
        <v>75</v>
      </c>
      <c r="AO1220">
        <v>10</v>
      </c>
      <c r="AP1220" t="s">
        <v>75</v>
      </c>
      <c r="AQ1220">
        <v>8</v>
      </c>
      <c r="AR1220">
        <v>8</v>
      </c>
      <c r="AS1220">
        <v>7</v>
      </c>
    </row>
    <row r="1221" spans="1:4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 t="str">
        <f>IF(Employee_data[[#This Row],[MonthlyIncome]]&lt;5000,"Low Income",
IF(Employee_data[[#This Row],[MonthlyIncome]]&lt;10000,"Medium Income","High Income"))</f>
        <v>Low Income</v>
      </c>
      <c r="U1221" t="s">
        <v>91</v>
      </c>
      <c r="V1221" t="s">
        <v>91</v>
      </c>
      <c r="W1221" t="s">
        <v>91</v>
      </c>
      <c r="X1221" t="s">
        <v>91</v>
      </c>
      <c r="Y1221">
        <v>25412</v>
      </c>
      <c r="Z1221">
        <v>9</v>
      </c>
      <c r="AA1221" t="s">
        <v>42</v>
      </c>
      <c r="AB1221" t="s">
        <v>43</v>
      </c>
      <c r="AC1221">
        <v>17</v>
      </c>
      <c r="AD1221">
        <v>3</v>
      </c>
      <c r="AE1221">
        <v>3</v>
      </c>
      <c r="AF1221">
        <v>80</v>
      </c>
      <c r="AG1221">
        <v>1</v>
      </c>
      <c r="AH12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21">
        <v>9</v>
      </c>
      <c r="AJ1221" t="s">
        <v>78</v>
      </c>
      <c r="AK1221">
        <v>2</v>
      </c>
      <c r="AL1221" t="s">
        <v>78</v>
      </c>
      <c r="AM1221">
        <v>3</v>
      </c>
      <c r="AN1221" t="s">
        <v>78</v>
      </c>
      <c r="AO1221">
        <v>5</v>
      </c>
      <c r="AP1221" t="s">
        <v>78</v>
      </c>
      <c r="AQ1221">
        <v>3</v>
      </c>
      <c r="AR1221">
        <v>1</v>
      </c>
      <c r="AS1221">
        <v>2</v>
      </c>
    </row>
    <row r="1222" spans="1:4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 t="str">
        <f>IF(Employee_data[[#This Row],[MonthlyIncome]]&lt;5000,"Low Income",
IF(Employee_data[[#This Row],[MonthlyIncome]]&lt;10000,"Medium Income","High Income"))</f>
        <v>Low Income</v>
      </c>
      <c r="U1222" t="s">
        <v>91</v>
      </c>
      <c r="V1222" t="s">
        <v>91</v>
      </c>
      <c r="W1222" t="s">
        <v>91</v>
      </c>
      <c r="X1222" t="s">
        <v>91</v>
      </c>
      <c r="Y1222">
        <v>7439</v>
      </c>
      <c r="Z1222">
        <v>3</v>
      </c>
      <c r="AA1222" t="s">
        <v>42</v>
      </c>
      <c r="AB1222" t="s">
        <v>43</v>
      </c>
      <c r="AC1222">
        <v>15</v>
      </c>
      <c r="AD1222">
        <v>3</v>
      </c>
      <c r="AE1222">
        <v>3</v>
      </c>
      <c r="AF1222">
        <v>80</v>
      </c>
      <c r="AG1222">
        <v>0</v>
      </c>
      <c r="AH12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22">
        <v>17</v>
      </c>
      <c r="AJ1222" t="s">
        <v>75</v>
      </c>
      <c r="AK1222">
        <v>2</v>
      </c>
      <c r="AL1222" t="s">
        <v>75</v>
      </c>
      <c r="AM1222">
        <v>2</v>
      </c>
      <c r="AN1222" t="s">
        <v>75</v>
      </c>
      <c r="AO1222">
        <v>13</v>
      </c>
      <c r="AP1222" t="s">
        <v>75</v>
      </c>
      <c r="AQ1222">
        <v>7</v>
      </c>
      <c r="AR1222">
        <v>6</v>
      </c>
      <c r="AS1222">
        <v>7</v>
      </c>
    </row>
    <row r="1223" spans="1:4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 t="str">
        <f>IF(Employee_data[[#This Row],[MonthlyIncome]]&lt;5000,"Low Income",
IF(Employee_data[[#This Row],[MonthlyIncome]]&lt;10000,"Medium Income","High Income"))</f>
        <v>High Income</v>
      </c>
      <c r="U1223" t="s">
        <v>90</v>
      </c>
      <c r="V1223" t="s">
        <v>90</v>
      </c>
      <c r="W1223" t="s">
        <v>90</v>
      </c>
      <c r="X1223" t="s">
        <v>90</v>
      </c>
      <c r="Y1223">
        <v>3395</v>
      </c>
      <c r="Z1223">
        <v>3</v>
      </c>
      <c r="AA1223" t="s">
        <v>42</v>
      </c>
      <c r="AB1223" t="s">
        <v>43</v>
      </c>
      <c r="AC1223">
        <v>23</v>
      </c>
      <c r="AD1223">
        <v>4</v>
      </c>
      <c r="AE1223">
        <v>4</v>
      </c>
      <c r="AF1223">
        <v>80</v>
      </c>
      <c r="AG1223">
        <v>1</v>
      </c>
      <c r="AH12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223">
        <v>25</v>
      </c>
      <c r="AJ1223" t="s">
        <v>76</v>
      </c>
      <c r="AK1223">
        <v>3</v>
      </c>
      <c r="AL1223" t="s">
        <v>76</v>
      </c>
      <c r="AM1223">
        <v>2</v>
      </c>
      <c r="AN1223" t="s">
        <v>76</v>
      </c>
      <c r="AO1223">
        <v>23</v>
      </c>
      <c r="AP1223" t="s">
        <v>76</v>
      </c>
      <c r="AQ1223">
        <v>15</v>
      </c>
      <c r="AR1223">
        <v>14</v>
      </c>
      <c r="AS1223">
        <v>4</v>
      </c>
    </row>
    <row r="1224" spans="1:4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 t="str">
        <f>IF(Employee_data[[#This Row],[MonthlyIncome]]&lt;5000,"Low Income",
IF(Employee_data[[#This Row],[MonthlyIncome]]&lt;10000,"Medium Income","High Income"))</f>
        <v>Low Income</v>
      </c>
      <c r="U1224" t="s">
        <v>91</v>
      </c>
      <c r="V1224" t="s">
        <v>91</v>
      </c>
      <c r="W1224" t="s">
        <v>91</v>
      </c>
      <c r="X1224" t="s">
        <v>91</v>
      </c>
      <c r="Y1224">
        <v>11585</v>
      </c>
      <c r="Z1224">
        <v>1</v>
      </c>
      <c r="AA1224" t="s">
        <v>42</v>
      </c>
      <c r="AB1224" t="s">
        <v>43</v>
      </c>
      <c r="AC1224">
        <v>11</v>
      </c>
      <c r="AD1224">
        <v>3</v>
      </c>
      <c r="AE1224">
        <v>3</v>
      </c>
      <c r="AF1224">
        <v>80</v>
      </c>
      <c r="AG1224">
        <v>1</v>
      </c>
      <c r="AH12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24">
        <v>1</v>
      </c>
      <c r="AJ1224" t="s">
        <v>74</v>
      </c>
      <c r="AK1224">
        <v>2</v>
      </c>
      <c r="AL1224" t="s">
        <v>74</v>
      </c>
      <c r="AM1224">
        <v>3</v>
      </c>
      <c r="AN1224" t="s">
        <v>74</v>
      </c>
      <c r="AO1224">
        <v>1</v>
      </c>
      <c r="AP1224" t="s">
        <v>74</v>
      </c>
      <c r="AQ1224">
        <v>0</v>
      </c>
      <c r="AR1224">
        <v>0</v>
      </c>
      <c r="AS1224">
        <v>0</v>
      </c>
    </row>
    <row r="1225" spans="1:4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 t="str">
        <f>IF(Employee_data[[#This Row],[MonthlyIncome]]&lt;5000,"Low Income",
IF(Employee_data[[#This Row],[MonthlyIncome]]&lt;10000,"Medium Income","High Income"))</f>
        <v>High Income</v>
      </c>
      <c r="U1225" t="s">
        <v>90</v>
      </c>
      <c r="V1225" t="s">
        <v>90</v>
      </c>
      <c r="W1225" t="s">
        <v>90</v>
      </c>
      <c r="X1225" t="s">
        <v>90</v>
      </c>
      <c r="Y1225">
        <v>24164</v>
      </c>
      <c r="Z1225">
        <v>7</v>
      </c>
      <c r="AA1225" t="s">
        <v>42</v>
      </c>
      <c r="AB1225" t="s">
        <v>43</v>
      </c>
      <c r="AC1225">
        <v>11</v>
      </c>
      <c r="AD1225">
        <v>3</v>
      </c>
      <c r="AE1225">
        <v>3</v>
      </c>
      <c r="AF1225">
        <v>80</v>
      </c>
      <c r="AG1225">
        <v>0</v>
      </c>
      <c r="AH12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225">
        <v>25</v>
      </c>
      <c r="AJ1225" t="s">
        <v>76</v>
      </c>
      <c r="AK1225">
        <v>3</v>
      </c>
      <c r="AL1225" t="s">
        <v>76</v>
      </c>
      <c r="AM1225">
        <v>1</v>
      </c>
      <c r="AN1225" t="s">
        <v>76</v>
      </c>
      <c r="AO1225">
        <v>23</v>
      </c>
      <c r="AP1225" t="s">
        <v>76</v>
      </c>
      <c r="AQ1225">
        <v>5</v>
      </c>
      <c r="AR1225">
        <v>14</v>
      </c>
      <c r="AS1225">
        <v>10</v>
      </c>
    </row>
    <row r="1226" spans="1:4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 t="str">
        <f>IF(Employee_data[[#This Row],[MonthlyIncome]]&lt;5000,"Low Income",
IF(Employee_data[[#This Row],[MonthlyIncome]]&lt;10000,"Medium Income","High Income"))</f>
        <v>Low Income</v>
      </c>
      <c r="U1226" t="s">
        <v>91</v>
      </c>
      <c r="V1226" t="s">
        <v>91</v>
      </c>
      <c r="W1226" t="s">
        <v>91</v>
      </c>
      <c r="X1226" t="s">
        <v>91</v>
      </c>
      <c r="Y1226">
        <v>6217</v>
      </c>
      <c r="Z1226">
        <v>1</v>
      </c>
      <c r="AA1226" t="s">
        <v>42</v>
      </c>
      <c r="AB1226" t="s">
        <v>43</v>
      </c>
      <c r="AC1226">
        <v>15</v>
      </c>
      <c r="AD1226">
        <v>3</v>
      </c>
      <c r="AE1226">
        <v>3</v>
      </c>
      <c r="AF1226">
        <v>80</v>
      </c>
      <c r="AG1226">
        <v>3</v>
      </c>
      <c r="AH12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26">
        <v>3</v>
      </c>
      <c r="AJ1226" t="s">
        <v>74</v>
      </c>
      <c r="AK1226">
        <v>3</v>
      </c>
      <c r="AL1226" t="s">
        <v>74</v>
      </c>
      <c r="AM1226">
        <v>4</v>
      </c>
      <c r="AN1226" t="s">
        <v>74</v>
      </c>
      <c r="AO1226">
        <v>3</v>
      </c>
      <c r="AP1226" t="s">
        <v>74</v>
      </c>
      <c r="AQ1226">
        <v>2</v>
      </c>
      <c r="AR1226">
        <v>0</v>
      </c>
      <c r="AS1226">
        <v>2</v>
      </c>
    </row>
    <row r="1227" spans="1:4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 t="str">
        <f>IF(Employee_data[[#This Row],[MonthlyIncome]]&lt;5000,"Low Income",
IF(Employee_data[[#This Row],[MonthlyIncome]]&lt;10000,"Medium Income","High Income"))</f>
        <v>High Income</v>
      </c>
      <c r="U1227" t="s">
        <v>90</v>
      </c>
      <c r="V1227" t="s">
        <v>90</v>
      </c>
      <c r="W1227" t="s">
        <v>90</v>
      </c>
      <c r="X1227" t="s">
        <v>90</v>
      </c>
      <c r="Y1227">
        <v>17119</v>
      </c>
      <c r="Z1227">
        <v>1</v>
      </c>
      <c r="AA1227" t="s">
        <v>42</v>
      </c>
      <c r="AB1227" t="s">
        <v>43</v>
      </c>
      <c r="AC1227">
        <v>11</v>
      </c>
      <c r="AD1227">
        <v>3</v>
      </c>
      <c r="AE1227">
        <v>3</v>
      </c>
      <c r="AF1227">
        <v>80</v>
      </c>
      <c r="AG1227">
        <v>0</v>
      </c>
      <c r="AH12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227">
        <v>21</v>
      </c>
      <c r="AJ1227" t="s">
        <v>76</v>
      </c>
      <c r="AK1227">
        <v>2</v>
      </c>
      <c r="AL1227" t="s">
        <v>76</v>
      </c>
      <c r="AM1227">
        <v>3</v>
      </c>
      <c r="AN1227" t="s">
        <v>76</v>
      </c>
      <c r="AO1227">
        <v>21</v>
      </c>
      <c r="AP1227" t="s">
        <v>76</v>
      </c>
      <c r="AQ1227">
        <v>6</v>
      </c>
      <c r="AR1227">
        <v>8</v>
      </c>
      <c r="AS1227">
        <v>6</v>
      </c>
    </row>
    <row r="1228" spans="1:4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 t="str">
        <f>IF(Employee_data[[#This Row],[MonthlyIncome]]&lt;5000,"Low Income",
IF(Employee_data[[#This Row],[MonthlyIncome]]&lt;10000,"Medium Income","High Income"))</f>
        <v>Low Income</v>
      </c>
      <c r="U1228" t="s">
        <v>91</v>
      </c>
      <c r="V1228" t="s">
        <v>91</v>
      </c>
      <c r="W1228" t="s">
        <v>91</v>
      </c>
      <c r="X1228" t="s">
        <v>91</v>
      </c>
      <c r="Y1228">
        <v>17360</v>
      </c>
      <c r="Z1228">
        <v>6</v>
      </c>
      <c r="AA1228" t="s">
        <v>42</v>
      </c>
      <c r="AB1228" t="s">
        <v>43</v>
      </c>
      <c r="AC1228">
        <v>13</v>
      </c>
      <c r="AD1228">
        <v>3</v>
      </c>
      <c r="AE1228">
        <v>1</v>
      </c>
      <c r="AF1228">
        <v>80</v>
      </c>
      <c r="AG1228">
        <v>1</v>
      </c>
      <c r="AH12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28">
        <v>10</v>
      </c>
      <c r="AJ1228" t="s">
        <v>78</v>
      </c>
      <c r="AK1228">
        <v>3</v>
      </c>
      <c r="AL1228" t="s">
        <v>78</v>
      </c>
      <c r="AM1228">
        <v>2</v>
      </c>
      <c r="AN1228" t="s">
        <v>78</v>
      </c>
      <c r="AO1228">
        <v>5</v>
      </c>
      <c r="AP1228" t="s">
        <v>78</v>
      </c>
      <c r="AQ1228">
        <v>2</v>
      </c>
      <c r="AR1228">
        <v>1</v>
      </c>
      <c r="AS1228">
        <v>3</v>
      </c>
    </row>
    <row r="1229" spans="1:4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 t="str">
        <f>IF(Employee_data[[#This Row],[MonthlyIncome]]&lt;5000,"Low Income",
IF(Employee_data[[#This Row],[MonthlyIncome]]&lt;10000,"Medium Income","High Income"))</f>
        <v>Low Income</v>
      </c>
      <c r="U1229" t="s">
        <v>91</v>
      </c>
      <c r="V1229" t="s">
        <v>91</v>
      </c>
      <c r="W1229" t="s">
        <v>91</v>
      </c>
      <c r="X1229" t="s">
        <v>91</v>
      </c>
      <c r="Y1229">
        <v>18103</v>
      </c>
      <c r="Z1229">
        <v>1</v>
      </c>
      <c r="AA1229" t="s">
        <v>42</v>
      </c>
      <c r="AB1229" t="s">
        <v>43</v>
      </c>
      <c r="AC1229">
        <v>14</v>
      </c>
      <c r="AD1229">
        <v>3</v>
      </c>
      <c r="AE1229">
        <v>4</v>
      </c>
      <c r="AF1229">
        <v>80</v>
      </c>
      <c r="AG1229">
        <v>1</v>
      </c>
      <c r="AH12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29">
        <v>6</v>
      </c>
      <c r="AJ1229" t="s">
        <v>78</v>
      </c>
      <c r="AK1229">
        <v>2</v>
      </c>
      <c r="AL1229" t="s">
        <v>78</v>
      </c>
      <c r="AM1229">
        <v>4</v>
      </c>
      <c r="AN1229" t="s">
        <v>78</v>
      </c>
      <c r="AO1229">
        <v>5</v>
      </c>
      <c r="AP1229" t="s">
        <v>78</v>
      </c>
      <c r="AQ1229">
        <v>2</v>
      </c>
      <c r="AR1229">
        <v>0</v>
      </c>
      <c r="AS1229">
        <v>3</v>
      </c>
    </row>
    <row r="1230" spans="1:4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 t="str">
        <f>IF(Employee_data[[#This Row],[MonthlyIncome]]&lt;5000,"Low Income",
IF(Employee_data[[#This Row],[MonthlyIncome]]&lt;10000,"Medium Income","High Income"))</f>
        <v>Medium Income</v>
      </c>
      <c r="U1230" t="s">
        <v>92</v>
      </c>
      <c r="V1230" t="s">
        <v>92</v>
      </c>
      <c r="W1230" t="s">
        <v>92</v>
      </c>
      <c r="X1230" t="s">
        <v>92</v>
      </c>
      <c r="Y1230">
        <v>20794</v>
      </c>
      <c r="Z1230">
        <v>6</v>
      </c>
      <c r="AA1230" t="s">
        <v>42</v>
      </c>
      <c r="AB1230" t="s">
        <v>43</v>
      </c>
      <c r="AC1230">
        <v>19</v>
      </c>
      <c r="AD1230">
        <v>3</v>
      </c>
      <c r="AE1230">
        <v>2</v>
      </c>
      <c r="AF1230">
        <v>80</v>
      </c>
      <c r="AG1230">
        <v>1</v>
      </c>
      <c r="AH12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30">
        <v>10</v>
      </c>
      <c r="AJ1230" t="s">
        <v>74</v>
      </c>
      <c r="AK1230">
        <v>4</v>
      </c>
      <c r="AL1230" t="s">
        <v>74</v>
      </c>
      <c r="AM1230">
        <v>3</v>
      </c>
      <c r="AN1230" t="s">
        <v>74</v>
      </c>
      <c r="AO1230">
        <v>3</v>
      </c>
      <c r="AP1230" t="s">
        <v>74</v>
      </c>
      <c r="AQ1230">
        <v>2</v>
      </c>
      <c r="AR1230">
        <v>1</v>
      </c>
      <c r="AS1230">
        <v>2</v>
      </c>
    </row>
    <row r="1231" spans="1:4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 t="str">
        <f>IF(Employee_data[[#This Row],[MonthlyIncome]]&lt;5000,"Low Income",
IF(Employee_data[[#This Row],[MonthlyIncome]]&lt;10000,"Medium Income","High Income"))</f>
        <v>Medium Income</v>
      </c>
      <c r="U1231" t="s">
        <v>92</v>
      </c>
      <c r="V1231" t="s">
        <v>92</v>
      </c>
      <c r="W1231" t="s">
        <v>92</v>
      </c>
      <c r="X1231" t="s">
        <v>92</v>
      </c>
      <c r="Y1231">
        <v>5041</v>
      </c>
      <c r="Z1231">
        <v>2</v>
      </c>
      <c r="AA1231" t="s">
        <v>42</v>
      </c>
      <c r="AB1231" t="s">
        <v>35</v>
      </c>
      <c r="AC1231">
        <v>16</v>
      </c>
      <c r="AD1231">
        <v>3</v>
      </c>
      <c r="AE1231">
        <v>2</v>
      </c>
      <c r="AF1231">
        <v>80</v>
      </c>
      <c r="AG1231">
        <v>1</v>
      </c>
      <c r="AH12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31">
        <v>18</v>
      </c>
      <c r="AJ1231" t="s">
        <v>74</v>
      </c>
      <c r="AK1231">
        <v>3</v>
      </c>
      <c r="AL1231" t="s">
        <v>74</v>
      </c>
      <c r="AM1231">
        <v>3</v>
      </c>
      <c r="AN1231" t="s">
        <v>74</v>
      </c>
      <c r="AO1231">
        <v>1</v>
      </c>
      <c r="AP1231" t="s">
        <v>74</v>
      </c>
      <c r="AQ1231">
        <v>0</v>
      </c>
      <c r="AR1231">
        <v>0</v>
      </c>
      <c r="AS1231">
        <v>0</v>
      </c>
    </row>
    <row r="1232" spans="1:4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 t="str">
        <f>IF(Employee_data[[#This Row],[MonthlyIncome]]&lt;5000,"Low Income",
IF(Employee_data[[#This Row],[MonthlyIncome]]&lt;10000,"Medium Income","High Income"))</f>
        <v>Low Income</v>
      </c>
      <c r="U1232" t="s">
        <v>91</v>
      </c>
      <c r="V1232" t="s">
        <v>91</v>
      </c>
      <c r="W1232" t="s">
        <v>91</v>
      </c>
      <c r="X1232" t="s">
        <v>91</v>
      </c>
      <c r="Y1232">
        <v>3622</v>
      </c>
      <c r="Z1232">
        <v>1</v>
      </c>
      <c r="AA1232" t="s">
        <v>42</v>
      </c>
      <c r="AB1232" t="s">
        <v>43</v>
      </c>
      <c r="AC1232">
        <v>13</v>
      </c>
      <c r="AD1232">
        <v>3</v>
      </c>
      <c r="AE1232">
        <v>2</v>
      </c>
      <c r="AF1232">
        <v>80</v>
      </c>
      <c r="AG1232">
        <v>3</v>
      </c>
      <c r="AH12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32">
        <v>6</v>
      </c>
      <c r="AJ1232" t="s">
        <v>78</v>
      </c>
      <c r="AK1232">
        <v>2</v>
      </c>
      <c r="AL1232" t="s">
        <v>78</v>
      </c>
      <c r="AM1232">
        <v>4</v>
      </c>
      <c r="AN1232" t="s">
        <v>78</v>
      </c>
      <c r="AO1232">
        <v>6</v>
      </c>
      <c r="AP1232" t="s">
        <v>78</v>
      </c>
      <c r="AQ1232">
        <v>2</v>
      </c>
      <c r="AR1232">
        <v>1</v>
      </c>
      <c r="AS1232">
        <v>2</v>
      </c>
    </row>
    <row r="1233" spans="1:4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 t="str">
        <f>IF(Employee_data[[#This Row],[MonthlyIncome]]&lt;5000,"Low Income",
IF(Employee_data[[#This Row],[MonthlyIncome]]&lt;10000,"Medium Income","High Income"))</f>
        <v>Medium Income</v>
      </c>
      <c r="U1233" t="s">
        <v>92</v>
      </c>
      <c r="V1233" t="s">
        <v>92</v>
      </c>
      <c r="W1233" t="s">
        <v>92</v>
      </c>
      <c r="X1233" t="s">
        <v>92</v>
      </c>
      <c r="Y1233">
        <v>9697</v>
      </c>
      <c r="Z1233">
        <v>6</v>
      </c>
      <c r="AA1233" t="s">
        <v>42</v>
      </c>
      <c r="AB1233" t="s">
        <v>43</v>
      </c>
      <c r="AC1233">
        <v>14</v>
      </c>
      <c r="AD1233">
        <v>3</v>
      </c>
      <c r="AE1233">
        <v>4</v>
      </c>
      <c r="AF1233">
        <v>80</v>
      </c>
      <c r="AG1233">
        <v>0</v>
      </c>
      <c r="AH12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33">
        <v>19</v>
      </c>
      <c r="AJ1233" t="s">
        <v>75</v>
      </c>
      <c r="AK1233">
        <v>3</v>
      </c>
      <c r="AL1233" t="s">
        <v>75</v>
      </c>
      <c r="AM1233">
        <v>3</v>
      </c>
      <c r="AN1233" t="s">
        <v>75</v>
      </c>
      <c r="AO1233">
        <v>10</v>
      </c>
      <c r="AP1233" t="s">
        <v>75</v>
      </c>
      <c r="AQ1233">
        <v>7</v>
      </c>
      <c r="AR1233">
        <v>0</v>
      </c>
      <c r="AS1233">
        <v>9</v>
      </c>
    </row>
    <row r="1234" spans="1:4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 t="str">
        <f>IF(Employee_data[[#This Row],[MonthlyIncome]]&lt;5000,"Low Income",
IF(Employee_data[[#This Row],[MonthlyIncome]]&lt;10000,"Medium Income","High Income"))</f>
        <v>Medium Income</v>
      </c>
      <c r="U1234" t="s">
        <v>92</v>
      </c>
      <c r="V1234" t="s">
        <v>92</v>
      </c>
      <c r="W1234" t="s">
        <v>92</v>
      </c>
      <c r="X1234" t="s">
        <v>92</v>
      </c>
      <c r="Y1234">
        <v>5151</v>
      </c>
      <c r="Z1234">
        <v>2</v>
      </c>
      <c r="AA1234" t="s">
        <v>42</v>
      </c>
      <c r="AB1234" t="s">
        <v>43</v>
      </c>
      <c r="AC1234">
        <v>16</v>
      </c>
      <c r="AD1234">
        <v>3</v>
      </c>
      <c r="AE1234">
        <v>2</v>
      </c>
      <c r="AF1234">
        <v>80</v>
      </c>
      <c r="AG1234">
        <v>1</v>
      </c>
      <c r="AH12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34">
        <v>17</v>
      </c>
      <c r="AJ1234" t="s">
        <v>78</v>
      </c>
      <c r="AK1234">
        <v>3</v>
      </c>
      <c r="AL1234" t="s">
        <v>78</v>
      </c>
      <c r="AM1234">
        <v>3</v>
      </c>
      <c r="AN1234" t="s">
        <v>78</v>
      </c>
      <c r="AO1234">
        <v>7</v>
      </c>
      <c r="AP1234" t="s">
        <v>78</v>
      </c>
      <c r="AQ1234">
        <v>7</v>
      </c>
      <c r="AR1234">
        <v>0</v>
      </c>
      <c r="AS1234">
        <v>7</v>
      </c>
    </row>
    <row r="1235" spans="1:4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 t="str">
        <f>IF(Employee_data[[#This Row],[MonthlyIncome]]&lt;5000,"Low Income",
IF(Employee_data[[#This Row],[MonthlyIncome]]&lt;10000,"Medium Income","High Income"))</f>
        <v>Low Income</v>
      </c>
      <c r="U1235" t="s">
        <v>91</v>
      </c>
      <c r="V1235" t="s">
        <v>91</v>
      </c>
      <c r="W1235" t="s">
        <v>91</v>
      </c>
      <c r="X1235" t="s">
        <v>91</v>
      </c>
      <c r="Y1235">
        <v>3811</v>
      </c>
      <c r="Z1235">
        <v>1</v>
      </c>
      <c r="AA1235" t="s">
        <v>42</v>
      </c>
      <c r="AB1235" t="s">
        <v>43</v>
      </c>
      <c r="AC1235">
        <v>12</v>
      </c>
      <c r="AD1235">
        <v>3</v>
      </c>
      <c r="AE1235">
        <v>2</v>
      </c>
      <c r="AF1235">
        <v>80</v>
      </c>
      <c r="AG1235">
        <v>1</v>
      </c>
      <c r="AH12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35">
        <v>10</v>
      </c>
      <c r="AJ1235" t="s">
        <v>75</v>
      </c>
      <c r="AK1235">
        <v>2</v>
      </c>
      <c r="AL1235" t="s">
        <v>75</v>
      </c>
      <c r="AM1235">
        <v>2</v>
      </c>
      <c r="AN1235" t="s">
        <v>75</v>
      </c>
      <c r="AO1235">
        <v>10</v>
      </c>
      <c r="AP1235" t="s">
        <v>75</v>
      </c>
      <c r="AQ1235">
        <v>0</v>
      </c>
      <c r="AR1235">
        <v>0</v>
      </c>
      <c r="AS1235">
        <v>8</v>
      </c>
    </row>
    <row r="1236" spans="1:4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 t="str">
        <f>IF(Employee_data[[#This Row],[MonthlyIncome]]&lt;5000,"Low Income",
IF(Employee_data[[#This Row],[MonthlyIncome]]&lt;10000,"Medium Income","High Income"))</f>
        <v>Low Income</v>
      </c>
      <c r="U1236" t="s">
        <v>91</v>
      </c>
      <c r="V1236" t="s">
        <v>91</v>
      </c>
      <c r="W1236" t="s">
        <v>91</v>
      </c>
      <c r="X1236" t="s">
        <v>91</v>
      </c>
      <c r="Y1236">
        <v>3536</v>
      </c>
      <c r="Z1236">
        <v>7</v>
      </c>
      <c r="AA1236" t="s">
        <v>42</v>
      </c>
      <c r="AB1236" t="s">
        <v>43</v>
      </c>
      <c r="AC1236">
        <v>11</v>
      </c>
      <c r="AD1236">
        <v>3</v>
      </c>
      <c r="AE1236">
        <v>4</v>
      </c>
      <c r="AF1236">
        <v>80</v>
      </c>
      <c r="AG1236">
        <v>1</v>
      </c>
      <c r="AH12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36">
        <v>4</v>
      </c>
      <c r="AJ1236" t="s">
        <v>74</v>
      </c>
      <c r="AK1236">
        <v>3</v>
      </c>
      <c r="AL1236" t="s">
        <v>74</v>
      </c>
      <c r="AM1236">
        <v>1</v>
      </c>
      <c r="AN1236" t="s">
        <v>74</v>
      </c>
      <c r="AO1236">
        <v>1</v>
      </c>
      <c r="AP1236" t="s">
        <v>74</v>
      </c>
      <c r="AQ1236">
        <v>0</v>
      </c>
      <c r="AR1236">
        <v>0</v>
      </c>
      <c r="AS1236">
        <v>0</v>
      </c>
    </row>
    <row r="1237" spans="1:4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 t="str">
        <f>IF(Employee_data[[#This Row],[MonthlyIncome]]&lt;5000,"Low Income",
IF(Employee_data[[#This Row],[MonthlyIncome]]&lt;10000,"Medium Income","High Income"))</f>
        <v>High Income</v>
      </c>
      <c r="U1237" t="s">
        <v>90</v>
      </c>
      <c r="V1237" t="s">
        <v>90</v>
      </c>
      <c r="W1237" t="s">
        <v>90</v>
      </c>
      <c r="X1237" t="s">
        <v>90</v>
      </c>
      <c r="Y1237">
        <v>5596</v>
      </c>
      <c r="Z1237">
        <v>4</v>
      </c>
      <c r="AA1237" t="s">
        <v>42</v>
      </c>
      <c r="AB1237" t="s">
        <v>35</v>
      </c>
      <c r="AC1237">
        <v>12</v>
      </c>
      <c r="AD1237">
        <v>3</v>
      </c>
      <c r="AE1237">
        <v>2</v>
      </c>
      <c r="AF1237">
        <v>80</v>
      </c>
      <c r="AG1237">
        <v>1</v>
      </c>
      <c r="AH12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37">
        <v>13</v>
      </c>
      <c r="AJ1237" t="s">
        <v>75</v>
      </c>
      <c r="AK1237">
        <v>5</v>
      </c>
      <c r="AL1237" t="s">
        <v>75</v>
      </c>
      <c r="AM1237">
        <v>2</v>
      </c>
      <c r="AN1237" t="s">
        <v>75</v>
      </c>
      <c r="AO1237">
        <v>10</v>
      </c>
      <c r="AP1237" t="s">
        <v>75</v>
      </c>
      <c r="AQ1237">
        <v>6</v>
      </c>
      <c r="AR1237">
        <v>0</v>
      </c>
      <c r="AS1237">
        <v>3</v>
      </c>
    </row>
    <row r="1238" spans="1:4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 t="str">
        <f>IF(Employee_data[[#This Row],[MonthlyIncome]]&lt;5000,"Low Income",
IF(Employee_data[[#This Row],[MonthlyIncome]]&lt;10000,"Medium Income","High Income"))</f>
        <v>Medium Income</v>
      </c>
      <c r="U1238" t="s">
        <v>92</v>
      </c>
      <c r="V1238" t="s">
        <v>92</v>
      </c>
      <c r="W1238" t="s">
        <v>92</v>
      </c>
      <c r="X1238" t="s">
        <v>92</v>
      </c>
      <c r="Y1238">
        <v>8658</v>
      </c>
      <c r="Z1238">
        <v>5</v>
      </c>
      <c r="AA1238" t="s">
        <v>42</v>
      </c>
      <c r="AB1238" t="s">
        <v>35</v>
      </c>
      <c r="AC1238">
        <v>13</v>
      </c>
      <c r="AD1238">
        <v>3</v>
      </c>
      <c r="AE1238">
        <v>2</v>
      </c>
      <c r="AF1238">
        <v>80</v>
      </c>
      <c r="AG1238">
        <v>3</v>
      </c>
      <c r="AH12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38">
        <v>16</v>
      </c>
      <c r="AJ1238" t="s">
        <v>74</v>
      </c>
      <c r="AK1238">
        <v>3</v>
      </c>
      <c r="AL1238" t="s">
        <v>74</v>
      </c>
      <c r="AM1238">
        <v>3</v>
      </c>
      <c r="AN1238" t="s">
        <v>74</v>
      </c>
      <c r="AO1238">
        <v>2</v>
      </c>
      <c r="AP1238" t="s">
        <v>74</v>
      </c>
      <c r="AQ1238">
        <v>2</v>
      </c>
      <c r="AR1238">
        <v>2</v>
      </c>
      <c r="AS1238">
        <v>2</v>
      </c>
    </row>
    <row r="1239" spans="1:4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 t="str">
        <f>IF(Employee_data[[#This Row],[MonthlyIncome]]&lt;5000,"Low Income",
IF(Employee_data[[#This Row],[MonthlyIncome]]&lt;10000,"Medium Income","High Income"))</f>
        <v>Medium Income</v>
      </c>
      <c r="U1239" t="s">
        <v>92</v>
      </c>
      <c r="V1239" t="s">
        <v>92</v>
      </c>
      <c r="W1239" t="s">
        <v>92</v>
      </c>
      <c r="X1239" t="s">
        <v>92</v>
      </c>
      <c r="Y1239">
        <v>12147</v>
      </c>
      <c r="Z1239">
        <v>6</v>
      </c>
      <c r="AA1239" t="s">
        <v>42</v>
      </c>
      <c r="AB1239" t="s">
        <v>43</v>
      </c>
      <c r="AC1239">
        <v>15</v>
      </c>
      <c r="AD1239">
        <v>3</v>
      </c>
      <c r="AE1239">
        <v>2</v>
      </c>
      <c r="AF1239">
        <v>80</v>
      </c>
      <c r="AG1239">
        <v>0</v>
      </c>
      <c r="AH12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39">
        <v>10</v>
      </c>
      <c r="AJ1239" t="s">
        <v>74</v>
      </c>
      <c r="AK1239">
        <v>2</v>
      </c>
      <c r="AL1239" t="s">
        <v>74</v>
      </c>
      <c r="AM1239">
        <v>3</v>
      </c>
      <c r="AN1239" t="s">
        <v>74</v>
      </c>
      <c r="AO1239">
        <v>0</v>
      </c>
      <c r="AP1239" t="s">
        <v>74</v>
      </c>
      <c r="AQ1239">
        <v>0</v>
      </c>
      <c r="AR1239">
        <v>0</v>
      </c>
      <c r="AS1239">
        <v>0</v>
      </c>
    </row>
    <row r="1240" spans="1:4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 t="str">
        <f>IF(Employee_data[[#This Row],[MonthlyIncome]]&lt;5000,"Low Income",
IF(Employee_data[[#This Row],[MonthlyIncome]]&lt;10000,"Medium Income","High Income"))</f>
        <v>Low Income</v>
      </c>
      <c r="U1240" t="s">
        <v>91</v>
      </c>
      <c r="V1240" t="s">
        <v>91</v>
      </c>
      <c r="W1240" t="s">
        <v>91</v>
      </c>
      <c r="X1240" t="s">
        <v>91</v>
      </c>
      <c r="Y1240">
        <v>12862</v>
      </c>
      <c r="Z1240">
        <v>1</v>
      </c>
      <c r="AA1240" t="s">
        <v>42</v>
      </c>
      <c r="AB1240" t="s">
        <v>43</v>
      </c>
      <c r="AC1240">
        <v>13</v>
      </c>
      <c r="AD1240">
        <v>3</v>
      </c>
      <c r="AE1240">
        <v>3</v>
      </c>
      <c r="AF1240">
        <v>80</v>
      </c>
      <c r="AG1240">
        <v>0</v>
      </c>
      <c r="AH12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40">
        <v>3</v>
      </c>
      <c r="AJ1240" t="s">
        <v>74</v>
      </c>
      <c r="AK1240">
        <v>3</v>
      </c>
      <c r="AL1240" t="s">
        <v>74</v>
      </c>
      <c r="AM1240">
        <v>1</v>
      </c>
      <c r="AN1240" t="s">
        <v>74</v>
      </c>
      <c r="AO1240">
        <v>3</v>
      </c>
      <c r="AP1240" t="s">
        <v>74</v>
      </c>
      <c r="AQ1240">
        <v>2</v>
      </c>
      <c r="AR1240">
        <v>1</v>
      </c>
      <c r="AS1240">
        <v>2</v>
      </c>
    </row>
    <row r="1241" spans="1:4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 t="str">
        <f>IF(Employee_data[[#This Row],[MonthlyIncome]]&lt;5000,"Low Income",
IF(Employee_data[[#This Row],[MonthlyIncome]]&lt;10000,"Medium Income","High Income"))</f>
        <v>Medium Income</v>
      </c>
      <c r="U1241" t="s">
        <v>92</v>
      </c>
      <c r="V1241" t="s">
        <v>92</v>
      </c>
      <c r="W1241" t="s">
        <v>92</v>
      </c>
      <c r="X1241" t="s">
        <v>92</v>
      </c>
      <c r="Y1241">
        <v>6670</v>
      </c>
      <c r="Z1241">
        <v>2</v>
      </c>
      <c r="AA1241" t="s">
        <v>42</v>
      </c>
      <c r="AB1241" t="s">
        <v>43</v>
      </c>
      <c r="AC1241">
        <v>20</v>
      </c>
      <c r="AD1241">
        <v>4</v>
      </c>
      <c r="AE1241">
        <v>4</v>
      </c>
      <c r="AF1241">
        <v>80</v>
      </c>
      <c r="AG1241">
        <v>0</v>
      </c>
      <c r="AH12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41">
        <v>9</v>
      </c>
      <c r="AJ1241" t="s">
        <v>78</v>
      </c>
      <c r="AK1241">
        <v>3</v>
      </c>
      <c r="AL1241" t="s">
        <v>78</v>
      </c>
      <c r="AM1241">
        <v>2</v>
      </c>
      <c r="AN1241" t="s">
        <v>78</v>
      </c>
      <c r="AO1241">
        <v>5</v>
      </c>
      <c r="AP1241" t="s">
        <v>78</v>
      </c>
      <c r="AQ1241">
        <v>4</v>
      </c>
      <c r="AR1241">
        <v>1</v>
      </c>
      <c r="AS1241">
        <v>4</v>
      </c>
    </row>
    <row r="1242" spans="1:4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 t="str">
        <f>IF(Employee_data[[#This Row],[MonthlyIncome]]&lt;5000,"Low Income",
IF(Employee_data[[#This Row],[MonthlyIncome]]&lt;10000,"Medium Income","High Income"))</f>
        <v>Medium Income</v>
      </c>
      <c r="U1242" t="s">
        <v>92</v>
      </c>
      <c r="V1242" t="s">
        <v>92</v>
      </c>
      <c r="W1242" t="s">
        <v>92</v>
      </c>
      <c r="X1242" t="s">
        <v>92</v>
      </c>
      <c r="Y1242">
        <v>8989</v>
      </c>
      <c r="Z1242">
        <v>1</v>
      </c>
      <c r="AA1242" t="s">
        <v>42</v>
      </c>
      <c r="AB1242" t="s">
        <v>35</v>
      </c>
      <c r="AC1242">
        <v>15</v>
      </c>
      <c r="AD1242">
        <v>3</v>
      </c>
      <c r="AE1242">
        <v>4</v>
      </c>
      <c r="AF1242">
        <v>80</v>
      </c>
      <c r="AG1242">
        <v>1</v>
      </c>
      <c r="AH12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42">
        <v>9</v>
      </c>
      <c r="AJ1242" t="s">
        <v>78</v>
      </c>
      <c r="AK1242">
        <v>2</v>
      </c>
      <c r="AL1242" t="s">
        <v>78</v>
      </c>
      <c r="AM1242">
        <v>3</v>
      </c>
      <c r="AN1242" t="s">
        <v>78</v>
      </c>
      <c r="AO1242">
        <v>9</v>
      </c>
      <c r="AP1242" t="s">
        <v>78</v>
      </c>
      <c r="AQ1242">
        <v>8</v>
      </c>
      <c r="AR1242">
        <v>5</v>
      </c>
      <c r="AS1242">
        <v>8</v>
      </c>
    </row>
    <row r="1243" spans="1:4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 t="str">
        <f>IF(Employee_data[[#This Row],[MonthlyIncome]]&lt;5000,"Low Income",
IF(Employee_data[[#This Row],[MonthlyIncome]]&lt;10000,"Medium Income","High Income"))</f>
        <v>Medium Income</v>
      </c>
      <c r="U1243" t="s">
        <v>92</v>
      </c>
      <c r="V1243" t="s">
        <v>92</v>
      </c>
      <c r="W1243" t="s">
        <v>92</v>
      </c>
      <c r="X1243" t="s">
        <v>92</v>
      </c>
      <c r="Y1243">
        <v>3840</v>
      </c>
      <c r="Z1243">
        <v>3</v>
      </c>
      <c r="AA1243" t="s">
        <v>42</v>
      </c>
      <c r="AB1243" t="s">
        <v>43</v>
      </c>
      <c r="AC1243">
        <v>13</v>
      </c>
      <c r="AD1243">
        <v>3</v>
      </c>
      <c r="AE1243">
        <v>3</v>
      </c>
      <c r="AF1243">
        <v>80</v>
      </c>
      <c r="AG1243">
        <v>1</v>
      </c>
      <c r="AH12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43">
        <v>10</v>
      </c>
      <c r="AJ1243" t="s">
        <v>74</v>
      </c>
      <c r="AK1243">
        <v>2</v>
      </c>
      <c r="AL1243" t="s">
        <v>74</v>
      </c>
      <c r="AM1243">
        <v>1</v>
      </c>
      <c r="AN1243" t="s">
        <v>74</v>
      </c>
      <c r="AO1243">
        <v>4</v>
      </c>
      <c r="AP1243" t="s">
        <v>74</v>
      </c>
      <c r="AQ1243">
        <v>3</v>
      </c>
      <c r="AR1243">
        <v>0</v>
      </c>
      <c r="AS1243">
        <v>2</v>
      </c>
    </row>
    <row r="1244" spans="1:4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 t="str">
        <f>IF(Employee_data[[#This Row],[MonthlyIncome]]&lt;5000,"Low Income",
IF(Employee_data[[#This Row],[MonthlyIncome]]&lt;10000,"Medium Income","High Income"))</f>
        <v>High Income</v>
      </c>
      <c r="U1244" t="s">
        <v>90</v>
      </c>
      <c r="V1244" t="s">
        <v>90</v>
      </c>
      <c r="W1244" t="s">
        <v>90</v>
      </c>
      <c r="X1244" t="s">
        <v>90</v>
      </c>
      <c r="Y1244">
        <v>4349</v>
      </c>
      <c r="Z1244">
        <v>1</v>
      </c>
      <c r="AA1244" t="s">
        <v>42</v>
      </c>
      <c r="AB1244" t="s">
        <v>43</v>
      </c>
      <c r="AC1244">
        <v>14</v>
      </c>
      <c r="AD1244">
        <v>3</v>
      </c>
      <c r="AE1244">
        <v>2</v>
      </c>
      <c r="AF1244">
        <v>80</v>
      </c>
      <c r="AG1244">
        <v>0</v>
      </c>
      <c r="AH12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244">
        <v>21</v>
      </c>
      <c r="AJ1244" t="s">
        <v>76</v>
      </c>
      <c r="AK1244">
        <v>3</v>
      </c>
      <c r="AL1244" t="s">
        <v>76</v>
      </c>
      <c r="AM1244">
        <v>2</v>
      </c>
      <c r="AN1244" t="s">
        <v>76</v>
      </c>
      <c r="AO1244">
        <v>21</v>
      </c>
      <c r="AP1244" t="s">
        <v>76</v>
      </c>
      <c r="AQ1244">
        <v>8</v>
      </c>
      <c r="AR1244">
        <v>12</v>
      </c>
      <c r="AS1244">
        <v>8</v>
      </c>
    </row>
    <row r="1245" spans="1:4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 t="str">
        <f>IF(Employee_data[[#This Row],[MonthlyIncome]]&lt;5000,"Low Income",
IF(Employee_data[[#This Row],[MonthlyIncome]]&lt;10000,"Medium Income","High Income"))</f>
        <v>Medium Income</v>
      </c>
      <c r="U1245" t="s">
        <v>92</v>
      </c>
      <c r="V1245" t="s">
        <v>92</v>
      </c>
      <c r="W1245" t="s">
        <v>92</v>
      </c>
      <c r="X1245" t="s">
        <v>92</v>
      </c>
      <c r="Y1245">
        <v>6595</v>
      </c>
      <c r="Z1245">
        <v>4</v>
      </c>
      <c r="AA1245" t="s">
        <v>42</v>
      </c>
      <c r="AB1245" t="s">
        <v>43</v>
      </c>
      <c r="AC1245">
        <v>21</v>
      </c>
      <c r="AD1245">
        <v>4</v>
      </c>
      <c r="AE1245">
        <v>3</v>
      </c>
      <c r="AF1245">
        <v>80</v>
      </c>
      <c r="AG1245">
        <v>2</v>
      </c>
      <c r="AH12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45">
        <v>9</v>
      </c>
      <c r="AJ1245" t="s">
        <v>78</v>
      </c>
      <c r="AK1245">
        <v>2</v>
      </c>
      <c r="AL1245" t="s">
        <v>78</v>
      </c>
      <c r="AM1245">
        <v>4</v>
      </c>
      <c r="AN1245" t="s">
        <v>78</v>
      </c>
      <c r="AO1245">
        <v>5</v>
      </c>
      <c r="AP1245" t="s">
        <v>78</v>
      </c>
      <c r="AQ1245">
        <v>0</v>
      </c>
      <c r="AR1245">
        <v>0</v>
      </c>
      <c r="AS1245">
        <v>3</v>
      </c>
    </row>
    <row r="1246" spans="1:4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 t="str">
        <f>IF(Employee_data[[#This Row],[MonthlyIncome]]&lt;5000,"Low Income",
IF(Employee_data[[#This Row],[MonthlyIncome]]&lt;10000,"Medium Income","High Income"))</f>
        <v>Low Income</v>
      </c>
      <c r="U1246" t="s">
        <v>91</v>
      </c>
      <c r="V1246" t="s">
        <v>91</v>
      </c>
      <c r="W1246" t="s">
        <v>91</v>
      </c>
      <c r="X1246" t="s">
        <v>91</v>
      </c>
      <c r="Y1246">
        <v>26427</v>
      </c>
      <c r="Z1246">
        <v>0</v>
      </c>
      <c r="AA1246" t="s">
        <v>42</v>
      </c>
      <c r="AB1246" t="s">
        <v>43</v>
      </c>
      <c r="AC1246">
        <v>16</v>
      </c>
      <c r="AD1246">
        <v>3</v>
      </c>
      <c r="AE1246">
        <v>4</v>
      </c>
      <c r="AF1246">
        <v>80</v>
      </c>
      <c r="AG1246">
        <v>0</v>
      </c>
      <c r="AH12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46">
        <v>10</v>
      </c>
      <c r="AJ1246" t="s">
        <v>78</v>
      </c>
      <c r="AK1246">
        <v>2</v>
      </c>
      <c r="AL1246" t="s">
        <v>78</v>
      </c>
      <c r="AM1246">
        <v>3</v>
      </c>
      <c r="AN1246" t="s">
        <v>78</v>
      </c>
      <c r="AO1246">
        <v>9</v>
      </c>
      <c r="AP1246" t="s">
        <v>78</v>
      </c>
      <c r="AQ1246">
        <v>7</v>
      </c>
      <c r="AR1246">
        <v>0</v>
      </c>
      <c r="AS1246">
        <v>7</v>
      </c>
    </row>
    <row r="1247" spans="1:4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 t="str">
        <f>IF(Employee_data[[#This Row],[MonthlyIncome]]&lt;5000,"Low Income",
IF(Employee_data[[#This Row],[MonthlyIncome]]&lt;10000,"Medium Income","High Income"))</f>
        <v>Low Income</v>
      </c>
      <c r="U1247" t="s">
        <v>91</v>
      </c>
      <c r="V1247" t="s">
        <v>91</v>
      </c>
      <c r="W1247" t="s">
        <v>91</v>
      </c>
      <c r="X1247" t="s">
        <v>91</v>
      </c>
      <c r="Y1247">
        <v>2097</v>
      </c>
      <c r="Z1247">
        <v>0</v>
      </c>
      <c r="AA1247" t="s">
        <v>42</v>
      </c>
      <c r="AB1247" t="s">
        <v>43</v>
      </c>
      <c r="AC1247">
        <v>14</v>
      </c>
      <c r="AD1247">
        <v>3</v>
      </c>
      <c r="AE1247">
        <v>4</v>
      </c>
      <c r="AF1247">
        <v>80</v>
      </c>
      <c r="AG1247">
        <v>1</v>
      </c>
      <c r="AH12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47">
        <v>3</v>
      </c>
      <c r="AJ1247" t="s">
        <v>74</v>
      </c>
      <c r="AK1247">
        <v>2</v>
      </c>
      <c r="AL1247" t="s">
        <v>74</v>
      </c>
      <c r="AM1247">
        <v>3</v>
      </c>
      <c r="AN1247" t="s">
        <v>74</v>
      </c>
      <c r="AO1247">
        <v>2</v>
      </c>
      <c r="AP1247" t="s">
        <v>74</v>
      </c>
      <c r="AQ1247">
        <v>2</v>
      </c>
      <c r="AR1247">
        <v>2</v>
      </c>
      <c r="AS1247">
        <v>1</v>
      </c>
    </row>
    <row r="1248" spans="1:4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 t="str">
        <f>IF(Employee_data[[#This Row],[MonthlyIncome]]&lt;5000,"Low Income",
IF(Employee_data[[#This Row],[MonthlyIncome]]&lt;10000,"Medium Income","High Income"))</f>
        <v>Low Income</v>
      </c>
      <c r="U1248" t="s">
        <v>91</v>
      </c>
      <c r="V1248" t="s">
        <v>91</v>
      </c>
      <c r="W1248" t="s">
        <v>91</v>
      </c>
      <c r="X1248" t="s">
        <v>91</v>
      </c>
      <c r="Y1248">
        <v>9732</v>
      </c>
      <c r="Z1248">
        <v>6</v>
      </c>
      <c r="AA1248" t="s">
        <v>42</v>
      </c>
      <c r="AB1248" t="s">
        <v>43</v>
      </c>
      <c r="AC1248">
        <v>11</v>
      </c>
      <c r="AD1248">
        <v>3</v>
      </c>
      <c r="AE1248">
        <v>3</v>
      </c>
      <c r="AF1248">
        <v>80</v>
      </c>
      <c r="AG1248">
        <v>1</v>
      </c>
      <c r="AH12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48">
        <v>6</v>
      </c>
      <c r="AJ1248" t="s">
        <v>74</v>
      </c>
      <c r="AK1248">
        <v>0</v>
      </c>
      <c r="AL1248" t="s">
        <v>74</v>
      </c>
      <c r="AM1248">
        <v>2</v>
      </c>
      <c r="AN1248" t="s">
        <v>74</v>
      </c>
      <c r="AO1248">
        <v>4</v>
      </c>
      <c r="AP1248" t="s">
        <v>74</v>
      </c>
      <c r="AQ1248">
        <v>2</v>
      </c>
      <c r="AR1248">
        <v>1</v>
      </c>
      <c r="AS1248">
        <v>2</v>
      </c>
    </row>
    <row r="1249" spans="1:4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 t="str">
        <f>IF(Employee_data[[#This Row],[MonthlyIncome]]&lt;5000,"Low Income",
IF(Employee_data[[#This Row],[MonthlyIncome]]&lt;10000,"Medium Income","High Income"))</f>
        <v>Medium Income</v>
      </c>
      <c r="U1249" t="s">
        <v>92</v>
      </c>
      <c r="V1249" t="s">
        <v>92</v>
      </c>
      <c r="W1249" t="s">
        <v>92</v>
      </c>
      <c r="X1249" t="s">
        <v>92</v>
      </c>
      <c r="Y1249">
        <v>20943</v>
      </c>
      <c r="Z1249">
        <v>1</v>
      </c>
      <c r="AA1249" t="s">
        <v>42</v>
      </c>
      <c r="AB1249" t="s">
        <v>43</v>
      </c>
      <c r="AC1249">
        <v>19</v>
      </c>
      <c r="AD1249">
        <v>3</v>
      </c>
      <c r="AE1249">
        <v>3</v>
      </c>
      <c r="AF1249">
        <v>80</v>
      </c>
      <c r="AG1249">
        <v>1</v>
      </c>
      <c r="AH12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49">
        <v>6</v>
      </c>
      <c r="AJ1249" t="s">
        <v>78</v>
      </c>
      <c r="AK1249">
        <v>3</v>
      </c>
      <c r="AL1249" t="s">
        <v>78</v>
      </c>
      <c r="AM1249">
        <v>3</v>
      </c>
      <c r="AN1249" t="s">
        <v>78</v>
      </c>
      <c r="AO1249">
        <v>5</v>
      </c>
      <c r="AP1249" t="s">
        <v>78</v>
      </c>
      <c r="AQ1249">
        <v>2</v>
      </c>
      <c r="AR1249">
        <v>0</v>
      </c>
      <c r="AS1249">
        <v>2</v>
      </c>
    </row>
    <row r="1250" spans="1:4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 t="str">
        <f>IF(Employee_data[[#This Row],[MonthlyIncome]]&lt;5000,"Low Income",
IF(Employee_data[[#This Row],[MonthlyIncome]]&lt;10000,"Medium Income","High Income"))</f>
        <v>Low Income</v>
      </c>
      <c r="U1250" t="s">
        <v>91</v>
      </c>
      <c r="V1250" t="s">
        <v>91</v>
      </c>
      <c r="W1250" t="s">
        <v>91</v>
      </c>
      <c r="X1250" t="s">
        <v>91</v>
      </c>
      <c r="Y1250">
        <v>6152</v>
      </c>
      <c r="Z1250">
        <v>1</v>
      </c>
      <c r="AA1250" t="s">
        <v>42</v>
      </c>
      <c r="AB1250" t="s">
        <v>43</v>
      </c>
      <c r="AC1250">
        <v>11</v>
      </c>
      <c r="AD1250">
        <v>3</v>
      </c>
      <c r="AE1250">
        <v>3</v>
      </c>
      <c r="AF1250">
        <v>80</v>
      </c>
      <c r="AG1250">
        <v>0</v>
      </c>
      <c r="AH12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50">
        <v>6</v>
      </c>
      <c r="AJ1250" t="s">
        <v>78</v>
      </c>
      <c r="AK1250">
        <v>5</v>
      </c>
      <c r="AL1250" t="s">
        <v>78</v>
      </c>
      <c r="AM1250">
        <v>2</v>
      </c>
      <c r="AN1250" t="s">
        <v>78</v>
      </c>
      <c r="AO1250">
        <v>6</v>
      </c>
      <c r="AP1250" t="s">
        <v>78</v>
      </c>
      <c r="AQ1250">
        <v>2</v>
      </c>
      <c r="AR1250">
        <v>1</v>
      </c>
      <c r="AS1250">
        <v>4</v>
      </c>
    </row>
    <row r="1251" spans="1:4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 t="str">
        <f>IF(Employee_data[[#This Row],[MonthlyIncome]]&lt;5000,"Low Income",
IF(Employee_data[[#This Row],[MonthlyIncome]]&lt;10000,"Medium Income","High Income"))</f>
        <v>Low Income</v>
      </c>
      <c r="U1251" t="s">
        <v>91</v>
      </c>
      <c r="V1251" t="s">
        <v>91</v>
      </c>
      <c r="W1251" t="s">
        <v>91</v>
      </c>
      <c r="X1251" t="s">
        <v>91</v>
      </c>
      <c r="Y1251">
        <v>14630</v>
      </c>
      <c r="Z1251">
        <v>1</v>
      </c>
      <c r="AA1251" t="s">
        <v>42</v>
      </c>
      <c r="AB1251" t="s">
        <v>43</v>
      </c>
      <c r="AC1251">
        <v>13</v>
      </c>
      <c r="AD1251">
        <v>3</v>
      </c>
      <c r="AE1251">
        <v>3</v>
      </c>
      <c r="AF1251">
        <v>80</v>
      </c>
      <c r="AG1251">
        <v>0</v>
      </c>
      <c r="AH12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51">
        <v>2</v>
      </c>
      <c r="AJ1251" t="s">
        <v>74</v>
      </c>
      <c r="AK1251">
        <v>3</v>
      </c>
      <c r="AL1251" t="s">
        <v>74</v>
      </c>
      <c r="AM1251">
        <v>3</v>
      </c>
      <c r="AN1251" t="s">
        <v>74</v>
      </c>
      <c r="AO1251">
        <v>2</v>
      </c>
      <c r="AP1251" t="s">
        <v>74</v>
      </c>
      <c r="AQ1251">
        <v>2</v>
      </c>
      <c r="AR1251">
        <v>2</v>
      </c>
      <c r="AS1251">
        <v>2</v>
      </c>
    </row>
    <row r="1252" spans="1:4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 t="str">
        <f>IF(Employee_data[[#This Row],[MonthlyIncome]]&lt;5000,"Low Income",
IF(Employee_data[[#This Row],[MonthlyIncome]]&lt;10000,"Medium Income","High Income"))</f>
        <v>Medium Income</v>
      </c>
      <c r="U1252" t="s">
        <v>92</v>
      </c>
      <c r="V1252" t="s">
        <v>92</v>
      </c>
      <c r="W1252" t="s">
        <v>92</v>
      </c>
      <c r="X1252" t="s">
        <v>92</v>
      </c>
      <c r="Y1252">
        <v>23060</v>
      </c>
      <c r="Z1252">
        <v>8</v>
      </c>
      <c r="AA1252" t="s">
        <v>42</v>
      </c>
      <c r="AB1252" t="s">
        <v>35</v>
      </c>
      <c r="AC1252">
        <v>12</v>
      </c>
      <c r="AD1252">
        <v>3</v>
      </c>
      <c r="AE1252">
        <v>4</v>
      </c>
      <c r="AF1252">
        <v>80</v>
      </c>
      <c r="AG1252">
        <v>0</v>
      </c>
      <c r="AH12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52">
        <v>10</v>
      </c>
      <c r="AJ1252" t="s">
        <v>74</v>
      </c>
      <c r="AK1252">
        <v>5</v>
      </c>
      <c r="AL1252" t="s">
        <v>74</v>
      </c>
      <c r="AM1252">
        <v>4</v>
      </c>
      <c r="AN1252" t="s">
        <v>74</v>
      </c>
      <c r="AO1252">
        <v>3</v>
      </c>
      <c r="AP1252" t="s">
        <v>74</v>
      </c>
      <c r="AQ1252">
        <v>2</v>
      </c>
      <c r="AR1252">
        <v>0</v>
      </c>
      <c r="AS1252">
        <v>2</v>
      </c>
    </row>
    <row r="1253" spans="1:4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 t="str">
        <f>IF(Employee_data[[#This Row],[MonthlyIncome]]&lt;5000,"Low Income",
IF(Employee_data[[#This Row],[MonthlyIncome]]&lt;10000,"Medium Income","High Income"))</f>
        <v>Medium Income</v>
      </c>
      <c r="U1253" t="s">
        <v>92</v>
      </c>
      <c r="V1253" t="s">
        <v>92</v>
      </c>
      <c r="W1253" t="s">
        <v>92</v>
      </c>
      <c r="X1253" t="s">
        <v>92</v>
      </c>
      <c r="Y1253">
        <v>3088</v>
      </c>
      <c r="Z1253">
        <v>2</v>
      </c>
      <c r="AA1253" t="s">
        <v>42</v>
      </c>
      <c r="AB1253" t="s">
        <v>43</v>
      </c>
      <c r="AC1253">
        <v>11</v>
      </c>
      <c r="AD1253">
        <v>3</v>
      </c>
      <c r="AE1253">
        <v>1</v>
      </c>
      <c r="AF1253">
        <v>80</v>
      </c>
      <c r="AG1253">
        <v>1</v>
      </c>
      <c r="AH12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53">
        <v>12</v>
      </c>
      <c r="AJ1253" t="s">
        <v>78</v>
      </c>
      <c r="AK1253">
        <v>2</v>
      </c>
      <c r="AL1253" t="s">
        <v>78</v>
      </c>
      <c r="AM1253">
        <v>3</v>
      </c>
      <c r="AN1253" t="s">
        <v>78</v>
      </c>
      <c r="AO1253">
        <v>7</v>
      </c>
      <c r="AP1253" t="s">
        <v>78</v>
      </c>
      <c r="AQ1253">
        <v>7</v>
      </c>
      <c r="AR1253">
        <v>1</v>
      </c>
      <c r="AS1253">
        <v>7</v>
      </c>
    </row>
    <row r="1254" spans="1:4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 t="str">
        <f>IF(Employee_data[[#This Row],[MonthlyIncome]]&lt;5000,"Low Income",
IF(Employee_data[[#This Row],[MonthlyIncome]]&lt;10000,"Medium Income","High Income"))</f>
        <v>Low Income</v>
      </c>
      <c r="U1254" t="s">
        <v>91</v>
      </c>
      <c r="V1254" t="s">
        <v>91</v>
      </c>
      <c r="W1254" t="s">
        <v>91</v>
      </c>
      <c r="X1254" t="s">
        <v>91</v>
      </c>
      <c r="Y1254">
        <v>5586</v>
      </c>
      <c r="Z1254">
        <v>0</v>
      </c>
      <c r="AA1254" t="s">
        <v>42</v>
      </c>
      <c r="AB1254" t="s">
        <v>35</v>
      </c>
      <c r="AC1254">
        <v>14</v>
      </c>
      <c r="AD1254">
        <v>3</v>
      </c>
      <c r="AE1254">
        <v>1</v>
      </c>
      <c r="AF1254">
        <v>80</v>
      </c>
      <c r="AG1254">
        <v>3</v>
      </c>
      <c r="AH12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54">
        <v>6</v>
      </c>
      <c r="AJ1254" t="s">
        <v>78</v>
      </c>
      <c r="AK1254">
        <v>3</v>
      </c>
      <c r="AL1254" t="s">
        <v>78</v>
      </c>
      <c r="AM1254">
        <v>3</v>
      </c>
      <c r="AN1254" t="s">
        <v>78</v>
      </c>
      <c r="AO1254">
        <v>5</v>
      </c>
      <c r="AP1254" t="s">
        <v>78</v>
      </c>
      <c r="AQ1254">
        <v>0</v>
      </c>
      <c r="AR1254">
        <v>1</v>
      </c>
      <c r="AS1254">
        <v>2</v>
      </c>
    </row>
    <row r="1255" spans="1:4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 t="str">
        <f>IF(Employee_data[[#This Row],[MonthlyIncome]]&lt;5000,"Low Income",
IF(Employee_data[[#This Row],[MonthlyIncome]]&lt;10000,"Medium Income","High Income"))</f>
        <v>Medium Income</v>
      </c>
      <c r="U1255" t="s">
        <v>92</v>
      </c>
      <c r="V1255" t="s">
        <v>92</v>
      </c>
      <c r="W1255" t="s">
        <v>92</v>
      </c>
      <c r="X1255" t="s">
        <v>92</v>
      </c>
      <c r="Y1255">
        <v>10697</v>
      </c>
      <c r="Z1255">
        <v>8</v>
      </c>
      <c r="AA1255" t="s">
        <v>42</v>
      </c>
      <c r="AB1255" t="s">
        <v>43</v>
      </c>
      <c r="AC1255">
        <v>15</v>
      </c>
      <c r="AD1255">
        <v>3</v>
      </c>
      <c r="AE1255">
        <v>4</v>
      </c>
      <c r="AF1255">
        <v>80</v>
      </c>
      <c r="AG1255">
        <v>0</v>
      </c>
      <c r="AH12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55">
        <v>13</v>
      </c>
      <c r="AJ1255" t="s">
        <v>75</v>
      </c>
      <c r="AK1255">
        <v>2</v>
      </c>
      <c r="AL1255" t="s">
        <v>75</v>
      </c>
      <c r="AM1255">
        <v>2</v>
      </c>
      <c r="AN1255" t="s">
        <v>75</v>
      </c>
      <c r="AO1255">
        <v>11</v>
      </c>
      <c r="AP1255" t="s">
        <v>75</v>
      </c>
      <c r="AQ1255">
        <v>7</v>
      </c>
      <c r="AR1255">
        <v>1</v>
      </c>
      <c r="AS1255">
        <v>7</v>
      </c>
    </row>
    <row r="1256" spans="1:4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 t="str">
        <f>IF(Employee_data[[#This Row],[MonthlyIncome]]&lt;5000,"Low Income",
IF(Employee_data[[#This Row],[MonthlyIncome]]&lt;10000,"Medium Income","High Income"))</f>
        <v>Low Income</v>
      </c>
      <c r="U1256" t="s">
        <v>91</v>
      </c>
      <c r="V1256" t="s">
        <v>91</v>
      </c>
      <c r="W1256" t="s">
        <v>91</v>
      </c>
      <c r="X1256" t="s">
        <v>91</v>
      </c>
      <c r="Y1256">
        <v>8191</v>
      </c>
      <c r="Z1256">
        <v>3</v>
      </c>
      <c r="AA1256" t="s">
        <v>42</v>
      </c>
      <c r="AB1256" t="s">
        <v>43</v>
      </c>
      <c r="AC1256">
        <v>12</v>
      </c>
      <c r="AD1256">
        <v>3</v>
      </c>
      <c r="AE1256">
        <v>3</v>
      </c>
      <c r="AF1256">
        <v>80</v>
      </c>
      <c r="AG1256">
        <v>0</v>
      </c>
      <c r="AH12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56">
        <v>8</v>
      </c>
      <c r="AJ1256" t="s">
        <v>78</v>
      </c>
      <c r="AK1256">
        <v>1</v>
      </c>
      <c r="AL1256" t="s">
        <v>78</v>
      </c>
      <c r="AM1256">
        <v>4</v>
      </c>
      <c r="AN1256" t="s">
        <v>78</v>
      </c>
      <c r="AO1256">
        <v>5</v>
      </c>
      <c r="AP1256" t="s">
        <v>78</v>
      </c>
      <c r="AQ1256">
        <v>1</v>
      </c>
      <c r="AR1256">
        <v>0</v>
      </c>
      <c r="AS1256">
        <v>4</v>
      </c>
    </row>
    <row r="1257" spans="1:4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 t="str">
        <f>IF(Employee_data[[#This Row],[MonthlyIncome]]&lt;5000,"Low Income",
IF(Employee_data[[#This Row],[MonthlyIncome]]&lt;10000,"Medium Income","High Income"))</f>
        <v>Medium Income</v>
      </c>
      <c r="U1257" t="s">
        <v>92</v>
      </c>
      <c r="V1257" t="s">
        <v>92</v>
      </c>
      <c r="W1257" t="s">
        <v>92</v>
      </c>
      <c r="X1257" t="s">
        <v>92</v>
      </c>
      <c r="Y1257">
        <v>10092</v>
      </c>
      <c r="Z1257">
        <v>2</v>
      </c>
      <c r="AA1257" t="s">
        <v>42</v>
      </c>
      <c r="AB1257" t="s">
        <v>35</v>
      </c>
      <c r="AC1257">
        <v>20</v>
      </c>
      <c r="AD1257">
        <v>4</v>
      </c>
      <c r="AE1257">
        <v>3</v>
      </c>
      <c r="AF1257">
        <v>80</v>
      </c>
      <c r="AG1257">
        <v>0</v>
      </c>
      <c r="AH12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57">
        <v>11</v>
      </c>
      <c r="AJ1257" t="s">
        <v>74</v>
      </c>
      <c r="AK1257">
        <v>2</v>
      </c>
      <c r="AL1257" t="s">
        <v>74</v>
      </c>
      <c r="AM1257">
        <v>2</v>
      </c>
      <c r="AN1257" t="s">
        <v>74</v>
      </c>
      <c r="AO1257">
        <v>0</v>
      </c>
      <c r="AP1257" t="s">
        <v>74</v>
      </c>
      <c r="AQ1257">
        <v>0</v>
      </c>
      <c r="AR1257">
        <v>0</v>
      </c>
      <c r="AS1257">
        <v>0</v>
      </c>
    </row>
    <row r="1258" spans="1:4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 t="str">
        <f>IF(Employee_data[[#This Row],[MonthlyIncome]]&lt;5000,"Low Income",
IF(Employee_data[[#This Row],[MonthlyIncome]]&lt;10000,"Medium Income","High Income"))</f>
        <v>Low Income</v>
      </c>
      <c r="U1258" t="s">
        <v>91</v>
      </c>
      <c r="V1258" t="s">
        <v>91</v>
      </c>
      <c r="W1258" t="s">
        <v>91</v>
      </c>
      <c r="X1258" t="s">
        <v>91</v>
      </c>
      <c r="Y1258">
        <v>15963</v>
      </c>
      <c r="Z1258">
        <v>4</v>
      </c>
      <c r="AA1258" t="s">
        <v>42</v>
      </c>
      <c r="AB1258" t="s">
        <v>43</v>
      </c>
      <c r="AC1258">
        <v>14</v>
      </c>
      <c r="AD1258">
        <v>3</v>
      </c>
      <c r="AE1258">
        <v>2</v>
      </c>
      <c r="AF1258">
        <v>80</v>
      </c>
      <c r="AG1258">
        <v>1</v>
      </c>
      <c r="AH12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58">
        <v>9</v>
      </c>
      <c r="AJ1258" t="s">
        <v>78</v>
      </c>
      <c r="AK1258">
        <v>4</v>
      </c>
      <c r="AL1258" t="s">
        <v>78</v>
      </c>
      <c r="AM1258">
        <v>2</v>
      </c>
      <c r="AN1258" t="s">
        <v>78</v>
      </c>
      <c r="AO1258">
        <v>6</v>
      </c>
      <c r="AP1258" t="s">
        <v>78</v>
      </c>
      <c r="AQ1258">
        <v>1</v>
      </c>
      <c r="AR1258">
        <v>0</v>
      </c>
      <c r="AS1258">
        <v>5</v>
      </c>
    </row>
    <row r="1259" spans="1:4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 t="str">
        <f>IF(Employee_data[[#This Row],[MonthlyIncome]]&lt;5000,"Low Income",
IF(Employee_data[[#This Row],[MonthlyIncome]]&lt;10000,"Medium Income","High Income"))</f>
        <v>Medium Income</v>
      </c>
      <c r="U1259" t="s">
        <v>92</v>
      </c>
      <c r="V1259" t="s">
        <v>92</v>
      </c>
      <c r="W1259" t="s">
        <v>92</v>
      </c>
      <c r="X1259" t="s">
        <v>92</v>
      </c>
      <c r="Y1259">
        <v>19002</v>
      </c>
      <c r="Z1259">
        <v>2</v>
      </c>
      <c r="AA1259" t="s">
        <v>42</v>
      </c>
      <c r="AB1259" t="s">
        <v>43</v>
      </c>
      <c r="AC1259">
        <v>13</v>
      </c>
      <c r="AD1259">
        <v>3</v>
      </c>
      <c r="AE1259">
        <v>1</v>
      </c>
      <c r="AF1259">
        <v>80</v>
      </c>
      <c r="AG1259">
        <v>3</v>
      </c>
      <c r="AH12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59">
        <v>10</v>
      </c>
      <c r="AJ1259" t="s">
        <v>74</v>
      </c>
      <c r="AK1259">
        <v>2</v>
      </c>
      <c r="AL1259" t="s">
        <v>74</v>
      </c>
      <c r="AM1259">
        <v>3</v>
      </c>
      <c r="AN1259" t="s">
        <v>74</v>
      </c>
      <c r="AO1259">
        <v>1</v>
      </c>
      <c r="AP1259" t="s">
        <v>74</v>
      </c>
      <c r="AQ1259">
        <v>0</v>
      </c>
      <c r="AR1259">
        <v>0</v>
      </c>
      <c r="AS1259">
        <v>0</v>
      </c>
    </row>
    <row r="1260" spans="1:4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 t="str">
        <f>IF(Employee_data[[#This Row],[MonthlyIncome]]&lt;5000,"Low Income",
IF(Employee_data[[#This Row],[MonthlyIncome]]&lt;10000,"Medium Income","High Income"))</f>
        <v>Low Income</v>
      </c>
      <c r="U1260" t="s">
        <v>91</v>
      </c>
      <c r="V1260" t="s">
        <v>91</v>
      </c>
      <c r="W1260" t="s">
        <v>91</v>
      </c>
      <c r="X1260" t="s">
        <v>91</v>
      </c>
      <c r="Y1260">
        <v>10007</v>
      </c>
      <c r="Z1260">
        <v>1</v>
      </c>
      <c r="AA1260" t="s">
        <v>42</v>
      </c>
      <c r="AB1260" t="s">
        <v>43</v>
      </c>
      <c r="AC1260">
        <v>13</v>
      </c>
      <c r="AD1260">
        <v>3</v>
      </c>
      <c r="AE1260">
        <v>3</v>
      </c>
      <c r="AF1260">
        <v>80</v>
      </c>
      <c r="AG1260">
        <v>1</v>
      </c>
      <c r="AH12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60">
        <v>1</v>
      </c>
      <c r="AJ1260" t="s">
        <v>74</v>
      </c>
      <c r="AK1260">
        <v>2</v>
      </c>
      <c r="AL1260" t="s">
        <v>74</v>
      </c>
      <c r="AM1260">
        <v>3</v>
      </c>
      <c r="AN1260" t="s">
        <v>74</v>
      </c>
      <c r="AO1260">
        <v>1</v>
      </c>
      <c r="AP1260" t="s">
        <v>74</v>
      </c>
      <c r="AQ1260">
        <v>0</v>
      </c>
      <c r="AR1260">
        <v>0</v>
      </c>
      <c r="AS1260">
        <v>0</v>
      </c>
    </row>
    <row r="1261" spans="1:4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 t="str">
        <f>IF(Employee_data[[#This Row],[MonthlyIncome]]&lt;5000,"Low Income",
IF(Employee_data[[#This Row],[MonthlyIncome]]&lt;10000,"Medium Income","High Income"))</f>
        <v>Medium Income</v>
      </c>
      <c r="U1261" t="s">
        <v>92</v>
      </c>
      <c r="V1261" t="s">
        <v>92</v>
      </c>
      <c r="W1261" t="s">
        <v>92</v>
      </c>
      <c r="X1261" t="s">
        <v>92</v>
      </c>
      <c r="Y1261">
        <v>9128</v>
      </c>
      <c r="Z1261">
        <v>3</v>
      </c>
      <c r="AA1261" t="s">
        <v>42</v>
      </c>
      <c r="AB1261" t="s">
        <v>43</v>
      </c>
      <c r="AC1261">
        <v>16</v>
      </c>
      <c r="AD1261">
        <v>3</v>
      </c>
      <c r="AE1261">
        <v>3</v>
      </c>
      <c r="AF1261">
        <v>80</v>
      </c>
      <c r="AG1261">
        <v>1</v>
      </c>
      <c r="AH12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61">
        <v>10</v>
      </c>
      <c r="AJ1261" t="s">
        <v>78</v>
      </c>
      <c r="AK1261">
        <v>3</v>
      </c>
      <c r="AL1261" t="s">
        <v>78</v>
      </c>
      <c r="AM1261">
        <v>3</v>
      </c>
      <c r="AN1261" t="s">
        <v>78</v>
      </c>
      <c r="AO1261">
        <v>7</v>
      </c>
      <c r="AP1261" t="s">
        <v>78</v>
      </c>
      <c r="AQ1261">
        <v>0</v>
      </c>
      <c r="AR1261">
        <v>1</v>
      </c>
      <c r="AS1261">
        <v>7</v>
      </c>
    </row>
    <row r="1262" spans="1:4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 t="str">
        <f>IF(Employee_data[[#This Row],[MonthlyIncome]]&lt;5000,"Low Income",
IF(Employee_data[[#This Row],[MonthlyIncome]]&lt;10000,"Medium Income","High Income"))</f>
        <v>Low Income</v>
      </c>
      <c r="U1262" t="s">
        <v>91</v>
      </c>
      <c r="V1262" t="s">
        <v>91</v>
      </c>
      <c r="W1262" t="s">
        <v>91</v>
      </c>
      <c r="X1262" t="s">
        <v>91</v>
      </c>
      <c r="Y1262">
        <v>17674</v>
      </c>
      <c r="Z1262">
        <v>2</v>
      </c>
      <c r="AA1262" t="s">
        <v>42</v>
      </c>
      <c r="AB1262" t="s">
        <v>43</v>
      </c>
      <c r="AC1262">
        <v>14</v>
      </c>
      <c r="AD1262">
        <v>3</v>
      </c>
      <c r="AE1262">
        <v>2</v>
      </c>
      <c r="AF1262">
        <v>80</v>
      </c>
      <c r="AG1262">
        <v>0</v>
      </c>
      <c r="AH12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62">
        <v>12</v>
      </c>
      <c r="AJ1262" t="s">
        <v>78</v>
      </c>
      <c r="AK1262">
        <v>3</v>
      </c>
      <c r="AL1262" t="s">
        <v>78</v>
      </c>
      <c r="AM1262">
        <v>3</v>
      </c>
      <c r="AN1262" t="s">
        <v>78</v>
      </c>
      <c r="AO1262">
        <v>7</v>
      </c>
      <c r="AP1262" t="s">
        <v>78</v>
      </c>
      <c r="AQ1262">
        <v>7</v>
      </c>
      <c r="AR1262">
        <v>0</v>
      </c>
      <c r="AS1262">
        <v>7</v>
      </c>
    </row>
    <row r="1263" spans="1:4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 t="str">
        <f>IF(Employee_data[[#This Row],[MonthlyIncome]]&lt;5000,"Low Income",
IF(Employee_data[[#This Row],[MonthlyIncome]]&lt;10000,"Medium Income","High Income"))</f>
        <v>Medium Income</v>
      </c>
      <c r="U1263" t="s">
        <v>92</v>
      </c>
      <c r="V1263" t="s">
        <v>92</v>
      </c>
      <c r="W1263" t="s">
        <v>92</v>
      </c>
      <c r="X1263" t="s">
        <v>92</v>
      </c>
      <c r="Y1263">
        <v>24539</v>
      </c>
      <c r="Z1263">
        <v>3</v>
      </c>
      <c r="AA1263" t="s">
        <v>42</v>
      </c>
      <c r="AB1263" t="s">
        <v>35</v>
      </c>
      <c r="AC1263">
        <v>16</v>
      </c>
      <c r="AD1263">
        <v>3</v>
      </c>
      <c r="AE1263">
        <v>3</v>
      </c>
      <c r="AF1263">
        <v>80</v>
      </c>
      <c r="AG1263">
        <v>1</v>
      </c>
      <c r="AH12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63">
        <v>15</v>
      </c>
      <c r="AJ1263" t="s">
        <v>74</v>
      </c>
      <c r="AK1263">
        <v>2</v>
      </c>
      <c r="AL1263" t="s">
        <v>74</v>
      </c>
      <c r="AM1263">
        <v>3</v>
      </c>
      <c r="AN1263" t="s">
        <v>74</v>
      </c>
      <c r="AO1263">
        <v>1</v>
      </c>
      <c r="AP1263" t="s">
        <v>74</v>
      </c>
      <c r="AQ1263">
        <v>0</v>
      </c>
      <c r="AR1263">
        <v>1</v>
      </c>
      <c r="AS1263">
        <v>0</v>
      </c>
    </row>
    <row r="1264" spans="1:4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 t="str">
        <f>IF(Employee_data[[#This Row],[MonthlyIncome]]&lt;5000,"Low Income",
IF(Employee_data[[#This Row],[MonthlyIncome]]&lt;10000,"Medium Income","High Income"))</f>
        <v>Low Income</v>
      </c>
      <c r="U1264" t="s">
        <v>91</v>
      </c>
      <c r="V1264" t="s">
        <v>91</v>
      </c>
      <c r="W1264" t="s">
        <v>91</v>
      </c>
      <c r="X1264" t="s">
        <v>91</v>
      </c>
      <c r="Y1264">
        <v>15587</v>
      </c>
      <c r="Z1264">
        <v>9</v>
      </c>
      <c r="AA1264" t="s">
        <v>42</v>
      </c>
      <c r="AB1264" t="s">
        <v>35</v>
      </c>
      <c r="AC1264">
        <v>16</v>
      </c>
      <c r="AD1264">
        <v>3</v>
      </c>
      <c r="AE1264">
        <v>4</v>
      </c>
      <c r="AF1264">
        <v>80</v>
      </c>
      <c r="AG1264">
        <v>1</v>
      </c>
      <c r="AH12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64">
        <v>6</v>
      </c>
      <c r="AJ1264" t="s">
        <v>74</v>
      </c>
      <c r="AK1264">
        <v>4</v>
      </c>
      <c r="AL1264" t="s">
        <v>74</v>
      </c>
      <c r="AM1264">
        <v>3</v>
      </c>
      <c r="AN1264" t="s">
        <v>74</v>
      </c>
      <c r="AO1264">
        <v>1</v>
      </c>
      <c r="AP1264" t="s">
        <v>74</v>
      </c>
      <c r="AQ1264">
        <v>0</v>
      </c>
      <c r="AR1264">
        <v>0</v>
      </c>
      <c r="AS1264">
        <v>0</v>
      </c>
    </row>
    <row r="1265" spans="1:4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 t="str">
        <f>IF(Employee_data[[#This Row],[MonthlyIncome]]&lt;5000,"Low Income",
IF(Employee_data[[#This Row],[MonthlyIncome]]&lt;10000,"Medium Income","High Income"))</f>
        <v>Low Income</v>
      </c>
      <c r="U1265" t="s">
        <v>91</v>
      </c>
      <c r="V1265" t="s">
        <v>91</v>
      </c>
      <c r="W1265" t="s">
        <v>91</v>
      </c>
      <c r="X1265" t="s">
        <v>91</v>
      </c>
      <c r="Y1265">
        <v>8952</v>
      </c>
      <c r="Z1265">
        <v>8</v>
      </c>
      <c r="AA1265" t="s">
        <v>42</v>
      </c>
      <c r="AB1265" t="s">
        <v>43</v>
      </c>
      <c r="AC1265">
        <v>22</v>
      </c>
      <c r="AD1265">
        <v>4</v>
      </c>
      <c r="AE1265">
        <v>2</v>
      </c>
      <c r="AF1265">
        <v>80</v>
      </c>
      <c r="AG1265">
        <v>3</v>
      </c>
      <c r="AH12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65">
        <v>7</v>
      </c>
      <c r="AJ1265" t="s">
        <v>78</v>
      </c>
      <c r="AK1265">
        <v>6</v>
      </c>
      <c r="AL1265" t="s">
        <v>78</v>
      </c>
      <c r="AM1265">
        <v>2</v>
      </c>
      <c r="AN1265" t="s">
        <v>78</v>
      </c>
      <c r="AO1265">
        <v>5</v>
      </c>
      <c r="AP1265" t="s">
        <v>78</v>
      </c>
      <c r="AQ1265">
        <v>3</v>
      </c>
      <c r="AR1265">
        <v>0</v>
      </c>
      <c r="AS1265">
        <v>4</v>
      </c>
    </row>
    <row r="1266" spans="1:4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 t="str">
        <f>IF(Employee_data[[#This Row],[MonthlyIncome]]&lt;5000,"Low Income",
IF(Employee_data[[#This Row],[MonthlyIncome]]&lt;10000,"Medium Income","High Income"))</f>
        <v>High Income</v>
      </c>
      <c r="U1266" t="s">
        <v>90</v>
      </c>
      <c r="V1266" t="s">
        <v>90</v>
      </c>
      <c r="W1266" t="s">
        <v>90</v>
      </c>
      <c r="X1266" t="s">
        <v>90</v>
      </c>
      <c r="Y1266">
        <v>19805</v>
      </c>
      <c r="Z1266">
        <v>8</v>
      </c>
      <c r="AA1266" t="s">
        <v>42</v>
      </c>
      <c r="AB1266" t="s">
        <v>43</v>
      </c>
      <c r="AC1266">
        <v>12</v>
      </c>
      <c r="AD1266">
        <v>3</v>
      </c>
      <c r="AE1266">
        <v>2</v>
      </c>
      <c r="AF1266">
        <v>80</v>
      </c>
      <c r="AG1266">
        <v>3</v>
      </c>
      <c r="AH12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66">
        <v>34</v>
      </c>
      <c r="AJ1266" t="s">
        <v>74</v>
      </c>
      <c r="AK1266">
        <v>2</v>
      </c>
      <c r="AL1266" t="s">
        <v>74</v>
      </c>
      <c r="AM1266">
        <v>3</v>
      </c>
      <c r="AN1266" t="s">
        <v>74</v>
      </c>
      <c r="AO1266">
        <v>1</v>
      </c>
      <c r="AP1266" t="s">
        <v>74</v>
      </c>
      <c r="AQ1266">
        <v>0</v>
      </c>
      <c r="AR1266">
        <v>0</v>
      </c>
      <c r="AS1266">
        <v>0</v>
      </c>
    </row>
    <row r="1267" spans="1:4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 t="str">
        <f>IF(Employee_data[[#This Row],[MonthlyIncome]]&lt;5000,"Low Income",
IF(Employee_data[[#This Row],[MonthlyIncome]]&lt;10000,"Medium Income","High Income"))</f>
        <v>Low Income</v>
      </c>
      <c r="U1267" t="s">
        <v>91</v>
      </c>
      <c r="V1267" t="s">
        <v>91</v>
      </c>
      <c r="W1267" t="s">
        <v>91</v>
      </c>
      <c r="X1267" t="s">
        <v>91</v>
      </c>
      <c r="Y1267">
        <v>6194</v>
      </c>
      <c r="Z1267">
        <v>5</v>
      </c>
      <c r="AA1267" t="s">
        <v>42</v>
      </c>
      <c r="AB1267" t="s">
        <v>43</v>
      </c>
      <c r="AC1267">
        <v>15</v>
      </c>
      <c r="AD1267">
        <v>3</v>
      </c>
      <c r="AE1267">
        <v>4</v>
      </c>
      <c r="AF1267">
        <v>80</v>
      </c>
      <c r="AG1267">
        <v>2</v>
      </c>
      <c r="AH12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67">
        <v>11</v>
      </c>
      <c r="AJ1267" t="s">
        <v>78</v>
      </c>
      <c r="AK1267">
        <v>2</v>
      </c>
      <c r="AL1267" t="s">
        <v>78</v>
      </c>
      <c r="AM1267">
        <v>2</v>
      </c>
      <c r="AN1267" t="s">
        <v>78</v>
      </c>
      <c r="AO1267">
        <v>9</v>
      </c>
      <c r="AP1267" t="s">
        <v>78</v>
      </c>
      <c r="AQ1267">
        <v>8</v>
      </c>
      <c r="AR1267">
        <v>1</v>
      </c>
      <c r="AS1267">
        <v>7</v>
      </c>
    </row>
    <row r="1268" spans="1:4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 t="str">
        <f>IF(Employee_data[[#This Row],[MonthlyIncome]]&lt;5000,"Low Income",
IF(Employee_data[[#This Row],[MonthlyIncome]]&lt;10000,"Medium Income","High Income"))</f>
        <v>Low Income</v>
      </c>
      <c r="U1268" t="s">
        <v>91</v>
      </c>
      <c r="V1268" t="s">
        <v>91</v>
      </c>
      <c r="W1268" t="s">
        <v>91</v>
      </c>
      <c r="X1268" t="s">
        <v>91</v>
      </c>
      <c r="Y1268">
        <v>20520</v>
      </c>
      <c r="Z1268">
        <v>1</v>
      </c>
      <c r="AA1268" t="s">
        <v>42</v>
      </c>
      <c r="AB1268" t="s">
        <v>43</v>
      </c>
      <c r="AC1268">
        <v>20</v>
      </c>
      <c r="AD1268">
        <v>4</v>
      </c>
      <c r="AE1268">
        <v>2</v>
      </c>
      <c r="AF1268">
        <v>80</v>
      </c>
      <c r="AG1268">
        <v>2</v>
      </c>
      <c r="AH12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68">
        <v>5</v>
      </c>
      <c r="AJ1268" t="s">
        <v>78</v>
      </c>
      <c r="AK1268">
        <v>2</v>
      </c>
      <c r="AL1268" t="s">
        <v>78</v>
      </c>
      <c r="AM1268">
        <v>3</v>
      </c>
      <c r="AN1268" t="s">
        <v>78</v>
      </c>
      <c r="AO1268">
        <v>5</v>
      </c>
      <c r="AP1268" t="s">
        <v>78</v>
      </c>
      <c r="AQ1268">
        <v>3</v>
      </c>
      <c r="AR1268">
        <v>0</v>
      </c>
      <c r="AS1268">
        <v>4</v>
      </c>
    </row>
    <row r="1269" spans="1:4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 t="str">
        <f>IF(Employee_data[[#This Row],[MonthlyIncome]]&lt;5000,"Low Income",
IF(Employee_data[[#This Row],[MonthlyIncome]]&lt;10000,"Medium Income","High Income"))</f>
        <v>Low Income</v>
      </c>
      <c r="U1269" t="s">
        <v>91</v>
      </c>
      <c r="V1269" t="s">
        <v>91</v>
      </c>
      <c r="W1269" t="s">
        <v>91</v>
      </c>
      <c r="X1269" t="s">
        <v>91</v>
      </c>
      <c r="Y1269">
        <v>12313</v>
      </c>
      <c r="Z1269">
        <v>1</v>
      </c>
      <c r="AA1269" t="s">
        <v>42</v>
      </c>
      <c r="AB1269" t="s">
        <v>35</v>
      </c>
      <c r="AC1269">
        <v>14</v>
      </c>
      <c r="AD1269">
        <v>3</v>
      </c>
      <c r="AE1269">
        <v>3</v>
      </c>
      <c r="AF1269">
        <v>80</v>
      </c>
      <c r="AG1269">
        <v>1</v>
      </c>
      <c r="AH12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269">
        <v>15</v>
      </c>
      <c r="AJ1269" t="s">
        <v>76</v>
      </c>
      <c r="AK1269">
        <v>3</v>
      </c>
      <c r="AL1269" t="s">
        <v>76</v>
      </c>
      <c r="AM1269">
        <v>3</v>
      </c>
      <c r="AN1269" t="s">
        <v>76</v>
      </c>
      <c r="AO1269">
        <v>15</v>
      </c>
      <c r="AP1269" t="s">
        <v>76</v>
      </c>
      <c r="AQ1269">
        <v>14</v>
      </c>
      <c r="AR1269">
        <v>0</v>
      </c>
      <c r="AS1269">
        <v>7</v>
      </c>
    </row>
    <row r="1270" spans="1:4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 t="str">
        <f>IF(Employee_data[[#This Row],[MonthlyIncome]]&lt;5000,"Low Income",
IF(Employee_data[[#This Row],[MonthlyIncome]]&lt;10000,"Medium Income","High Income"))</f>
        <v>High Income</v>
      </c>
      <c r="U1270" t="s">
        <v>90</v>
      </c>
      <c r="V1270" t="s">
        <v>90</v>
      </c>
      <c r="W1270" t="s">
        <v>90</v>
      </c>
      <c r="X1270" t="s">
        <v>90</v>
      </c>
      <c r="Y1270">
        <v>22308</v>
      </c>
      <c r="Z1270">
        <v>4</v>
      </c>
      <c r="AA1270" t="s">
        <v>42</v>
      </c>
      <c r="AB1270" t="s">
        <v>35</v>
      </c>
      <c r="AC1270">
        <v>20</v>
      </c>
      <c r="AD1270">
        <v>4</v>
      </c>
      <c r="AE1270">
        <v>4</v>
      </c>
      <c r="AF1270">
        <v>80</v>
      </c>
      <c r="AG1270">
        <v>3</v>
      </c>
      <c r="AH12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70">
        <v>27</v>
      </c>
      <c r="AJ1270" t="s">
        <v>74</v>
      </c>
      <c r="AK1270">
        <v>2</v>
      </c>
      <c r="AL1270" t="s">
        <v>74</v>
      </c>
      <c r="AM1270">
        <v>2</v>
      </c>
      <c r="AN1270" t="s">
        <v>74</v>
      </c>
      <c r="AO1270">
        <v>3</v>
      </c>
      <c r="AP1270" t="s">
        <v>74</v>
      </c>
      <c r="AQ1270">
        <v>2</v>
      </c>
      <c r="AR1270">
        <v>0</v>
      </c>
      <c r="AS1270">
        <v>2</v>
      </c>
    </row>
    <row r="1271" spans="1:4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 t="str">
        <f>IF(Employee_data[[#This Row],[MonthlyIncome]]&lt;5000,"Low Income",
IF(Employee_data[[#This Row],[MonthlyIncome]]&lt;10000,"Medium Income","High Income"))</f>
        <v>Low Income</v>
      </c>
      <c r="U1271" t="s">
        <v>91</v>
      </c>
      <c r="V1271" t="s">
        <v>91</v>
      </c>
      <c r="W1271" t="s">
        <v>91</v>
      </c>
      <c r="X1271" t="s">
        <v>91</v>
      </c>
      <c r="Y1271">
        <v>5033</v>
      </c>
      <c r="Z1271">
        <v>0</v>
      </c>
      <c r="AA1271" t="s">
        <v>42</v>
      </c>
      <c r="AB1271" t="s">
        <v>43</v>
      </c>
      <c r="AC1271">
        <v>13</v>
      </c>
      <c r="AD1271">
        <v>3</v>
      </c>
      <c r="AE1271">
        <v>2</v>
      </c>
      <c r="AF1271">
        <v>80</v>
      </c>
      <c r="AG1271">
        <v>0</v>
      </c>
      <c r="AH12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71">
        <v>10</v>
      </c>
      <c r="AJ1271" t="s">
        <v>78</v>
      </c>
      <c r="AK1271">
        <v>5</v>
      </c>
      <c r="AL1271" t="s">
        <v>78</v>
      </c>
      <c r="AM1271">
        <v>3</v>
      </c>
      <c r="AN1271" t="s">
        <v>78</v>
      </c>
      <c r="AO1271">
        <v>9</v>
      </c>
      <c r="AP1271" t="s">
        <v>78</v>
      </c>
      <c r="AQ1271">
        <v>7</v>
      </c>
      <c r="AR1271">
        <v>1</v>
      </c>
      <c r="AS1271">
        <v>8</v>
      </c>
    </row>
    <row r="1272" spans="1:4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 t="str">
        <f>IF(Employee_data[[#This Row],[MonthlyIncome]]&lt;5000,"Low Income",
IF(Employee_data[[#This Row],[MonthlyIncome]]&lt;10000,"Medium Income","High Income"))</f>
        <v>Medium Income</v>
      </c>
      <c r="U1272" t="s">
        <v>92</v>
      </c>
      <c r="V1272" t="s">
        <v>92</v>
      </c>
      <c r="W1272" t="s">
        <v>92</v>
      </c>
      <c r="X1272" t="s">
        <v>92</v>
      </c>
      <c r="Y1272">
        <v>25353</v>
      </c>
      <c r="Z1272">
        <v>5</v>
      </c>
      <c r="AA1272" t="s">
        <v>42</v>
      </c>
      <c r="AB1272" t="s">
        <v>43</v>
      </c>
      <c r="AC1272">
        <v>12</v>
      </c>
      <c r="AD1272">
        <v>3</v>
      </c>
      <c r="AE1272">
        <v>1</v>
      </c>
      <c r="AF1272">
        <v>80</v>
      </c>
      <c r="AG1272">
        <v>0</v>
      </c>
      <c r="AH12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72">
        <v>6</v>
      </c>
      <c r="AJ1272" t="s">
        <v>74</v>
      </c>
      <c r="AK1272">
        <v>3</v>
      </c>
      <c r="AL1272" t="s">
        <v>74</v>
      </c>
      <c r="AM1272">
        <v>3</v>
      </c>
      <c r="AN1272" t="s">
        <v>74</v>
      </c>
      <c r="AO1272">
        <v>2</v>
      </c>
      <c r="AP1272" t="s">
        <v>74</v>
      </c>
      <c r="AQ1272">
        <v>2</v>
      </c>
      <c r="AR1272">
        <v>2</v>
      </c>
      <c r="AS1272">
        <v>2</v>
      </c>
    </row>
    <row r="1273" spans="1:4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 t="str">
        <f>IF(Employee_data[[#This Row],[MonthlyIncome]]&lt;5000,"Low Income",
IF(Employee_data[[#This Row],[MonthlyIncome]]&lt;10000,"Medium Income","High Income"))</f>
        <v>Low Income</v>
      </c>
      <c r="U1273" t="s">
        <v>91</v>
      </c>
      <c r="V1273" t="s">
        <v>91</v>
      </c>
      <c r="W1273" t="s">
        <v>91</v>
      </c>
      <c r="X1273" t="s">
        <v>91</v>
      </c>
      <c r="Y1273">
        <v>4567</v>
      </c>
      <c r="Z1273">
        <v>1</v>
      </c>
      <c r="AA1273" t="s">
        <v>42</v>
      </c>
      <c r="AB1273" t="s">
        <v>43</v>
      </c>
      <c r="AC1273">
        <v>13</v>
      </c>
      <c r="AD1273">
        <v>3</v>
      </c>
      <c r="AE1273">
        <v>2</v>
      </c>
      <c r="AF1273">
        <v>80</v>
      </c>
      <c r="AG1273">
        <v>0</v>
      </c>
      <c r="AH12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73">
        <v>1</v>
      </c>
      <c r="AJ1273" t="s">
        <v>74</v>
      </c>
      <c r="AK1273">
        <v>3</v>
      </c>
      <c r="AL1273" t="s">
        <v>74</v>
      </c>
      <c r="AM1273">
        <v>3</v>
      </c>
      <c r="AN1273" t="s">
        <v>74</v>
      </c>
      <c r="AO1273">
        <v>1</v>
      </c>
      <c r="AP1273" t="s">
        <v>74</v>
      </c>
      <c r="AQ1273">
        <v>0</v>
      </c>
      <c r="AR1273">
        <v>1</v>
      </c>
      <c r="AS1273">
        <v>0</v>
      </c>
    </row>
    <row r="1274" spans="1:4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 t="str">
        <f>IF(Employee_data[[#This Row],[MonthlyIncome]]&lt;5000,"Low Income",
IF(Employee_data[[#This Row],[MonthlyIncome]]&lt;10000,"Medium Income","High Income"))</f>
        <v>Low Income</v>
      </c>
      <c r="U1274" t="s">
        <v>91</v>
      </c>
      <c r="V1274" t="s">
        <v>91</v>
      </c>
      <c r="W1274" t="s">
        <v>91</v>
      </c>
      <c r="X1274" t="s">
        <v>91</v>
      </c>
      <c r="Y1274">
        <v>16376</v>
      </c>
      <c r="Z1274">
        <v>1</v>
      </c>
      <c r="AA1274" t="s">
        <v>42</v>
      </c>
      <c r="AB1274" t="s">
        <v>43</v>
      </c>
      <c r="AC1274">
        <v>11</v>
      </c>
      <c r="AD1274">
        <v>3</v>
      </c>
      <c r="AE1274">
        <v>2</v>
      </c>
      <c r="AF1274">
        <v>80</v>
      </c>
      <c r="AG1274">
        <v>1</v>
      </c>
      <c r="AH12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74">
        <v>5</v>
      </c>
      <c r="AJ1274" t="s">
        <v>78</v>
      </c>
      <c r="AK1274">
        <v>3</v>
      </c>
      <c r="AL1274" t="s">
        <v>78</v>
      </c>
      <c r="AM1274">
        <v>3</v>
      </c>
      <c r="AN1274" t="s">
        <v>78</v>
      </c>
      <c r="AO1274">
        <v>5</v>
      </c>
      <c r="AP1274" t="s">
        <v>78</v>
      </c>
      <c r="AQ1274">
        <v>4</v>
      </c>
      <c r="AR1274">
        <v>0</v>
      </c>
      <c r="AS1274">
        <v>4</v>
      </c>
    </row>
    <row r="1275" spans="1:4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 t="str">
        <f>IF(Employee_data[[#This Row],[MonthlyIncome]]&lt;5000,"Low Income",
IF(Employee_data[[#This Row],[MonthlyIncome]]&lt;10000,"Medium Income","High Income"))</f>
        <v>Low Income</v>
      </c>
      <c r="U1275" t="s">
        <v>91</v>
      </c>
      <c r="V1275" t="s">
        <v>91</v>
      </c>
      <c r="W1275" t="s">
        <v>91</v>
      </c>
      <c r="X1275" t="s">
        <v>91</v>
      </c>
      <c r="Y1275">
        <v>15999</v>
      </c>
      <c r="Z1275">
        <v>1</v>
      </c>
      <c r="AA1275" t="s">
        <v>42</v>
      </c>
      <c r="AB1275" t="s">
        <v>35</v>
      </c>
      <c r="AC1275">
        <v>17</v>
      </c>
      <c r="AD1275">
        <v>3</v>
      </c>
      <c r="AE1275">
        <v>3</v>
      </c>
      <c r="AF1275">
        <v>80</v>
      </c>
      <c r="AG1275">
        <v>0</v>
      </c>
      <c r="AH12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75">
        <v>1</v>
      </c>
      <c r="AJ1275" t="s">
        <v>74</v>
      </c>
      <c r="AK1275">
        <v>6</v>
      </c>
      <c r="AL1275" t="s">
        <v>74</v>
      </c>
      <c r="AM1275">
        <v>3</v>
      </c>
      <c r="AN1275" t="s">
        <v>74</v>
      </c>
      <c r="AO1275">
        <v>1</v>
      </c>
      <c r="AP1275" t="s">
        <v>74</v>
      </c>
      <c r="AQ1275">
        <v>0</v>
      </c>
      <c r="AR1275">
        <v>0</v>
      </c>
      <c r="AS1275">
        <v>0</v>
      </c>
    </row>
    <row r="1276" spans="1:4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 t="str">
        <f>IF(Employee_data[[#This Row],[MonthlyIncome]]&lt;5000,"Low Income",
IF(Employee_data[[#This Row],[MonthlyIncome]]&lt;10000,"Medium Income","High Income"))</f>
        <v>Medium Income</v>
      </c>
      <c r="U1276" t="s">
        <v>92</v>
      </c>
      <c r="V1276" t="s">
        <v>92</v>
      </c>
      <c r="W1276" t="s">
        <v>92</v>
      </c>
      <c r="X1276" t="s">
        <v>92</v>
      </c>
      <c r="Y1276">
        <v>13402</v>
      </c>
      <c r="Z1276">
        <v>1</v>
      </c>
      <c r="AA1276" t="s">
        <v>42</v>
      </c>
      <c r="AB1276" t="s">
        <v>43</v>
      </c>
      <c r="AC1276">
        <v>14</v>
      </c>
      <c r="AD1276">
        <v>3</v>
      </c>
      <c r="AE1276">
        <v>1</v>
      </c>
      <c r="AF1276">
        <v>80</v>
      </c>
      <c r="AG1276">
        <v>2</v>
      </c>
      <c r="AH12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76">
        <v>13</v>
      </c>
      <c r="AJ1276" t="s">
        <v>75</v>
      </c>
      <c r="AK1276">
        <v>3</v>
      </c>
      <c r="AL1276" t="s">
        <v>75</v>
      </c>
      <c r="AM1276">
        <v>3</v>
      </c>
      <c r="AN1276" t="s">
        <v>75</v>
      </c>
      <c r="AO1276">
        <v>12</v>
      </c>
      <c r="AP1276" t="s">
        <v>75</v>
      </c>
      <c r="AQ1276">
        <v>7</v>
      </c>
      <c r="AR1276">
        <v>5</v>
      </c>
      <c r="AS1276">
        <v>7</v>
      </c>
    </row>
    <row r="1277" spans="1:4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 t="str">
        <f>IF(Employee_data[[#This Row],[MonthlyIncome]]&lt;5000,"Low Income",
IF(Employee_data[[#This Row],[MonthlyIncome]]&lt;10000,"Medium Income","High Income"))</f>
        <v>High Income</v>
      </c>
      <c r="U1277" t="s">
        <v>90</v>
      </c>
      <c r="V1277" t="s">
        <v>90</v>
      </c>
      <c r="W1277" t="s">
        <v>90</v>
      </c>
      <c r="X1277" t="s">
        <v>90</v>
      </c>
      <c r="Y1277">
        <v>22984</v>
      </c>
      <c r="Z1277">
        <v>2</v>
      </c>
      <c r="AA1277" t="s">
        <v>42</v>
      </c>
      <c r="AB1277" t="s">
        <v>43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77">
        <v>15</v>
      </c>
      <c r="AJ1277" t="s">
        <v>74</v>
      </c>
      <c r="AK1277">
        <v>2</v>
      </c>
      <c r="AL1277" t="s">
        <v>74</v>
      </c>
      <c r="AM1277">
        <v>3</v>
      </c>
      <c r="AN1277" t="s">
        <v>74</v>
      </c>
      <c r="AO1277">
        <v>2</v>
      </c>
      <c r="AP1277" t="s">
        <v>74</v>
      </c>
      <c r="AQ1277">
        <v>2</v>
      </c>
      <c r="AR1277">
        <v>2</v>
      </c>
      <c r="AS1277">
        <v>2</v>
      </c>
    </row>
    <row r="1278" spans="1:4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 t="str">
        <f>IF(Employee_data[[#This Row],[MonthlyIncome]]&lt;5000,"Low Income",
IF(Employee_data[[#This Row],[MonthlyIncome]]&lt;10000,"Medium Income","High Income"))</f>
        <v>Low Income</v>
      </c>
      <c r="U1278" t="s">
        <v>91</v>
      </c>
      <c r="V1278" t="s">
        <v>91</v>
      </c>
      <c r="W1278" t="s">
        <v>91</v>
      </c>
      <c r="X1278" t="s">
        <v>91</v>
      </c>
      <c r="Y1278">
        <v>8800</v>
      </c>
      <c r="Z1278">
        <v>1</v>
      </c>
      <c r="AA1278" t="s">
        <v>42</v>
      </c>
      <c r="AB1278" t="s">
        <v>43</v>
      </c>
      <c r="AC1278">
        <v>14</v>
      </c>
      <c r="AD1278">
        <v>3</v>
      </c>
      <c r="AE1278">
        <v>1</v>
      </c>
      <c r="AF1278">
        <v>80</v>
      </c>
      <c r="AG1278">
        <v>2</v>
      </c>
      <c r="AH12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78">
        <v>5</v>
      </c>
      <c r="AJ1278" t="s">
        <v>78</v>
      </c>
      <c r="AK1278">
        <v>2</v>
      </c>
      <c r="AL1278" t="s">
        <v>78</v>
      </c>
      <c r="AM1278">
        <v>3</v>
      </c>
      <c r="AN1278" t="s">
        <v>78</v>
      </c>
      <c r="AO1278">
        <v>5</v>
      </c>
      <c r="AP1278" t="s">
        <v>78</v>
      </c>
      <c r="AQ1278">
        <v>2</v>
      </c>
      <c r="AR1278">
        <v>0</v>
      </c>
      <c r="AS1278">
        <v>3</v>
      </c>
    </row>
    <row r="1279" spans="1:4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 t="str">
        <f>IF(Employee_data[[#This Row],[MonthlyIncome]]&lt;5000,"Low Income",
IF(Employee_data[[#This Row],[MonthlyIncome]]&lt;10000,"Medium Income","High Income"))</f>
        <v>High Income</v>
      </c>
      <c r="U1279" t="s">
        <v>90</v>
      </c>
      <c r="V1279" t="s">
        <v>90</v>
      </c>
      <c r="W1279" t="s">
        <v>90</v>
      </c>
      <c r="X1279" t="s">
        <v>90</v>
      </c>
      <c r="Y1279">
        <v>14218</v>
      </c>
      <c r="Z1279">
        <v>7</v>
      </c>
      <c r="AA1279" t="s">
        <v>42</v>
      </c>
      <c r="AB1279" t="s">
        <v>35</v>
      </c>
      <c r="AC1279">
        <v>17</v>
      </c>
      <c r="AD1279">
        <v>3</v>
      </c>
      <c r="AE1279">
        <v>3</v>
      </c>
      <c r="AF1279">
        <v>80</v>
      </c>
      <c r="AG1279">
        <v>1</v>
      </c>
      <c r="AH12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79">
        <v>24</v>
      </c>
      <c r="AJ1279" t="s">
        <v>74</v>
      </c>
      <c r="AK1279">
        <v>3</v>
      </c>
      <c r="AL1279" t="s">
        <v>74</v>
      </c>
      <c r="AM1279">
        <v>3</v>
      </c>
      <c r="AN1279" t="s">
        <v>74</v>
      </c>
      <c r="AO1279">
        <v>2</v>
      </c>
      <c r="AP1279" t="s">
        <v>74</v>
      </c>
      <c r="AQ1279">
        <v>1</v>
      </c>
      <c r="AR1279">
        <v>2</v>
      </c>
      <c r="AS1279">
        <v>2</v>
      </c>
    </row>
    <row r="1280" spans="1:4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 t="str">
        <f>IF(Employee_data[[#This Row],[MonthlyIncome]]&lt;5000,"Low Income",
IF(Employee_data[[#This Row],[MonthlyIncome]]&lt;10000,"Medium Income","High Income"))</f>
        <v>Medium Income</v>
      </c>
      <c r="U1280" t="s">
        <v>92</v>
      </c>
      <c r="V1280" t="s">
        <v>92</v>
      </c>
      <c r="W1280" t="s">
        <v>92</v>
      </c>
      <c r="X1280" t="s">
        <v>92</v>
      </c>
      <c r="Y1280">
        <v>25949</v>
      </c>
      <c r="Z1280">
        <v>7</v>
      </c>
      <c r="AA1280" t="s">
        <v>42</v>
      </c>
      <c r="AB1280" t="s">
        <v>35</v>
      </c>
      <c r="AC1280">
        <v>13</v>
      </c>
      <c r="AD1280">
        <v>3</v>
      </c>
      <c r="AE1280">
        <v>4</v>
      </c>
      <c r="AF1280">
        <v>80</v>
      </c>
      <c r="AG1280">
        <v>1</v>
      </c>
      <c r="AH12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80">
        <v>15</v>
      </c>
      <c r="AJ1280" t="s">
        <v>75</v>
      </c>
      <c r="AK1280">
        <v>1</v>
      </c>
      <c r="AL1280" t="s">
        <v>75</v>
      </c>
      <c r="AM1280">
        <v>3</v>
      </c>
      <c r="AN1280" t="s">
        <v>75</v>
      </c>
      <c r="AO1280">
        <v>12</v>
      </c>
      <c r="AP1280" t="s">
        <v>75</v>
      </c>
      <c r="AQ1280">
        <v>8</v>
      </c>
      <c r="AR1280">
        <v>5</v>
      </c>
      <c r="AS1280">
        <v>7</v>
      </c>
    </row>
    <row r="1281" spans="1:4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 t="str">
        <f>IF(Employee_data[[#This Row],[MonthlyIncome]]&lt;5000,"Low Income",
IF(Employee_data[[#This Row],[MonthlyIncome]]&lt;10000,"Medium Income","High Income"))</f>
        <v>Low Income</v>
      </c>
      <c r="U1281" t="s">
        <v>91</v>
      </c>
      <c r="V1281" t="s">
        <v>91</v>
      </c>
      <c r="W1281" t="s">
        <v>91</v>
      </c>
      <c r="X1281" t="s">
        <v>91</v>
      </c>
      <c r="Y1281">
        <v>11092</v>
      </c>
      <c r="Z1281">
        <v>1</v>
      </c>
      <c r="AA1281" t="s">
        <v>42</v>
      </c>
      <c r="AB1281" t="s">
        <v>35</v>
      </c>
      <c r="AC1281">
        <v>12</v>
      </c>
      <c r="AD1281">
        <v>3</v>
      </c>
      <c r="AE1281">
        <v>3</v>
      </c>
      <c r="AF1281">
        <v>80</v>
      </c>
      <c r="AG1281">
        <v>3</v>
      </c>
      <c r="AH12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81">
        <v>6</v>
      </c>
      <c r="AJ1281" t="s">
        <v>78</v>
      </c>
      <c r="AK1281">
        <v>2</v>
      </c>
      <c r="AL1281" t="s">
        <v>78</v>
      </c>
      <c r="AM1281">
        <v>2</v>
      </c>
      <c r="AN1281" t="s">
        <v>78</v>
      </c>
      <c r="AO1281">
        <v>5</v>
      </c>
      <c r="AP1281" t="s">
        <v>78</v>
      </c>
      <c r="AQ1281">
        <v>3</v>
      </c>
      <c r="AR1281">
        <v>2</v>
      </c>
      <c r="AS1281">
        <v>3</v>
      </c>
    </row>
    <row r="1282" spans="1:4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 t="str">
        <f>IF(Employee_data[[#This Row],[MonthlyIncome]]&lt;5000,"Low Income",
IF(Employee_data[[#This Row],[MonthlyIncome]]&lt;10000,"Medium Income","High Income"))</f>
        <v>Low Income</v>
      </c>
      <c r="U1282" t="s">
        <v>91</v>
      </c>
      <c r="V1282" t="s">
        <v>91</v>
      </c>
      <c r="W1282" t="s">
        <v>91</v>
      </c>
      <c r="X1282" t="s">
        <v>91</v>
      </c>
      <c r="Y1282">
        <v>12832</v>
      </c>
      <c r="Z1282">
        <v>2</v>
      </c>
      <c r="AA1282" t="s">
        <v>42</v>
      </c>
      <c r="AB1282" t="s">
        <v>43</v>
      </c>
      <c r="AC1282">
        <v>13</v>
      </c>
      <c r="AD1282">
        <v>3</v>
      </c>
      <c r="AE1282">
        <v>3</v>
      </c>
      <c r="AF1282">
        <v>80</v>
      </c>
      <c r="AG1282">
        <v>0</v>
      </c>
      <c r="AH12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82">
        <v>19</v>
      </c>
      <c r="AJ1282" t="s">
        <v>75</v>
      </c>
      <c r="AK1282">
        <v>4</v>
      </c>
      <c r="AL1282" t="s">
        <v>75</v>
      </c>
      <c r="AM1282">
        <v>2</v>
      </c>
      <c r="AN1282" t="s">
        <v>75</v>
      </c>
      <c r="AO1282">
        <v>10</v>
      </c>
      <c r="AP1282" t="s">
        <v>75</v>
      </c>
      <c r="AQ1282">
        <v>0</v>
      </c>
      <c r="AR1282">
        <v>4</v>
      </c>
      <c r="AS1282">
        <v>7</v>
      </c>
    </row>
    <row r="1283" spans="1:4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 t="str">
        <f>IF(Employee_data[[#This Row],[MonthlyIncome]]&lt;5000,"Low Income",
IF(Employee_data[[#This Row],[MonthlyIncome]]&lt;10000,"Medium Income","High Income"))</f>
        <v>Medium Income</v>
      </c>
      <c r="U1283" t="s">
        <v>92</v>
      </c>
      <c r="V1283" t="s">
        <v>92</v>
      </c>
      <c r="W1283" t="s">
        <v>92</v>
      </c>
      <c r="X1283" t="s">
        <v>92</v>
      </c>
      <c r="Y1283">
        <v>13492</v>
      </c>
      <c r="Z1283">
        <v>1</v>
      </c>
      <c r="AA1283" t="s">
        <v>42</v>
      </c>
      <c r="AB1283" t="s">
        <v>35</v>
      </c>
      <c r="AC1283">
        <v>18</v>
      </c>
      <c r="AD1283">
        <v>3</v>
      </c>
      <c r="AE1283">
        <v>4</v>
      </c>
      <c r="AF1283">
        <v>80</v>
      </c>
      <c r="AG1283">
        <v>0</v>
      </c>
      <c r="AH12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83">
        <v>10</v>
      </c>
      <c r="AJ1283" t="s">
        <v>75</v>
      </c>
      <c r="AK1283">
        <v>2</v>
      </c>
      <c r="AL1283" t="s">
        <v>75</v>
      </c>
      <c r="AM1283">
        <v>3</v>
      </c>
      <c r="AN1283" t="s">
        <v>75</v>
      </c>
      <c r="AO1283">
        <v>10</v>
      </c>
      <c r="AP1283" t="s">
        <v>75</v>
      </c>
      <c r="AQ1283">
        <v>7</v>
      </c>
      <c r="AR1283">
        <v>7</v>
      </c>
      <c r="AS1283">
        <v>7</v>
      </c>
    </row>
    <row r="1284" spans="1:4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 t="str">
        <f>IF(Employee_data[[#This Row],[MonthlyIncome]]&lt;5000,"Low Income",
IF(Employee_data[[#This Row],[MonthlyIncome]]&lt;10000,"Medium Income","High Income"))</f>
        <v>Low Income</v>
      </c>
      <c r="U1284" t="s">
        <v>91</v>
      </c>
      <c r="V1284" t="s">
        <v>91</v>
      </c>
      <c r="W1284" t="s">
        <v>91</v>
      </c>
      <c r="X1284" t="s">
        <v>91</v>
      </c>
      <c r="Y1284">
        <v>6076</v>
      </c>
      <c r="Z1284">
        <v>6</v>
      </c>
      <c r="AA1284" t="s">
        <v>42</v>
      </c>
      <c r="AB1284" t="s">
        <v>43</v>
      </c>
      <c r="AC1284">
        <v>19</v>
      </c>
      <c r="AD1284">
        <v>3</v>
      </c>
      <c r="AE1284">
        <v>2</v>
      </c>
      <c r="AF1284">
        <v>80</v>
      </c>
      <c r="AG1284">
        <v>1</v>
      </c>
      <c r="AH12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84">
        <v>14</v>
      </c>
      <c r="AJ1284" t="s">
        <v>75</v>
      </c>
      <c r="AK1284">
        <v>1</v>
      </c>
      <c r="AL1284" t="s">
        <v>75</v>
      </c>
      <c r="AM1284">
        <v>3</v>
      </c>
      <c r="AN1284" t="s">
        <v>75</v>
      </c>
      <c r="AO1284">
        <v>10</v>
      </c>
      <c r="AP1284" t="s">
        <v>75</v>
      </c>
      <c r="AQ1284">
        <v>8</v>
      </c>
      <c r="AR1284">
        <v>7</v>
      </c>
      <c r="AS1284">
        <v>6</v>
      </c>
    </row>
    <row r="1285" spans="1:4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 t="str">
        <f>IF(Employee_data[[#This Row],[MonthlyIncome]]&lt;5000,"Low Income",
IF(Employee_data[[#This Row],[MonthlyIncome]]&lt;10000,"Medium Income","High Income"))</f>
        <v>Low Income</v>
      </c>
      <c r="U1285" t="s">
        <v>91</v>
      </c>
      <c r="V1285" t="s">
        <v>91</v>
      </c>
      <c r="W1285" t="s">
        <v>91</v>
      </c>
      <c r="X1285" t="s">
        <v>91</v>
      </c>
      <c r="Y1285">
        <v>5531</v>
      </c>
      <c r="Z1285">
        <v>1</v>
      </c>
      <c r="AA1285" t="s">
        <v>42</v>
      </c>
      <c r="AB1285" t="s">
        <v>43</v>
      </c>
      <c r="AC1285">
        <v>11</v>
      </c>
      <c r="AD1285">
        <v>3</v>
      </c>
      <c r="AE1285">
        <v>3</v>
      </c>
      <c r="AF1285">
        <v>80</v>
      </c>
      <c r="AG1285">
        <v>1</v>
      </c>
      <c r="AH12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85">
        <v>5</v>
      </c>
      <c r="AJ1285" t="s">
        <v>78</v>
      </c>
      <c r="AK1285">
        <v>6</v>
      </c>
      <c r="AL1285" t="s">
        <v>78</v>
      </c>
      <c r="AM1285">
        <v>4</v>
      </c>
      <c r="AN1285" t="s">
        <v>78</v>
      </c>
      <c r="AO1285">
        <v>5</v>
      </c>
      <c r="AP1285" t="s">
        <v>78</v>
      </c>
      <c r="AQ1285">
        <v>3</v>
      </c>
      <c r="AR1285">
        <v>0</v>
      </c>
      <c r="AS1285">
        <v>3</v>
      </c>
    </row>
    <row r="1286" spans="1:4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 t="str">
        <f>IF(Employee_data[[#This Row],[MonthlyIncome]]&lt;5000,"Low Income",
IF(Employee_data[[#This Row],[MonthlyIncome]]&lt;10000,"Medium Income","High Income"))</f>
        <v>High Income</v>
      </c>
      <c r="U1286" t="s">
        <v>90</v>
      </c>
      <c r="V1286" t="s">
        <v>90</v>
      </c>
      <c r="W1286" t="s">
        <v>90</v>
      </c>
      <c r="X1286" t="s">
        <v>90</v>
      </c>
      <c r="Y1286">
        <v>7914</v>
      </c>
      <c r="Z1286">
        <v>7</v>
      </c>
      <c r="AA1286" t="s">
        <v>42</v>
      </c>
      <c r="AB1286" t="s">
        <v>43</v>
      </c>
      <c r="AC1286">
        <v>21</v>
      </c>
      <c r="AD1286">
        <v>4</v>
      </c>
      <c r="AE1286">
        <v>3</v>
      </c>
      <c r="AF1286">
        <v>80</v>
      </c>
      <c r="AG1286">
        <v>0</v>
      </c>
      <c r="AH12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86">
        <v>9</v>
      </c>
      <c r="AJ1286" t="s">
        <v>74</v>
      </c>
      <c r="AK1286">
        <v>3</v>
      </c>
      <c r="AL1286" t="s">
        <v>74</v>
      </c>
      <c r="AM1286">
        <v>3</v>
      </c>
      <c r="AN1286" t="s">
        <v>74</v>
      </c>
      <c r="AO1286">
        <v>4</v>
      </c>
      <c r="AP1286" t="s">
        <v>74</v>
      </c>
      <c r="AQ1286">
        <v>3</v>
      </c>
      <c r="AR1286">
        <v>2</v>
      </c>
      <c r="AS1286">
        <v>2</v>
      </c>
    </row>
    <row r="1287" spans="1:4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 t="str">
        <f>IF(Employee_data[[#This Row],[MonthlyIncome]]&lt;5000,"Low Income",
IF(Employee_data[[#This Row],[MonthlyIncome]]&lt;10000,"Medium Income","High Income"))</f>
        <v>Medium Income</v>
      </c>
      <c r="U1287" t="s">
        <v>92</v>
      </c>
      <c r="V1287" t="s">
        <v>92</v>
      </c>
      <c r="W1287" t="s">
        <v>92</v>
      </c>
      <c r="X1287" t="s">
        <v>92</v>
      </c>
      <c r="Y1287">
        <v>25166</v>
      </c>
      <c r="Z1287">
        <v>8</v>
      </c>
      <c r="AA1287" t="s">
        <v>42</v>
      </c>
      <c r="AB1287" t="s">
        <v>43</v>
      </c>
      <c r="AC1287">
        <v>15</v>
      </c>
      <c r="AD1287">
        <v>3</v>
      </c>
      <c r="AE1287">
        <v>3</v>
      </c>
      <c r="AF1287">
        <v>80</v>
      </c>
      <c r="AG1287">
        <v>0</v>
      </c>
      <c r="AH12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87">
        <v>6</v>
      </c>
      <c r="AJ1287" t="s">
        <v>74</v>
      </c>
      <c r="AK1287">
        <v>3</v>
      </c>
      <c r="AL1287" t="s">
        <v>74</v>
      </c>
      <c r="AM1287">
        <v>3</v>
      </c>
      <c r="AN1287" t="s">
        <v>74</v>
      </c>
      <c r="AO1287">
        <v>2</v>
      </c>
      <c r="AP1287" t="s">
        <v>74</v>
      </c>
      <c r="AQ1287">
        <v>2</v>
      </c>
      <c r="AR1287">
        <v>2</v>
      </c>
      <c r="AS1287">
        <v>2</v>
      </c>
    </row>
    <row r="1288" spans="1:4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 t="str">
        <f>IF(Employee_data[[#This Row],[MonthlyIncome]]&lt;5000,"Low Income",
IF(Employee_data[[#This Row],[MonthlyIncome]]&lt;10000,"Medium Income","High Income"))</f>
        <v>Low Income</v>
      </c>
      <c r="U1288" t="s">
        <v>91</v>
      </c>
      <c r="V1288" t="s">
        <v>91</v>
      </c>
      <c r="W1288" t="s">
        <v>91</v>
      </c>
      <c r="X1288" t="s">
        <v>91</v>
      </c>
      <c r="Y1288">
        <v>25605</v>
      </c>
      <c r="Z1288">
        <v>4</v>
      </c>
      <c r="AA1288" t="s">
        <v>42</v>
      </c>
      <c r="AB1288" t="s">
        <v>43</v>
      </c>
      <c r="AC1288">
        <v>17</v>
      </c>
      <c r="AD1288">
        <v>3</v>
      </c>
      <c r="AE1288">
        <v>4</v>
      </c>
      <c r="AF1288">
        <v>80</v>
      </c>
      <c r="AG1288">
        <v>1</v>
      </c>
      <c r="AH12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88">
        <v>7</v>
      </c>
      <c r="AJ1288" t="s">
        <v>74</v>
      </c>
      <c r="AK1288">
        <v>5</v>
      </c>
      <c r="AL1288" t="s">
        <v>74</v>
      </c>
      <c r="AM1288">
        <v>2</v>
      </c>
      <c r="AN1288" t="s">
        <v>74</v>
      </c>
      <c r="AO1288">
        <v>4</v>
      </c>
      <c r="AP1288" t="s">
        <v>74</v>
      </c>
      <c r="AQ1288">
        <v>3</v>
      </c>
      <c r="AR1288">
        <v>0</v>
      </c>
      <c r="AS1288">
        <v>2</v>
      </c>
    </row>
    <row r="1289" spans="1:4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 t="str">
        <f>IF(Employee_data[[#This Row],[MonthlyIncome]]&lt;5000,"Low Income",
IF(Employee_data[[#This Row],[MonthlyIncome]]&lt;10000,"Medium Income","High Income"))</f>
        <v>Medium Income</v>
      </c>
      <c r="U1289" t="s">
        <v>92</v>
      </c>
      <c r="V1289" t="s">
        <v>92</v>
      </c>
      <c r="W1289" t="s">
        <v>92</v>
      </c>
      <c r="X1289" t="s">
        <v>92</v>
      </c>
      <c r="Y1289">
        <v>5696</v>
      </c>
      <c r="Z1289">
        <v>5</v>
      </c>
      <c r="AA1289" t="s">
        <v>42</v>
      </c>
      <c r="AB1289" t="s">
        <v>43</v>
      </c>
      <c r="AC1289">
        <v>18</v>
      </c>
      <c r="AD1289">
        <v>3</v>
      </c>
      <c r="AE1289">
        <v>3</v>
      </c>
      <c r="AF1289">
        <v>80</v>
      </c>
      <c r="AG1289">
        <v>2</v>
      </c>
      <c r="AH12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89">
        <v>10</v>
      </c>
      <c r="AJ1289" t="s">
        <v>74</v>
      </c>
      <c r="AK1289">
        <v>2</v>
      </c>
      <c r="AL1289" t="s">
        <v>74</v>
      </c>
      <c r="AM1289">
        <v>2</v>
      </c>
      <c r="AN1289" t="s">
        <v>74</v>
      </c>
      <c r="AO1289">
        <v>0</v>
      </c>
      <c r="AP1289" t="s">
        <v>74</v>
      </c>
      <c r="AQ1289">
        <v>0</v>
      </c>
      <c r="AR1289">
        <v>0</v>
      </c>
      <c r="AS1289">
        <v>0</v>
      </c>
    </row>
    <row r="1290" spans="1:4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 t="str">
        <f>IF(Employee_data[[#This Row],[MonthlyIncome]]&lt;5000,"Low Income",
IF(Employee_data[[#This Row],[MonthlyIncome]]&lt;10000,"Medium Income","High Income"))</f>
        <v>Medium Income</v>
      </c>
      <c r="U1290" t="s">
        <v>92</v>
      </c>
      <c r="V1290" t="s">
        <v>92</v>
      </c>
      <c r="W1290" t="s">
        <v>92</v>
      </c>
      <c r="X1290" t="s">
        <v>92</v>
      </c>
      <c r="Y1290">
        <v>24442</v>
      </c>
      <c r="Z1290">
        <v>2</v>
      </c>
      <c r="AA1290" t="s">
        <v>42</v>
      </c>
      <c r="AB1290" t="s">
        <v>43</v>
      </c>
      <c r="AC1290">
        <v>14</v>
      </c>
      <c r="AD1290">
        <v>3</v>
      </c>
      <c r="AE1290">
        <v>3</v>
      </c>
      <c r="AF1290">
        <v>80</v>
      </c>
      <c r="AG1290">
        <v>1</v>
      </c>
      <c r="AH12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90">
        <v>15</v>
      </c>
      <c r="AJ1290" t="s">
        <v>78</v>
      </c>
      <c r="AK1290">
        <v>6</v>
      </c>
      <c r="AL1290" t="s">
        <v>78</v>
      </c>
      <c r="AM1290">
        <v>3</v>
      </c>
      <c r="AN1290" t="s">
        <v>78</v>
      </c>
      <c r="AO1290">
        <v>7</v>
      </c>
      <c r="AP1290" t="s">
        <v>78</v>
      </c>
      <c r="AQ1290">
        <v>7</v>
      </c>
      <c r="AR1290">
        <v>1</v>
      </c>
      <c r="AS1290">
        <v>7</v>
      </c>
    </row>
    <row r="1291" spans="1:4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 t="str">
        <f>IF(Employee_data[[#This Row],[MonthlyIncome]]&lt;5000,"Low Income",
IF(Employee_data[[#This Row],[MonthlyIncome]]&lt;10000,"Medium Income","High Income"))</f>
        <v>Low Income</v>
      </c>
      <c r="U1291" t="s">
        <v>91</v>
      </c>
      <c r="V1291" t="s">
        <v>91</v>
      </c>
      <c r="W1291" t="s">
        <v>91</v>
      </c>
      <c r="X1291" t="s">
        <v>91</v>
      </c>
      <c r="Y1291">
        <v>7129</v>
      </c>
      <c r="Z1291">
        <v>5</v>
      </c>
      <c r="AA1291" t="s">
        <v>42</v>
      </c>
      <c r="AB1291" t="s">
        <v>43</v>
      </c>
      <c r="AC1291">
        <v>13</v>
      </c>
      <c r="AD1291">
        <v>3</v>
      </c>
      <c r="AE1291">
        <v>4</v>
      </c>
      <c r="AF1291">
        <v>80</v>
      </c>
      <c r="AG1291">
        <v>3</v>
      </c>
      <c r="AH12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91">
        <v>13</v>
      </c>
      <c r="AJ1291" t="s">
        <v>75</v>
      </c>
      <c r="AK1291">
        <v>3</v>
      </c>
      <c r="AL1291" t="s">
        <v>75</v>
      </c>
      <c r="AM1291">
        <v>3</v>
      </c>
      <c r="AN1291" t="s">
        <v>75</v>
      </c>
      <c r="AO1291">
        <v>11</v>
      </c>
      <c r="AP1291" t="s">
        <v>75</v>
      </c>
      <c r="AQ1291">
        <v>10</v>
      </c>
      <c r="AR1291">
        <v>3</v>
      </c>
      <c r="AS1291">
        <v>8</v>
      </c>
    </row>
    <row r="1292" spans="1:4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 t="str">
        <f>IF(Employee_data[[#This Row],[MonthlyIncome]]&lt;5000,"Low Income",
IF(Employee_data[[#This Row],[MonthlyIncome]]&lt;10000,"Medium Income","High Income"))</f>
        <v>Medium Income</v>
      </c>
      <c r="U1292" t="s">
        <v>92</v>
      </c>
      <c r="V1292" t="s">
        <v>92</v>
      </c>
      <c r="W1292" t="s">
        <v>92</v>
      </c>
      <c r="X1292" t="s">
        <v>92</v>
      </c>
      <c r="Y1292">
        <v>6208</v>
      </c>
      <c r="Z1292">
        <v>4</v>
      </c>
      <c r="AA1292" t="s">
        <v>42</v>
      </c>
      <c r="AB1292" t="s">
        <v>43</v>
      </c>
      <c r="AC1292">
        <v>17</v>
      </c>
      <c r="AD1292">
        <v>3</v>
      </c>
      <c r="AE1292">
        <v>3</v>
      </c>
      <c r="AF1292">
        <v>80</v>
      </c>
      <c r="AG1292">
        <v>1</v>
      </c>
      <c r="AH12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92">
        <v>11</v>
      </c>
      <c r="AJ1292" t="s">
        <v>78</v>
      </c>
      <c r="AK1292">
        <v>3</v>
      </c>
      <c r="AL1292" t="s">
        <v>78</v>
      </c>
      <c r="AM1292">
        <v>2</v>
      </c>
      <c r="AN1292" t="s">
        <v>78</v>
      </c>
      <c r="AO1292">
        <v>7</v>
      </c>
      <c r="AP1292" t="s">
        <v>78</v>
      </c>
      <c r="AQ1292">
        <v>1</v>
      </c>
      <c r="AR1292">
        <v>0</v>
      </c>
      <c r="AS1292">
        <v>7</v>
      </c>
    </row>
    <row r="1293" spans="1:4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 t="str">
        <f>IF(Employee_data[[#This Row],[MonthlyIncome]]&lt;5000,"Low Income",
IF(Employee_data[[#This Row],[MonthlyIncome]]&lt;10000,"Medium Income","High Income"))</f>
        <v>Low Income</v>
      </c>
      <c r="U1293" t="s">
        <v>91</v>
      </c>
      <c r="V1293" t="s">
        <v>91</v>
      </c>
      <c r="W1293" t="s">
        <v>91</v>
      </c>
      <c r="X1293" t="s">
        <v>91</v>
      </c>
      <c r="Y1293">
        <v>4992</v>
      </c>
      <c r="Z1293">
        <v>1</v>
      </c>
      <c r="AA1293" t="s">
        <v>42</v>
      </c>
      <c r="AB1293" t="s">
        <v>43</v>
      </c>
      <c r="AC1293">
        <v>15</v>
      </c>
      <c r="AD1293">
        <v>3</v>
      </c>
      <c r="AE1293">
        <v>2</v>
      </c>
      <c r="AF1293">
        <v>80</v>
      </c>
      <c r="AG1293">
        <v>0</v>
      </c>
      <c r="AH12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293">
        <v>10</v>
      </c>
      <c r="AJ1293" t="s">
        <v>75</v>
      </c>
      <c r="AK1293">
        <v>4</v>
      </c>
      <c r="AL1293" t="s">
        <v>75</v>
      </c>
      <c r="AM1293">
        <v>1</v>
      </c>
      <c r="AN1293" t="s">
        <v>75</v>
      </c>
      <c r="AO1293">
        <v>10</v>
      </c>
      <c r="AP1293" t="s">
        <v>75</v>
      </c>
      <c r="AQ1293">
        <v>3</v>
      </c>
      <c r="AR1293">
        <v>0</v>
      </c>
      <c r="AS1293">
        <v>8</v>
      </c>
    </row>
    <row r="1294" spans="1:4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 t="str">
        <f>IF(Employee_data[[#This Row],[MonthlyIncome]]&lt;5000,"Low Income",
IF(Employee_data[[#This Row],[MonthlyIncome]]&lt;10000,"Medium Income","High Income"))</f>
        <v>Low Income</v>
      </c>
      <c r="U1294" t="s">
        <v>91</v>
      </c>
      <c r="V1294" t="s">
        <v>91</v>
      </c>
      <c r="W1294" t="s">
        <v>91</v>
      </c>
      <c r="X1294" t="s">
        <v>91</v>
      </c>
      <c r="Y1294">
        <v>19188</v>
      </c>
      <c r="Z1294">
        <v>2</v>
      </c>
      <c r="AA1294" t="s">
        <v>42</v>
      </c>
      <c r="AB1294" t="s">
        <v>43</v>
      </c>
      <c r="AC1294">
        <v>18</v>
      </c>
      <c r="AD1294">
        <v>3</v>
      </c>
      <c r="AE1294">
        <v>4</v>
      </c>
      <c r="AF1294">
        <v>80</v>
      </c>
      <c r="AG1294">
        <v>1</v>
      </c>
      <c r="AH12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94">
        <v>7</v>
      </c>
      <c r="AJ1294" t="s">
        <v>74</v>
      </c>
      <c r="AK1294">
        <v>6</v>
      </c>
      <c r="AL1294" t="s">
        <v>74</v>
      </c>
      <c r="AM1294">
        <v>3</v>
      </c>
      <c r="AN1294" t="s">
        <v>74</v>
      </c>
      <c r="AO1294">
        <v>2</v>
      </c>
      <c r="AP1294" t="s">
        <v>74</v>
      </c>
      <c r="AQ1294">
        <v>1</v>
      </c>
      <c r="AR1294">
        <v>2</v>
      </c>
      <c r="AS1294">
        <v>2</v>
      </c>
    </row>
    <row r="1295" spans="1:4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 t="str">
        <f>IF(Employee_data[[#This Row],[MonthlyIncome]]&lt;5000,"Low Income",
IF(Employee_data[[#This Row],[MonthlyIncome]]&lt;10000,"Medium Income","High Income"))</f>
        <v>Low Income</v>
      </c>
      <c r="U1295" t="s">
        <v>91</v>
      </c>
      <c r="V1295" t="s">
        <v>91</v>
      </c>
      <c r="W1295" t="s">
        <v>91</v>
      </c>
      <c r="X1295" t="s">
        <v>91</v>
      </c>
      <c r="Y1295">
        <v>24978</v>
      </c>
      <c r="Z1295">
        <v>4</v>
      </c>
      <c r="AA1295" t="s">
        <v>42</v>
      </c>
      <c r="AB1295" t="s">
        <v>43</v>
      </c>
      <c r="AC1295">
        <v>13</v>
      </c>
      <c r="AD1295">
        <v>3</v>
      </c>
      <c r="AE1295">
        <v>3</v>
      </c>
      <c r="AF1295">
        <v>80</v>
      </c>
      <c r="AG1295">
        <v>0</v>
      </c>
      <c r="AH12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95">
        <v>7</v>
      </c>
      <c r="AJ1295" t="s">
        <v>74</v>
      </c>
      <c r="AK1295">
        <v>2</v>
      </c>
      <c r="AL1295" t="s">
        <v>74</v>
      </c>
      <c r="AM1295">
        <v>2</v>
      </c>
      <c r="AN1295" t="s">
        <v>74</v>
      </c>
      <c r="AO1295">
        <v>3</v>
      </c>
      <c r="AP1295" t="s">
        <v>74</v>
      </c>
      <c r="AQ1295">
        <v>2</v>
      </c>
      <c r="AR1295">
        <v>1</v>
      </c>
      <c r="AS1295">
        <v>2</v>
      </c>
    </row>
    <row r="1296" spans="1:4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 t="str">
        <f>IF(Employee_data[[#This Row],[MonthlyIncome]]&lt;5000,"Low Income",
IF(Employee_data[[#This Row],[MonthlyIncome]]&lt;10000,"Medium Income","High Income"))</f>
        <v>Medium Income</v>
      </c>
      <c r="U1296" t="s">
        <v>92</v>
      </c>
      <c r="V1296" t="s">
        <v>92</v>
      </c>
      <c r="W1296" t="s">
        <v>92</v>
      </c>
      <c r="X1296" t="s">
        <v>92</v>
      </c>
      <c r="Y1296">
        <v>15530</v>
      </c>
      <c r="Z1296">
        <v>3</v>
      </c>
      <c r="AA1296" t="s">
        <v>42</v>
      </c>
      <c r="AB1296" t="s">
        <v>43</v>
      </c>
      <c r="AC1296">
        <v>12</v>
      </c>
      <c r="AD1296">
        <v>3</v>
      </c>
      <c r="AE1296">
        <v>1</v>
      </c>
      <c r="AF1296">
        <v>80</v>
      </c>
      <c r="AG1296">
        <v>0</v>
      </c>
      <c r="AH12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296">
        <v>11</v>
      </c>
      <c r="AJ1296" t="s">
        <v>74</v>
      </c>
      <c r="AK1296">
        <v>3</v>
      </c>
      <c r="AL1296" t="s">
        <v>74</v>
      </c>
      <c r="AM1296">
        <v>1</v>
      </c>
      <c r="AN1296" t="s">
        <v>74</v>
      </c>
      <c r="AO1296">
        <v>3</v>
      </c>
      <c r="AP1296" t="s">
        <v>74</v>
      </c>
      <c r="AQ1296">
        <v>2</v>
      </c>
      <c r="AR1296">
        <v>1</v>
      </c>
      <c r="AS1296">
        <v>2</v>
      </c>
    </row>
    <row r="1297" spans="1:4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 t="str">
        <f>IF(Employee_data[[#This Row],[MonthlyIncome]]&lt;5000,"Low Income",
IF(Employee_data[[#This Row],[MonthlyIncome]]&lt;10000,"Medium Income","High Income"))</f>
        <v>High Income</v>
      </c>
      <c r="U1297" t="s">
        <v>90</v>
      </c>
      <c r="V1297" t="s">
        <v>90</v>
      </c>
      <c r="W1297" t="s">
        <v>90</v>
      </c>
      <c r="X1297" t="s">
        <v>90</v>
      </c>
      <c r="Y1297">
        <v>26458</v>
      </c>
      <c r="Z1297">
        <v>0</v>
      </c>
      <c r="AA1297" t="s">
        <v>42</v>
      </c>
      <c r="AB1297" t="s">
        <v>35</v>
      </c>
      <c r="AC1297">
        <v>13</v>
      </c>
      <c r="AD1297">
        <v>3</v>
      </c>
      <c r="AE1297">
        <v>4</v>
      </c>
      <c r="AF1297">
        <v>80</v>
      </c>
      <c r="AG1297">
        <v>1</v>
      </c>
      <c r="AH12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297">
        <v>23</v>
      </c>
      <c r="AJ1297" t="s">
        <v>76</v>
      </c>
      <c r="AK1297">
        <v>3</v>
      </c>
      <c r="AL1297" t="s">
        <v>76</v>
      </c>
      <c r="AM1297">
        <v>4</v>
      </c>
      <c r="AN1297" t="s">
        <v>76</v>
      </c>
      <c r="AO1297">
        <v>22</v>
      </c>
      <c r="AP1297" t="s">
        <v>76</v>
      </c>
      <c r="AQ1297">
        <v>14</v>
      </c>
      <c r="AR1297">
        <v>13</v>
      </c>
      <c r="AS1297">
        <v>5</v>
      </c>
    </row>
    <row r="1298" spans="1:4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 t="str">
        <f>IF(Employee_data[[#This Row],[MonthlyIncome]]&lt;5000,"Low Income",
IF(Employee_data[[#This Row],[MonthlyIncome]]&lt;10000,"Medium Income","High Income"))</f>
        <v>Medium Income</v>
      </c>
      <c r="U1298" t="s">
        <v>92</v>
      </c>
      <c r="V1298" t="s">
        <v>92</v>
      </c>
      <c r="W1298" t="s">
        <v>92</v>
      </c>
      <c r="X1298" t="s">
        <v>92</v>
      </c>
      <c r="Y1298">
        <v>2739</v>
      </c>
      <c r="Z1298">
        <v>9</v>
      </c>
      <c r="AA1298" t="s">
        <v>42</v>
      </c>
      <c r="AB1298" t="s">
        <v>43</v>
      </c>
      <c r="AC1298">
        <v>14</v>
      </c>
      <c r="AD1298">
        <v>3</v>
      </c>
      <c r="AE1298">
        <v>2</v>
      </c>
      <c r="AF1298">
        <v>80</v>
      </c>
      <c r="AG1298">
        <v>0</v>
      </c>
      <c r="AH12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98">
        <v>9</v>
      </c>
      <c r="AJ1298" t="s">
        <v>78</v>
      </c>
      <c r="AK1298">
        <v>3</v>
      </c>
      <c r="AL1298" t="s">
        <v>78</v>
      </c>
      <c r="AM1298">
        <v>3</v>
      </c>
      <c r="AN1298" t="s">
        <v>78</v>
      </c>
      <c r="AO1298">
        <v>7</v>
      </c>
      <c r="AP1298" t="s">
        <v>78</v>
      </c>
      <c r="AQ1298">
        <v>7</v>
      </c>
      <c r="AR1298">
        <v>0</v>
      </c>
      <c r="AS1298">
        <v>2</v>
      </c>
    </row>
    <row r="1299" spans="1:4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 t="str">
        <f>IF(Employee_data[[#This Row],[MonthlyIncome]]&lt;5000,"Low Income",
IF(Employee_data[[#This Row],[MonthlyIncome]]&lt;10000,"Medium Income","High Income"))</f>
        <v>Low Income</v>
      </c>
      <c r="U1299" t="s">
        <v>91</v>
      </c>
      <c r="V1299" t="s">
        <v>91</v>
      </c>
      <c r="W1299" t="s">
        <v>91</v>
      </c>
      <c r="X1299" t="s">
        <v>91</v>
      </c>
      <c r="Y1299">
        <v>6889</v>
      </c>
      <c r="Z1299">
        <v>0</v>
      </c>
      <c r="AA1299" t="s">
        <v>42</v>
      </c>
      <c r="AB1299" t="s">
        <v>35</v>
      </c>
      <c r="AC1299">
        <v>11</v>
      </c>
      <c r="AD1299">
        <v>3</v>
      </c>
      <c r="AE1299">
        <v>3</v>
      </c>
      <c r="AF1299">
        <v>80</v>
      </c>
      <c r="AG1299">
        <v>0</v>
      </c>
      <c r="AH12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299">
        <v>6</v>
      </c>
      <c r="AJ1299" t="s">
        <v>78</v>
      </c>
      <c r="AK1299">
        <v>3</v>
      </c>
      <c r="AL1299" t="s">
        <v>78</v>
      </c>
      <c r="AM1299">
        <v>3</v>
      </c>
      <c r="AN1299" t="s">
        <v>78</v>
      </c>
      <c r="AO1299">
        <v>5</v>
      </c>
      <c r="AP1299" t="s">
        <v>78</v>
      </c>
      <c r="AQ1299">
        <v>1</v>
      </c>
      <c r="AR1299">
        <v>1</v>
      </c>
      <c r="AS1299">
        <v>4</v>
      </c>
    </row>
    <row r="1300" spans="1:4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 t="str">
        <f>IF(Employee_data[[#This Row],[MonthlyIncome]]&lt;5000,"Low Income",
IF(Employee_data[[#This Row],[MonthlyIncome]]&lt;10000,"Medium Income","High Income"))</f>
        <v>Medium Income</v>
      </c>
      <c r="U1300" t="s">
        <v>92</v>
      </c>
      <c r="V1300" t="s">
        <v>92</v>
      </c>
      <c r="W1300" t="s">
        <v>92</v>
      </c>
      <c r="X1300" t="s">
        <v>92</v>
      </c>
      <c r="Y1300">
        <v>10842</v>
      </c>
      <c r="Z1300">
        <v>4</v>
      </c>
      <c r="AA1300" t="s">
        <v>42</v>
      </c>
      <c r="AB1300" t="s">
        <v>43</v>
      </c>
      <c r="AC1300">
        <v>22</v>
      </c>
      <c r="AD1300">
        <v>4</v>
      </c>
      <c r="AE1300">
        <v>4</v>
      </c>
      <c r="AF1300">
        <v>80</v>
      </c>
      <c r="AG1300">
        <v>1</v>
      </c>
      <c r="AH13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00">
        <v>13</v>
      </c>
      <c r="AJ1300" t="s">
        <v>78</v>
      </c>
      <c r="AK1300">
        <v>2</v>
      </c>
      <c r="AL1300" t="s">
        <v>78</v>
      </c>
      <c r="AM1300">
        <v>4</v>
      </c>
      <c r="AN1300" t="s">
        <v>78</v>
      </c>
      <c r="AO1300">
        <v>9</v>
      </c>
      <c r="AP1300" t="s">
        <v>78</v>
      </c>
      <c r="AQ1300">
        <v>7</v>
      </c>
      <c r="AR1300">
        <v>3</v>
      </c>
      <c r="AS1300">
        <v>7</v>
      </c>
    </row>
    <row r="1301" spans="1:4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 t="str">
        <f>IF(Employee_data[[#This Row],[MonthlyIncome]]&lt;5000,"Low Income",
IF(Employee_data[[#This Row],[MonthlyIncome]]&lt;10000,"Medium Income","High Income"))</f>
        <v>Medium Income</v>
      </c>
      <c r="U1301" t="s">
        <v>92</v>
      </c>
      <c r="V1301" t="s">
        <v>92</v>
      </c>
      <c r="W1301" t="s">
        <v>92</v>
      </c>
      <c r="X1301" t="s">
        <v>92</v>
      </c>
      <c r="Y1301">
        <v>9060</v>
      </c>
      <c r="Z1301">
        <v>4</v>
      </c>
      <c r="AA1301" t="s">
        <v>42</v>
      </c>
      <c r="AB1301" t="s">
        <v>43</v>
      </c>
      <c r="AC1301">
        <v>17</v>
      </c>
      <c r="AD1301">
        <v>3</v>
      </c>
      <c r="AE1301">
        <v>4</v>
      </c>
      <c r="AF1301">
        <v>80</v>
      </c>
      <c r="AG1301">
        <v>1</v>
      </c>
      <c r="AH13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01">
        <v>12</v>
      </c>
      <c r="AJ1301" t="s">
        <v>78</v>
      </c>
      <c r="AK1301">
        <v>3</v>
      </c>
      <c r="AL1301" t="s">
        <v>78</v>
      </c>
      <c r="AM1301">
        <v>3</v>
      </c>
      <c r="AN1301" t="s">
        <v>78</v>
      </c>
      <c r="AO1301">
        <v>5</v>
      </c>
      <c r="AP1301" t="s">
        <v>78</v>
      </c>
      <c r="AQ1301">
        <v>3</v>
      </c>
      <c r="AR1301">
        <v>0</v>
      </c>
      <c r="AS1301">
        <v>3</v>
      </c>
    </row>
    <row r="1302" spans="1:4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 t="str">
        <f>IF(Employee_data[[#This Row],[MonthlyIncome]]&lt;5000,"Low Income",
IF(Employee_data[[#This Row],[MonthlyIncome]]&lt;10000,"Medium Income","High Income"))</f>
        <v>Medium Income</v>
      </c>
      <c r="U1302" t="s">
        <v>92</v>
      </c>
      <c r="V1302" t="s">
        <v>92</v>
      </c>
      <c r="W1302" t="s">
        <v>92</v>
      </c>
      <c r="X1302" t="s">
        <v>92</v>
      </c>
      <c r="Y1302">
        <v>22128</v>
      </c>
      <c r="Z1302">
        <v>1</v>
      </c>
      <c r="AA1302" t="s">
        <v>42</v>
      </c>
      <c r="AB1302" t="s">
        <v>43</v>
      </c>
      <c r="AC1302">
        <v>21</v>
      </c>
      <c r="AD1302">
        <v>4</v>
      </c>
      <c r="AE1302">
        <v>3</v>
      </c>
      <c r="AF1302">
        <v>80</v>
      </c>
      <c r="AG1302">
        <v>2</v>
      </c>
      <c r="AH13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02">
        <v>10</v>
      </c>
      <c r="AJ1302" t="s">
        <v>75</v>
      </c>
      <c r="AK1302">
        <v>5</v>
      </c>
      <c r="AL1302" t="s">
        <v>75</v>
      </c>
      <c r="AM1302">
        <v>3</v>
      </c>
      <c r="AN1302" t="s">
        <v>75</v>
      </c>
      <c r="AO1302">
        <v>10</v>
      </c>
      <c r="AP1302" t="s">
        <v>75</v>
      </c>
      <c r="AQ1302">
        <v>8</v>
      </c>
      <c r="AR1302">
        <v>4</v>
      </c>
      <c r="AS1302">
        <v>8</v>
      </c>
    </row>
    <row r="1303" spans="1:4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 t="str">
        <f>IF(Employee_data[[#This Row],[MonthlyIncome]]&lt;5000,"Low Income",
IF(Employee_data[[#This Row],[MonthlyIncome]]&lt;10000,"Medium Income","High Income"))</f>
        <v>High Income</v>
      </c>
      <c r="U1303" t="s">
        <v>90</v>
      </c>
      <c r="V1303" t="s">
        <v>90</v>
      </c>
      <c r="W1303" t="s">
        <v>90</v>
      </c>
      <c r="X1303" t="s">
        <v>90</v>
      </c>
      <c r="Y1303">
        <v>22577</v>
      </c>
      <c r="Z1303">
        <v>4</v>
      </c>
      <c r="AA1303" t="s">
        <v>42</v>
      </c>
      <c r="AB1303" t="s">
        <v>43</v>
      </c>
      <c r="AC1303">
        <v>22</v>
      </c>
      <c r="AD1303">
        <v>4</v>
      </c>
      <c r="AE1303">
        <v>4</v>
      </c>
      <c r="AF1303">
        <v>80</v>
      </c>
      <c r="AG1303">
        <v>1</v>
      </c>
      <c r="AH13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03">
        <v>37</v>
      </c>
      <c r="AJ1303" t="s">
        <v>76</v>
      </c>
      <c r="AK1303">
        <v>0</v>
      </c>
      <c r="AL1303" t="s">
        <v>76</v>
      </c>
      <c r="AM1303">
        <v>2</v>
      </c>
      <c r="AN1303" t="s">
        <v>76</v>
      </c>
      <c r="AO1303">
        <v>16</v>
      </c>
      <c r="AP1303" t="s">
        <v>76</v>
      </c>
      <c r="AQ1303">
        <v>9</v>
      </c>
      <c r="AR1303">
        <v>14</v>
      </c>
      <c r="AS1303">
        <v>14</v>
      </c>
    </row>
    <row r="1304" spans="1:4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 t="str">
        <f>IF(Employee_data[[#This Row],[MonthlyIncome]]&lt;5000,"Low Income",
IF(Employee_data[[#This Row],[MonthlyIncome]]&lt;10000,"Medium Income","High Income"))</f>
        <v>Low Income</v>
      </c>
      <c r="U1304" t="s">
        <v>91</v>
      </c>
      <c r="V1304" t="s">
        <v>91</v>
      </c>
      <c r="W1304" t="s">
        <v>91</v>
      </c>
      <c r="X1304" t="s">
        <v>91</v>
      </c>
      <c r="Y1304">
        <v>9696</v>
      </c>
      <c r="Z1304">
        <v>0</v>
      </c>
      <c r="AA1304" t="s">
        <v>42</v>
      </c>
      <c r="AB1304" t="s">
        <v>43</v>
      </c>
      <c r="AC1304">
        <v>16</v>
      </c>
      <c r="AD1304">
        <v>3</v>
      </c>
      <c r="AE1304">
        <v>2</v>
      </c>
      <c r="AF1304">
        <v>80</v>
      </c>
      <c r="AG1304">
        <v>1</v>
      </c>
      <c r="AH13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04">
        <v>6</v>
      </c>
      <c r="AJ1304" t="s">
        <v>78</v>
      </c>
      <c r="AK1304">
        <v>2</v>
      </c>
      <c r="AL1304" t="s">
        <v>78</v>
      </c>
      <c r="AM1304">
        <v>4</v>
      </c>
      <c r="AN1304" t="s">
        <v>78</v>
      </c>
      <c r="AO1304">
        <v>5</v>
      </c>
      <c r="AP1304" t="s">
        <v>78</v>
      </c>
      <c r="AQ1304">
        <v>4</v>
      </c>
      <c r="AR1304">
        <v>0</v>
      </c>
      <c r="AS1304">
        <v>3</v>
      </c>
    </row>
    <row r="1305" spans="1:4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 t="str">
        <f>IF(Employee_data[[#This Row],[MonthlyIncome]]&lt;5000,"Low Income",
IF(Employee_data[[#This Row],[MonthlyIncome]]&lt;10000,"Medium Income","High Income"))</f>
        <v>High Income</v>
      </c>
      <c r="U1305" t="s">
        <v>90</v>
      </c>
      <c r="V1305" t="s">
        <v>90</v>
      </c>
      <c r="W1305" t="s">
        <v>90</v>
      </c>
      <c r="X1305" t="s">
        <v>90</v>
      </c>
      <c r="Y1305">
        <v>19271</v>
      </c>
      <c r="Z1305">
        <v>8</v>
      </c>
      <c r="AA1305" t="s">
        <v>42</v>
      </c>
      <c r="AB1305" t="s">
        <v>35</v>
      </c>
      <c r="AC1305">
        <v>12</v>
      </c>
      <c r="AD1305">
        <v>3</v>
      </c>
      <c r="AE1305">
        <v>3</v>
      </c>
      <c r="AF1305">
        <v>80</v>
      </c>
      <c r="AG1305">
        <v>1</v>
      </c>
      <c r="AH13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05">
        <v>28</v>
      </c>
      <c r="AJ1305" t="s">
        <v>76</v>
      </c>
      <c r="AK1305">
        <v>4</v>
      </c>
      <c r="AL1305" t="s">
        <v>76</v>
      </c>
      <c r="AM1305">
        <v>3</v>
      </c>
      <c r="AN1305" t="s">
        <v>76</v>
      </c>
      <c r="AO1305">
        <v>22</v>
      </c>
      <c r="AP1305" t="s">
        <v>76</v>
      </c>
      <c r="AQ1305">
        <v>11</v>
      </c>
      <c r="AR1305">
        <v>14</v>
      </c>
      <c r="AS1305">
        <v>10</v>
      </c>
    </row>
    <row r="1306" spans="1:4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 t="str">
        <f>IF(Employee_data[[#This Row],[MonthlyIncome]]&lt;5000,"Low Income",
IF(Employee_data[[#This Row],[MonthlyIncome]]&lt;10000,"Medium Income","High Income"))</f>
        <v>Low Income</v>
      </c>
      <c r="U1306" t="s">
        <v>91</v>
      </c>
      <c r="V1306" t="s">
        <v>91</v>
      </c>
      <c r="W1306" t="s">
        <v>91</v>
      </c>
      <c r="X1306" t="s">
        <v>91</v>
      </c>
      <c r="Y1306">
        <v>10748</v>
      </c>
      <c r="Z1306">
        <v>2</v>
      </c>
      <c r="AA1306" t="s">
        <v>42</v>
      </c>
      <c r="AB1306" t="s">
        <v>43</v>
      </c>
      <c r="AC1306">
        <v>12</v>
      </c>
      <c r="AD1306">
        <v>3</v>
      </c>
      <c r="AE1306">
        <v>2</v>
      </c>
      <c r="AF1306">
        <v>80</v>
      </c>
      <c r="AG1306">
        <v>1</v>
      </c>
      <c r="AH13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06">
        <v>15</v>
      </c>
      <c r="AJ1306" t="s">
        <v>78</v>
      </c>
      <c r="AK1306">
        <v>3</v>
      </c>
      <c r="AL1306" t="s">
        <v>78</v>
      </c>
      <c r="AM1306">
        <v>3</v>
      </c>
      <c r="AN1306" t="s">
        <v>78</v>
      </c>
      <c r="AO1306">
        <v>7</v>
      </c>
      <c r="AP1306" t="s">
        <v>78</v>
      </c>
      <c r="AQ1306">
        <v>4</v>
      </c>
      <c r="AR1306">
        <v>7</v>
      </c>
      <c r="AS1306">
        <v>7</v>
      </c>
    </row>
    <row r="1307" spans="1:4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 t="str">
        <f>IF(Employee_data[[#This Row],[MonthlyIncome]]&lt;5000,"Low Income",
IF(Employee_data[[#This Row],[MonthlyIncome]]&lt;10000,"Medium Income","High Income"))</f>
        <v>Medium Income</v>
      </c>
      <c r="U1307" t="s">
        <v>92</v>
      </c>
      <c r="V1307" t="s">
        <v>92</v>
      </c>
      <c r="W1307" t="s">
        <v>92</v>
      </c>
      <c r="X1307" t="s">
        <v>92</v>
      </c>
      <c r="Y1307">
        <v>15696</v>
      </c>
      <c r="Z1307">
        <v>4</v>
      </c>
      <c r="AA1307" t="s">
        <v>42</v>
      </c>
      <c r="AB1307" t="s">
        <v>43</v>
      </c>
      <c r="AC1307">
        <v>15</v>
      </c>
      <c r="AD1307">
        <v>3</v>
      </c>
      <c r="AE1307">
        <v>2</v>
      </c>
      <c r="AF1307">
        <v>80</v>
      </c>
      <c r="AG1307">
        <v>1</v>
      </c>
      <c r="AH13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07">
        <v>14</v>
      </c>
      <c r="AJ1307" t="s">
        <v>78</v>
      </c>
      <c r="AK1307">
        <v>2</v>
      </c>
      <c r="AL1307" t="s">
        <v>78</v>
      </c>
      <c r="AM1307">
        <v>2</v>
      </c>
      <c r="AN1307" t="s">
        <v>78</v>
      </c>
      <c r="AO1307">
        <v>7</v>
      </c>
      <c r="AP1307" t="s">
        <v>78</v>
      </c>
      <c r="AQ1307">
        <v>1</v>
      </c>
      <c r="AR1307">
        <v>1</v>
      </c>
      <c r="AS1307">
        <v>7</v>
      </c>
    </row>
    <row r="1308" spans="1:4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 t="str">
        <f>IF(Employee_data[[#This Row],[MonthlyIncome]]&lt;5000,"Low Income",
IF(Employee_data[[#This Row],[MonthlyIncome]]&lt;10000,"Medium Income","High Income"))</f>
        <v>Medium Income</v>
      </c>
      <c r="U1308" t="s">
        <v>92</v>
      </c>
      <c r="V1308" t="s">
        <v>92</v>
      </c>
      <c r="W1308" t="s">
        <v>92</v>
      </c>
      <c r="X1308" t="s">
        <v>92</v>
      </c>
      <c r="Y1308">
        <v>8277</v>
      </c>
      <c r="Z1308">
        <v>2</v>
      </c>
      <c r="AA1308" t="s">
        <v>42</v>
      </c>
      <c r="AB1308" t="s">
        <v>43</v>
      </c>
      <c r="AC1308">
        <v>14</v>
      </c>
      <c r="AD1308">
        <v>3</v>
      </c>
      <c r="AE1308">
        <v>4</v>
      </c>
      <c r="AF1308">
        <v>80</v>
      </c>
      <c r="AG1308">
        <v>2</v>
      </c>
      <c r="AH13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08">
        <v>9</v>
      </c>
      <c r="AJ1308" t="s">
        <v>74</v>
      </c>
      <c r="AK1308">
        <v>3</v>
      </c>
      <c r="AL1308" t="s">
        <v>74</v>
      </c>
      <c r="AM1308">
        <v>3</v>
      </c>
      <c r="AN1308" t="s">
        <v>74</v>
      </c>
      <c r="AO1308">
        <v>3</v>
      </c>
      <c r="AP1308" t="s">
        <v>74</v>
      </c>
      <c r="AQ1308">
        <v>2</v>
      </c>
      <c r="AR1308">
        <v>2</v>
      </c>
      <c r="AS1308">
        <v>2</v>
      </c>
    </row>
    <row r="1309" spans="1:4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 t="str">
        <f>IF(Employee_data[[#This Row],[MonthlyIncome]]&lt;5000,"Low Income",
IF(Employee_data[[#This Row],[MonthlyIncome]]&lt;10000,"Medium Income","High Income"))</f>
        <v>Low Income</v>
      </c>
      <c r="U1309" t="s">
        <v>91</v>
      </c>
      <c r="V1309" t="s">
        <v>91</v>
      </c>
      <c r="W1309" t="s">
        <v>91</v>
      </c>
      <c r="X1309" t="s">
        <v>91</v>
      </c>
      <c r="Y1309">
        <v>12719</v>
      </c>
      <c r="Z1309">
        <v>1</v>
      </c>
      <c r="AA1309" t="s">
        <v>42</v>
      </c>
      <c r="AB1309" t="s">
        <v>43</v>
      </c>
      <c r="AC1309">
        <v>25</v>
      </c>
      <c r="AD1309">
        <v>4</v>
      </c>
      <c r="AE1309">
        <v>3</v>
      </c>
      <c r="AF1309">
        <v>80</v>
      </c>
      <c r="AG1309">
        <v>1</v>
      </c>
      <c r="AH13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09">
        <v>3</v>
      </c>
      <c r="AJ1309" t="s">
        <v>74</v>
      </c>
      <c r="AK1309">
        <v>3</v>
      </c>
      <c r="AL1309" t="s">
        <v>74</v>
      </c>
      <c r="AM1309">
        <v>3</v>
      </c>
      <c r="AN1309" t="s">
        <v>74</v>
      </c>
      <c r="AO1309">
        <v>3</v>
      </c>
      <c r="AP1309" t="s">
        <v>74</v>
      </c>
      <c r="AQ1309">
        <v>2</v>
      </c>
      <c r="AR1309">
        <v>1</v>
      </c>
      <c r="AS1309">
        <v>2</v>
      </c>
    </row>
    <row r="1310" spans="1:4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 t="str">
        <f>IF(Employee_data[[#This Row],[MonthlyIncome]]&lt;5000,"Low Income",
IF(Employee_data[[#This Row],[MonthlyIncome]]&lt;10000,"Medium Income","High Income"))</f>
        <v>Medium Income</v>
      </c>
      <c r="U1310" t="s">
        <v>92</v>
      </c>
      <c r="V1310" t="s">
        <v>92</v>
      </c>
      <c r="W1310" t="s">
        <v>92</v>
      </c>
      <c r="X1310" t="s">
        <v>92</v>
      </c>
      <c r="Y1310">
        <v>4244</v>
      </c>
      <c r="Z1310">
        <v>2</v>
      </c>
      <c r="AA1310" t="s">
        <v>42</v>
      </c>
      <c r="AB1310" t="s">
        <v>35</v>
      </c>
      <c r="AC1310">
        <v>20</v>
      </c>
      <c r="AD1310">
        <v>4</v>
      </c>
      <c r="AE1310">
        <v>1</v>
      </c>
      <c r="AF1310">
        <v>80</v>
      </c>
      <c r="AG1310">
        <v>2</v>
      </c>
      <c r="AH13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10">
        <v>20</v>
      </c>
      <c r="AJ1310" t="s">
        <v>74</v>
      </c>
      <c r="AK1310">
        <v>4</v>
      </c>
      <c r="AL1310" t="s">
        <v>74</v>
      </c>
      <c r="AM1310">
        <v>2</v>
      </c>
      <c r="AN1310" t="s">
        <v>74</v>
      </c>
      <c r="AO1310">
        <v>4</v>
      </c>
      <c r="AP1310" t="s">
        <v>74</v>
      </c>
      <c r="AQ1310">
        <v>2</v>
      </c>
      <c r="AR1310">
        <v>0</v>
      </c>
      <c r="AS1310">
        <v>3</v>
      </c>
    </row>
    <row r="1311" spans="1:4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 t="str">
        <f>IF(Employee_data[[#This Row],[MonthlyIncome]]&lt;5000,"Low Income",
IF(Employee_data[[#This Row],[MonthlyIncome]]&lt;10000,"Medium Income","High Income"))</f>
        <v>Low Income</v>
      </c>
      <c r="U1311" t="s">
        <v>91</v>
      </c>
      <c r="V1311" t="s">
        <v>91</v>
      </c>
      <c r="W1311" t="s">
        <v>91</v>
      </c>
      <c r="X1311" t="s">
        <v>91</v>
      </c>
      <c r="Y1311">
        <v>9125</v>
      </c>
      <c r="Z1311">
        <v>1</v>
      </c>
      <c r="AA1311" t="s">
        <v>42</v>
      </c>
      <c r="AB1311" t="s">
        <v>43</v>
      </c>
      <c r="AC1311">
        <v>13</v>
      </c>
      <c r="AD1311">
        <v>3</v>
      </c>
      <c r="AE1311">
        <v>1</v>
      </c>
      <c r="AF1311">
        <v>80</v>
      </c>
      <c r="AG1311">
        <v>0</v>
      </c>
      <c r="AH13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11">
        <v>5</v>
      </c>
      <c r="AJ1311" t="s">
        <v>78</v>
      </c>
      <c r="AK1311">
        <v>4</v>
      </c>
      <c r="AL1311" t="s">
        <v>78</v>
      </c>
      <c r="AM1311">
        <v>3</v>
      </c>
      <c r="AN1311" t="s">
        <v>78</v>
      </c>
      <c r="AO1311">
        <v>5</v>
      </c>
      <c r="AP1311" t="s">
        <v>78</v>
      </c>
      <c r="AQ1311">
        <v>3</v>
      </c>
      <c r="AR1311">
        <v>1</v>
      </c>
      <c r="AS1311">
        <v>2</v>
      </c>
    </row>
    <row r="1312" spans="1:4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 t="str">
        <f>IF(Employee_data[[#This Row],[MonthlyIncome]]&lt;5000,"Low Income",
IF(Employee_data[[#This Row],[MonthlyIncome]]&lt;10000,"Medium Income","High Income"))</f>
        <v>High Income</v>
      </c>
      <c r="U1312" t="s">
        <v>90</v>
      </c>
      <c r="V1312" t="s">
        <v>90</v>
      </c>
      <c r="W1312" t="s">
        <v>90</v>
      </c>
      <c r="X1312" t="s">
        <v>90</v>
      </c>
      <c r="Y1312">
        <v>21624</v>
      </c>
      <c r="Z1312">
        <v>2</v>
      </c>
      <c r="AA1312" t="s">
        <v>42</v>
      </c>
      <c r="AB1312" t="s">
        <v>35</v>
      </c>
      <c r="AC1312">
        <v>14</v>
      </c>
      <c r="AD1312">
        <v>3</v>
      </c>
      <c r="AE1312">
        <v>2</v>
      </c>
      <c r="AF1312">
        <v>80</v>
      </c>
      <c r="AG1312">
        <v>0</v>
      </c>
      <c r="AH13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12">
        <v>23</v>
      </c>
      <c r="AJ1312" t="s">
        <v>74</v>
      </c>
      <c r="AK1312">
        <v>3</v>
      </c>
      <c r="AL1312" t="s">
        <v>74</v>
      </c>
      <c r="AM1312">
        <v>3</v>
      </c>
      <c r="AN1312" t="s">
        <v>74</v>
      </c>
      <c r="AO1312">
        <v>2</v>
      </c>
      <c r="AP1312" t="s">
        <v>74</v>
      </c>
      <c r="AQ1312">
        <v>2</v>
      </c>
      <c r="AR1312">
        <v>2</v>
      </c>
      <c r="AS1312">
        <v>2</v>
      </c>
    </row>
    <row r="1313" spans="1:4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 t="str">
        <f>IF(Employee_data[[#This Row],[MonthlyIncome]]&lt;5000,"Low Income",
IF(Employee_data[[#This Row],[MonthlyIncome]]&lt;10000,"Medium Income","High Income"))</f>
        <v>Low Income</v>
      </c>
      <c r="U1313" t="s">
        <v>91</v>
      </c>
      <c r="V1313" t="s">
        <v>91</v>
      </c>
      <c r="W1313" t="s">
        <v>91</v>
      </c>
      <c r="X1313" t="s">
        <v>91</v>
      </c>
      <c r="Y1313">
        <v>8018</v>
      </c>
      <c r="Z1313">
        <v>1</v>
      </c>
      <c r="AA1313" t="s">
        <v>42</v>
      </c>
      <c r="AB1313" t="s">
        <v>43</v>
      </c>
      <c r="AC1313">
        <v>16</v>
      </c>
      <c r="AD1313">
        <v>3</v>
      </c>
      <c r="AE1313">
        <v>3</v>
      </c>
      <c r="AF1313">
        <v>80</v>
      </c>
      <c r="AG1313">
        <v>0</v>
      </c>
      <c r="AH13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13">
        <v>0</v>
      </c>
      <c r="AJ1313" t="s">
        <v>74</v>
      </c>
      <c r="AK1313">
        <v>4</v>
      </c>
      <c r="AL1313" t="s">
        <v>74</v>
      </c>
      <c r="AM1313">
        <v>1</v>
      </c>
      <c r="AN1313" t="s">
        <v>74</v>
      </c>
      <c r="AO1313">
        <v>0</v>
      </c>
      <c r="AP1313" t="s">
        <v>74</v>
      </c>
      <c r="AQ1313">
        <v>0</v>
      </c>
      <c r="AR1313">
        <v>0</v>
      </c>
      <c r="AS1313">
        <v>0</v>
      </c>
    </row>
    <row r="1314" spans="1:4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 t="str">
        <f>IF(Employee_data[[#This Row],[MonthlyIncome]]&lt;5000,"Low Income",
IF(Employee_data[[#This Row],[MonthlyIncome]]&lt;10000,"Medium Income","High Income"))</f>
        <v>Low Income</v>
      </c>
      <c r="U1314" t="s">
        <v>91</v>
      </c>
      <c r="V1314" t="s">
        <v>91</v>
      </c>
      <c r="W1314" t="s">
        <v>91</v>
      </c>
      <c r="X1314" t="s">
        <v>91</v>
      </c>
      <c r="Y1314">
        <v>21495</v>
      </c>
      <c r="Z1314">
        <v>0</v>
      </c>
      <c r="AA1314" t="s">
        <v>42</v>
      </c>
      <c r="AB1314" t="s">
        <v>43</v>
      </c>
      <c r="AC1314">
        <v>17</v>
      </c>
      <c r="AD1314">
        <v>3</v>
      </c>
      <c r="AE1314">
        <v>3</v>
      </c>
      <c r="AF1314">
        <v>80</v>
      </c>
      <c r="AG1314">
        <v>0</v>
      </c>
      <c r="AH13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14">
        <v>2</v>
      </c>
      <c r="AJ1314" t="s">
        <v>74</v>
      </c>
      <c r="AK1314">
        <v>4</v>
      </c>
      <c r="AL1314" t="s">
        <v>74</v>
      </c>
      <c r="AM1314">
        <v>3</v>
      </c>
      <c r="AN1314" t="s">
        <v>74</v>
      </c>
      <c r="AO1314">
        <v>1</v>
      </c>
      <c r="AP1314" t="s">
        <v>74</v>
      </c>
      <c r="AQ1314">
        <v>0</v>
      </c>
      <c r="AR1314">
        <v>0</v>
      </c>
      <c r="AS1314">
        <v>0</v>
      </c>
    </row>
    <row r="1315" spans="1:4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 t="str">
        <f>IF(Employee_data[[#This Row],[MonthlyIncome]]&lt;5000,"Low Income",
IF(Employee_data[[#This Row],[MonthlyIncome]]&lt;10000,"Medium Income","High Income"))</f>
        <v>Low Income</v>
      </c>
      <c r="U1315" t="s">
        <v>91</v>
      </c>
      <c r="V1315" t="s">
        <v>91</v>
      </c>
      <c r="W1315" t="s">
        <v>91</v>
      </c>
      <c r="X1315" t="s">
        <v>91</v>
      </c>
      <c r="Y1315">
        <v>3157</v>
      </c>
      <c r="Z1315">
        <v>4</v>
      </c>
      <c r="AA1315" t="s">
        <v>42</v>
      </c>
      <c r="AB1315" t="s">
        <v>35</v>
      </c>
      <c r="AC1315">
        <v>15</v>
      </c>
      <c r="AD1315">
        <v>3</v>
      </c>
      <c r="AE1315">
        <v>4</v>
      </c>
      <c r="AF1315">
        <v>80</v>
      </c>
      <c r="AG1315">
        <v>3</v>
      </c>
      <c r="AH13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15">
        <v>4</v>
      </c>
      <c r="AJ1315" t="s">
        <v>74</v>
      </c>
      <c r="AK1315">
        <v>3</v>
      </c>
      <c r="AL1315" t="s">
        <v>74</v>
      </c>
      <c r="AM1315">
        <v>3</v>
      </c>
      <c r="AN1315" t="s">
        <v>74</v>
      </c>
      <c r="AO1315">
        <v>2</v>
      </c>
      <c r="AP1315" t="s">
        <v>74</v>
      </c>
      <c r="AQ1315">
        <v>2</v>
      </c>
      <c r="AR1315">
        <v>2</v>
      </c>
      <c r="AS1315">
        <v>0</v>
      </c>
    </row>
    <row r="1316" spans="1:4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 t="str">
        <f>IF(Employee_data[[#This Row],[MonthlyIncome]]&lt;5000,"Low Income",
IF(Employee_data[[#This Row],[MonthlyIncome]]&lt;10000,"Medium Income","High Income"))</f>
        <v>Medium Income</v>
      </c>
      <c r="U1316" t="s">
        <v>92</v>
      </c>
      <c r="V1316" t="s">
        <v>92</v>
      </c>
      <c r="W1316" t="s">
        <v>92</v>
      </c>
      <c r="X1316" t="s">
        <v>92</v>
      </c>
      <c r="Y1316">
        <v>19665</v>
      </c>
      <c r="Z1316">
        <v>4</v>
      </c>
      <c r="AA1316" t="s">
        <v>42</v>
      </c>
      <c r="AB1316" t="s">
        <v>43</v>
      </c>
      <c r="AC1316">
        <v>22</v>
      </c>
      <c r="AD1316">
        <v>4</v>
      </c>
      <c r="AE1316">
        <v>2</v>
      </c>
      <c r="AF1316">
        <v>80</v>
      </c>
      <c r="AG1316">
        <v>2</v>
      </c>
      <c r="AH13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16">
        <v>10</v>
      </c>
      <c r="AJ1316" t="s">
        <v>78</v>
      </c>
      <c r="AK1316">
        <v>3</v>
      </c>
      <c r="AL1316" t="s">
        <v>78</v>
      </c>
      <c r="AM1316">
        <v>4</v>
      </c>
      <c r="AN1316" t="s">
        <v>78</v>
      </c>
      <c r="AO1316">
        <v>8</v>
      </c>
      <c r="AP1316" t="s">
        <v>78</v>
      </c>
      <c r="AQ1316">
        <v>7</v>
      </c>
      <c r="AR1316">
        <v>5</v>
      </c>
      <c r="AS1316">
        <v>7</v>
      </c>
    </row>
    <row r="1317" spans="1:4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 t="str">
        <f>IF(Employee_data[[#This Row],[MonthlyIncome]]&lt;5000,"Low Income",
IF(Employee_data[[#This Row],[MonthlyIncome]]&lt;10000,"Medium Income","High Income"))</f>
        <v>Medium Income</v>
      </c>
      <c r="U1317" t="s">
        <v>92</v>
      </c>
      <c r="V1317" t="s">
        <v>92</v>
      </c>
      <c r="W1317" t="s">
        <v>92</v>
      </c>
      <c r="X1317" t="s">
        <v>92</v>
      </c>
      <c r="Y1317">
        <v>19573</v>
      </c>
      <c r="Z1317">
        <v>4</v>
      </c>
      <c r="AA1317" t="s">
        <v>42</v>
      </c>
      <c r="AB1317" t="s">
        <v>35</v>
      </c>
      <c r="AC1317">
        <v>22</v>
      </c>
      <c r="AD1317">
        <v>4</v>
      </c>
      <c r="AE1317">
        <v>4</v>
      </c>
      <c r="AF1317">
        <v>80</v>
      </c>
      <c r="AG1317">
        <v>1</v>
      </c>
      <c r="AH13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17">
        <v>15</v>
      </c>
      <c r="AJ1317" t="s">
        <v>74</v>
      </c>
      <c r="AK1317">
        <v>2</v>
      </c>
      <c r="AL1317" t="s">
        <v>74</v>
      </c>
      <c r="AM1317">
        <v>3</v>
      </c>
      <c r="AN1317" t="s">
        <v>74</v>
      </c>
      <c r="AO1317">
        <v>1</v>
      </c>
      <c r="AP1317" t="s">
        <v>74</v>
      </c>
      <c r="AQ1317">
        <v>0</v>
      </c>
      <c r="AR1317">
        <v>0</v>
      </c>
      <c r="AS1317">
        <v>0</v>
      </c>
    </row>
    <row r="1318" spans="1:4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 t="str">
        <f>IF(Employee_data[[#This Row],[MonthlyIncome]]&lt;5000,"Low Income",
IF(Employee_data[[#This Row],[MonthlyIncome]]&lt;10000,"Medium Income","High Income"))</f>
        <v>Medium Income</v>
      </c>
      <c r="U1318" t="s">
        <v>92</v>
      </c>
      <c r="V1318" t="s">
        <v>92</v>
      </c>
      <c r="W1318" t="s">
        <v>92</v>
      </c>
      <c r="X1318" t="s">
        <v>92</v>
      </c>
      <c r="Y1318">
        <v>19246</v>
      </c>
      <c r="Z1318">
        <v>1</v>
      </c>
      <c r="AA1318" t="s">
        <v>42</v>
      </c>
      <c r="AB1318" t="s">
        <v>43</v>
      </c>
      <c r="AC1318">
        <v>20</v>
      </c>
      <c r="AD1318">
        <v>4</v>
      </c>
      <c r="AE1318">
        <v>3</v>
      </c>
      <c r="AF1318">
        <v>80</v>
      </c>
      <c r="AG1318">
        <v>1</v>
      </c>
      <c r="AH13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18">
        <v>7</v>
      </c>
      <c r="AJ1318" t="s">
        <v>78</v>
      </c>
      <c r="AK1318">
        <v>5</v>
      </c>
      <c r="AL1318" t="s">
        <v>78</v>
      </c>
      <c r="AM1318">
        <v>3</v>
      </c>
      <c r="AN1318" t="s">
        <v>78</v>
      </c>
      <c r="AO1318">
        <v>7</v>
      </c>
      <c r="AP1318" t="s">
        <v>78</v>
      </c>
      <c r="AQ1318">
        <v>7</v>
      </c>
      <c r="AR1318">
        <v>7</v>
      </c>
      <c r="AS1318">
        <v>7</v>
      </c>
    </row>
    <row r="1319" spans="1:4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 t="str">
        <f>IF(Employee_data[[#This Row],[MonthlyIncome]]&lt;5000,"Low Income",
IF(Employee_data[[#This Row],[MonthlyIncome]]&lt;10000,"Medium Income","High Income"))</f>
        <v>Low Income</v>
      </c>
      <c r="U1319" t="s">
        <v>91</v>
      </c>
      <c r="V1319" t="s">
        <v>91</v>
      </c>
      <c r="W1319" t="s">
        <v>91</v>
      </c>
      <c r="X1319" t="s">
        <v>91</v>
      </c>
      <c r="Y1319">
        <v>19826</v>
      </c>
      <c r="Z1319">
        <v>0</v>
      </c>
      <c r="AA1319" t="s">
        <v>42</v>
      </c>
      <c r="AB1319" t="s">
        <v>35</v>
      </c>
      <c r="AC1319">
        <v>14</v>
      </c>
      <c r="AD1319">
        <v>3</v>
      </c>
      <c r="AE1319">
        <v>3</v>
      </c>
      <c r="AF1319">
        <v>80</v>
      </c>
      <c r="AG1319">
        <v>0</v>
      </c>
      <c r="AH13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19">
        <v>6</v>
      </c>
      <c r="AJ1319" t="s">
        <v>78</v>
      </c>
      <c r="AK1319">
        <v>3</v>
      </c>
      <c r="AL1319" t="s">
        <v>78</v>
      </c>
      <c r="AM1319">
        <v>2</v>
      </c>
      <c r="AN1319" t="s">
        <v>78</v>
      </c>
      <c r="AO1319">
        <v>5</v>
      </c>
      <c r="AP1319" t="s">
        <v>78</v>
      </c>
      <c r="AQ1319">
        <v>4</v>
      </c>
      <c r="AR1319">
        <v>0</v>
      </c>
      <c r="AS1319">
        <v>2</v>
      </c>
    </row>
    <row r="1320" spans="1:4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 t="str">
        <f>IF(Employee_data[[#This Row],[MonthlyIncome]]&lt;5000,"Low Income",
IF(Employee_data[[#This Row],[MonthlyIncome]]&lt;10000,"Medium Income","High Income"))</f>
        <v>Low Income</v>
      </c>
      <c r="U1320" t="s">
        <v>91</v>
      </c>
      <c r="V1320" t="s">
        <v>91</v>
      </c>
      <c r="W1320" t="s">
        <v>91</v>
      </c>
      <c r="X1320" t="s">
        <v>91</v>
      </c>
      <c r="Y1320">
        <v>7003</v>
      </c>
      <c r="Z1320">
        <v>1</v>
      </c>
      <c r="AA1320" t="s">
        <v>42</v>
      </c>
      <c r="AB1320" t="s">
        <v>43</v>
      </c>
      <c r="AC1320">
        <v>13</v>
      </c>
      <c r="AD1320">
        <v>3</v>
      </c>
      <c r="AE1320">
        <v>2</v>
      </c>
      <c r="AF1320">
        <v>80</v>
      </c>
      <c r="AG1320">
        <v>0</v>
      </c>
      <c r="AH13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20">
        <v>11</v>
      </c>
      <c r="AJ1320" t="s">
        <v>75</v>
      </c>
      <c r="AK1320">
        <v>3</v>
      </c>
      <c r="AL1320" t="s">
        <v>75</v>
      </c>
      <c r="AM1320">
        <v>4</v>
      </c>
      <c r="AN1320" t="s">
        <v>75</v>
      </c>
      <c r="AO1320">
        <v>11</v>
      </c>
      <c r="AP1320" t="s">
        <v>75</v>
      </c>
      <c r="AQ1320">
        <v>8</v>
      </c>
      <c r="AR1320">
        <v>3</v>
      </c>
      <c r="AS1320">
        <v>10</v>
      </c>
    </row>
    <row r="1321" spans="1:4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 t="str">
        <f>IF(Employee_data[[#This Row],[MonthlyIncome]]&lt;5000,"Low Income",
IF(Employee_data[[#This Row],[MonthlyIncome]]&lt;10000,"Medium Income","High Income"))</f>
        <v>Low Income</v>
      </c>
      <c r="U1321" t="s">
        <v>91</v>
      </c>
      <c r="V1321" t="s">
        <v>91</v>
      </c>
      <c r="W1321" t="s">
        <v>91</v>
      </c>
      <c r="X1321" t="s">
        <v>91</v>
      </c>
      <c r="Y1321">
        <v>26075</v>
      </c>
      <c r="Z1321">
        <v>8</v>
      </c>
      <c r="AA1321" t="s">
        <v>42</v>
      </c>
      <c r="AB1321" t="s">
        <v>43</v>
      </c>
      <c r="AC1321">
        <v>13</v>
      </c>
      <c r="AD1321">
        <v>3</v>
      </c>
      <c r="AE1321">
        <v>3</v>
      </c>
      <c r="AF1321">
        <v>80</v>
      </c>
      <c r="AG1321">
        <v>0</v>
      </c>
      <c r="AH13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21">
        <v>4</v>
      </c>
      <c r="AJ1321" t="s">
        <v>74</v>
      </c>
      <c r="AK1321">
        <v>2</v>
      </c>
      <c r="AL1321" t="s">
        <v>74</v>
      </c>
      <c r="AM1321">
        <v>4</v>
      </c>
      <c r="AN1321" t="s">
        <v>74</v>
      </c>
      <c r="AO1321">
        <v>0</v>
      </c>
      <c r="AP1321" t="s">
        <v>74</v>
      </c>
      <c r="AQ1321">
        <v>0</v>
      </c>
      <c r="AR1321">
        <v>0</v>
      </c>
      <c r="AS1321">
        <v>0</v>
      </c>
    </row>
    <row r="1322" spans="1:4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 t="str">
        <f>IF(Employee_data[[#This Row],[MonthlyIncome]]&lt;5000,"Low Income",
IF(Employee_data[[#This Row],[MonthlyIncome]]&lt;10000,"Medium Income","High Income"))</f>
        <v>Low Income</v>
      </c>
      <c r="U1322" t="s">
        <v>91</v>
      </c>
      <c r="V1322" t="s">
        <v>91</v>
      </c>
      <c r="W1322" t="s">
        <v>91</v>
      </c>
      <c r="X1322" t="s">
        <v>91</v>
      </c>
      <c r="Y1322">
        <v>6161</v>
      </c>
      <c r="Z1322">
        <v>3</v>
      </c>
      <c r="AA1322" t="s">
        <v>42</v>
      </c>
      <c r="AB1322" t="s">
        <v>43</v>
      </c>
      <c r="AC1322">
        <v>22</v>
      </c>
      <c r="AD1322">
        <v>4</v>
      </c>
      <c r="AE1322">
        <v>2</v>
      </c>
      <c r="AF1322">
        <v>80</v>
      </c>
      <c r="AG1322">
        <v>2</v>
      </c>
      <c r="AH13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22">
        <v>10</v>
      </c>
      <c r="AJ1322" t="s">
        <v>78</v>
      </c>
      <c r="AK1322">
        <v>1</v>
      </c>
      <c r="AL1322" t="s">
        <v>78</v>
      </c>
      <c r="AM1322">
        <v>2</v>
      </c>
      <c r="AN1322" t="s">
        <v>78</v>
      </c>
      <c r="AO1322">
        <v>6</v>
      </c>
      <c r="AP1322" t="s">
        <v>78</v>
      </c>
      <c r="AQ1322">
        <v>3</v>
      </c>
      <c r="AR1322">
        <v>3</v>
      </c>
      <c r="AS1322">
        <v>3</v>
      </c>
    </row>
    <row r="1323" spans="1:4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 t="str">
        <f>IF(Employee_data[[#This Row],[MonthlyIncome]]&lt;5000,"Low Income",
IF(Employee_data[[#This Row],[MonthlyIncome]]&lt;10000,"Medium Income","High Income"))</f>
        <v>Low Income</v>
      </c>
      <c r="U1323" t="s">
        <v>91</v>
      </c>
      <c r="V1323" t="s">
        <v>91</v>
      </c>
      <c r="W1323" t="s">
        <v>91</v>
      </c>
      <c r="X1323" t="s">
        <v>91</v>
      </c>
      <c r="Y1323">
        <v>5411</v>
      </c>
      <c r="Z1323">
        <v>4</v>
      </c>
      <c r="AA1323" t="s">
        <v>42</v>
      </c>
      <c r="AB1323" t="s">
        <v>43</v>
      </c>
      <c r="AC1323">
        <v>12</v>
      </c>
      <c r="AD1323">
        <v>3</v>
      </c>
      <c r="AE1323">
        <v>3</v>
      </c>
      <c r="AF1323">
        <v>80</v>
      </c>
      <c r="AG1323">
        <v>0</v>
      </c>
      <c r="AH13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23">
        <v>7</v>
      </c>
      <c r="AJ1323" t="s">
        <v>74</v>
      </c>
      <c r="AK1323">
        <v>2</v>
      </c>
      <c r="AL1323" t="s">
        <v>74</v>
      </c>
      <c r="AM1323">
        <v>3</v>
      </c>
      <c r="AN1323" t="s">
        <v>74</v>
      </c>
      <c r="AO1323">
        <v>2</v>
      </c>
      <c r="AP1323" t="s">
        <v>74</v>
      </c>
      <c r="AQ1323">
        <v>2</v>
      </c>
      <c r="AR1323">
        <v>2</v>
      </c>
      <c r="AS1323">
        <v>0</v>
      </c>
    </row>
    <row r="1324" spans="1:4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 t="str">
        <f>IF(Employee_data[[#This Row],[MonthlyIncome]]&lt;5000,"Low Income",
IF(Employee_data[[#This Row],[MonthlyIncome]]&lt;10000,"Medium Income","High Income"))</f>
        <v>Medium Income</v>
      </c>
      <c r="U1324" t="s">
        <v>92</v>
      </c>
      <c r="V1324" t="s">
        <v>92</v>
      </c>
      <c r="W1324" t="s">
        <v>92</v>
      </c>
      <c r="X1324" t="s">
        <v>92</v>
      </c>
      <c r="Y1324">
        <v>19989</v>
      </c>
      <c r="Z1324">
        <v>3</v>
      </c>
      <c r="AA1324" t="s">
        <v>42</v>
      </c>
      <c r="AB1324" t="s">
        <v>43</v>
      </c>
      <c r="AC1324">
        <v>14</v>
      </c>
      <c r="AD1324">
        <v>3</v>
      </c>
      <c r="AE1324">
        <v>3</v>
      </c>
      <c r="AF1324">
        <v>80</v>
      </c>
      <c r="AG1324">
        <v>1</v>
      </c>
      <c r="AH13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24">
        <v>12</v>
      </c>
      <c r="AJ1324" t="s">
        <v>78</v>
      </c>
      <c r="AK1324">
        <v>4</v>
      </c>
      <c r="AL1324" t="s">
        <v>78</v>
      </c>
      <c r="AM1324">
        <v>2</v>
      </c>
      <c r="AN1324" t="s">
        <v>78</v>
      </c>
      <c r="AO1324">
        <v>9</v>
      </c>
      <c r="AP1324" t="s">
        <v>78</v>
      </c>
      <c r="AQ1324">
        <v>8</v>
      </c>
      <c r="AR1324">
        <v>4</v>
      </c>
      <c r="AS1324">
        <v>7</v>
      </c>
    </row>
    <row r="1325" spans="1:4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 t="str">
        <f>IF(Employee_data[[#This Row],[MonthlyIncome]]&lt;5000,"Low Income",
IF(Employee_data[[#This Row],[MonthlyIncome]]&lt;10000,"Medium Income","High Income"))</f>
        <v>Low Income</v>
      </c>
      <c r="U1325" t="s">
        <v>91</v>
      </c>
      <c r="V1325" t="s">
        <v>91</v>
      </c>
      <c r="W1325" t="s">
        <v>91</v>
      </c>
      <c r="X1325" t="s">
        <v>91</v>
      </c>
      <c r="Y1325">
        <v>10494</v>
      </c>
      <c r="Z1325">
        <v>1</v>
      </c>
      <c r="AA1325" t="s">
        <v>42</v>
      </c>
      <c r="AB1325" t="s">
        <v>43</v>
      </c>
      <c r="AC1325">
        <v>15</v>
      </c>
      <c r="AD1325">
        <v>3</v>
      </c>
      <c r="AE1325">
        <v>2</v>
      </c>
      <c r="AF1325">
        <v>80</v>
      </c>
      <c r="AG1325">
        <v>1</v>
      </c>
      <c r="AH13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25">
        <v>3</v>
      </c>
      <c r="AJ1325" t="s">
        <v>74</v>
      </c>
      <c r="AK1325">
        <v>2</v>
      </c>
      <c r="AL1325" t="s">
        <v>74</v>
      </c>
      <c r="AM1325">
        <v>3</v>
      </c>
      <c r="AN1325" t="s">
        <v>74</v>
      </c>
      <c r="AO1325">
        <v>3</v>
      </c>
      <c r="AP1325" t="s">
        <v>74</v>
      </c>
      <c r="AQ1325">
        <v>2</v>
      </c>
      <c r="AR1325">
        <v>2</v>
      </c>
      <c r="AS1325">
        <v>2</v>
      </c>
    </row>
    <row r="1326" spans="1:4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 t="str">
        <f>IF(Employee_data[[#This Row],[MonthlyIncome]]&lt;5000,"Low Income",
IF(Employee_data[[#This Row],[MonthlyIncome]]&lt;10000,"Medium Income","High Income"))</f>
        <v>Medium Income</v>
      </c>
      <c r="U1326" t="s">
        <v>92</v>
      </c>
      <c r="V1326" t="s">
        <v>92</v>
      </c>
      <c r="W1326" t="s">
        <v>92</v>
      </c>
      <c r="X1326" t="s">
        <v>92</v>
      </c>
      <c r="Y1326">
        <v>21143</v>
      </c>
      <c r="Z1326">
        <v>8</v>
      </c>
      <c r="AA1326" t="s">
        <v>42</v>
      </c>
      <c r="AB1326" t="s">
        <v>43</v>
      </c>
      <c r="AC1326">
        <v>17</v>
      </c>
      <c r="AD1326">
        <v>3</v>
      </c>
      <c r="AE1326">
        <v>4</v>
      </c>
      <c r="AF1326">
        <v>80</v>
      </c>
      <c r="AG1326">
        <v>2</v>
      </c>
      <c r="AH13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26">
        <v>11</v>
      </c>
      <c r="AJ1326" t="s">
        <v>78</v>
      </c>
      <c r="AK1326">
        <v>3</v>
      </c>
      <c r="AL1326" t="s">
        <v>78</v>
      </c>
      <c r="AM1326">
        <v>3</v>
      </c>
      <c r="AN1326" t="s">
        <v>78</v>
      </c>
      <c r="AO1326">
        <v>7</v>
      </c>
      <c r="AP1326" t="s">
        <v>78</v>
      </c>
      <c r="AQ1326">
        <v>0</v>
      </c>
      <c r="AR1326">
        <v>1</v>
      </c>
      <c r="AS1326">
        <v>6</v>
      </c>
    </row>
    <row r="1327" spans="1:4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 t="str">
        <f>IF(Employee_data[[#This Row],[MonthlyIncome]]&lt;5000,"Low Income",
IF(Employee_data[[#This Row],[MonthlyIncome]]&lt;10000,"Medium Income","High Income"))</f>
        <v>Low Income</v>
      </c>
      <c r="U1327" t="s">
        <v>91</v>
      </c>
      <c r="V1327" t="s">
        <v>91</v>
      </c>
      <c r="W1327" t="s">
        <v>91</v>
      </c>
      <c r="X1327" t="s">
        <v>91</v>
      </c>
      <c r="Y1327">
        <v>13624</v>
      </c>
      <c r="Z1327">
        <v>4</v>
      </c>
      <c r="AA1327" t="s">
        <v>42</v>
      </c>
      <c r="AB1327" t="s">
        <v>43</v>
      </c>
      <c r="AC1327">
        <v>13</v>
      </c>
      <c r="AD1327">
        <v>3</v>
      </c>
      <c r="AE1327">
        <v>4</v>
      </c>
      <c r="AF1327">
        <v>80</v>
      </c>
      <c r="AG1327">
        <v>0</v>
      </c>
      <c r="AH13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27">
        <v>8</v>
      </c>
      <c r="AJ1327" t="s">
        <v>74</v>
      </c>
      <c r="AK1327">
        <v>3</v>
      </c>
      <c r="AL1327" t="s">
        <v>74</v>
      </c>
      <c r="AM1327">
        <v>3</v>
      </c>
      <c r="AN1327" t="s">
        <v>74</v>
      </c>
      <c r="AO1327">
        <v>0</v>
      </c>
      <c r="AP1327" t="s">
        <v>74</v>
      </c>
      <c r="AQ1327">
        <v>0</v>
      </c>
      <c r="AR1327">
        <v>0</v>
      </c>
      <c r="AS1327">
        <v>0</v>
      </c>
    </row>
    <row r="1328" spans="1:4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 t="str">
        <f>IF(Employee_data[[#This Row],[MonthlyIncome]]&lt;5000,"Low Income",
IF(Employee_data[[#This Row],[MonthlyIncome]]&lt;10000,"Medium Income","High Income"))</f>
        <v>Medium Income</v>
      </c>
      <c r="U1328" t="s">
        <v>92</v>
      </c>
      <c r="V1328" t="s">
        <v>92</v>
      </c>
      <c r="W1328" t="s">
        <v>92</v>
      </c>
      <c r="X1328" t="s">
        <v>92</v>
      </c>
      <c r="Y1328">
        <v>26186</v>
      </c>
      <c r="Z1328">
        <v>7</v>
      </c>
      <c r="AA1328" t="s">
        <v>42</v>
      </c>
      <c r="AB1328" t="s">
        <v>35</v>
      </c>
      <c r="AC1328">
        <v>12</v>
      </c>
      <c r="AD1328">
        <v>3</v>
      </c>
      <c r="AE1328">
        <v>3</v>
      </c>
      <c r="AF1328">
        <v>80</v>
      </c>
      <c r="AG1328">
        <v>0</v>
      </c>
      <c r="AH13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28">
        <v>7</v>
      </c>
      <c r="AJ1328" t="s">
        <v>74</v>
      </c>
      <c r="AK1328">
        <v>3</v>
      </c>
      <c r="AL1328" t="s">
        <v>74</v>
      </c>
      <c r="AM1328">
        <v>2</v>
      </c>
      <c r="AN1328" t="s">
        <v>74</v>
      </c>
      <c r="AO1328">
        <v>2</v>
      </c>
      <c r="AP1328" t="s">
        <v>74</v>
      </c>
      <c r="AQ1328">
        <v>2</v>
      </c>
      <c r="AR1328">
        <v>2</v>
      </c>
      <c r="AS1328">
        <v>2</v>
      </c>
    </row>
    <row r="1329" spans="1:4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 t="str">
        <f>IF(Employee_data[[#This Row],[MonthlyIncome]]&lt;5000,"Low Income",
IF(Employee_data[[#This Row],[MonthlyIncome]]&lt;10000,"Medium Income","High Income"))</f>
        <v>High Income</v>
      </c>
      <c r="U1329" t="s">
        <v>90</v>
      </c>
      <c r="V1329" t="s">
        <v>90</v>
      </c>
      <c r="W1329" t="s">
        <v>90</v>
      </c>
      <c r="X1329" t="s">
        <v>90</v>
      </c>
      <c r="Y1329">
        <v>7739</v>
      </c>
      <c r="Z1329">
        <v>2</v>
      </c>
      <c r="AA1329" t="s">
        <v>42</v>
      </c>
      <c r="AB1329" t="s">
        <v>43</v>
      </c>
      <c r="AC1329">
        <v>12</v>
      </c>
      <c r="AD1329">
        <v>3</v>
      </c>
      <c r="AE1329">
        <v>4</v>
      </c>
      <c r="AF1329">
        <v>80</v>
      </c>
      <c r="AG1329">
        <v>1</v>
      </c>
      <c r="AH13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29">
        <v>25</v>
      </c>
      <c r="AJ1329" t="s">
        <v>76</v>
      </c>
      <c r="AK1329">
        <v>5</v>
      </c>
      <c r="AL1329" t="s">
        <v>76</v>
      </c>
      <c r="AM1329">
        <v>3</v>
      </c>
      <c r="AN1329" t="s">
        <v>76</v>
      </c>
      <c r="AO1329">
        <v>19</v>
      </c>
      <c r="AP1329" t="s">
        <v>76</v>
      </c>
      <c r="AQ1329">
        <v>17</v>
      </c>
      <c r="AR1329">
        <v>2</v>
      </c>
      <c r="AS1329">
        <v>8</v>
      </c>
    </row>
    <row r="1330" spans="1:4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 t="str">
        <f>IF(Employee_data[[#This Row],[MonthlyIncome]]&lt;5000,"Low Income",
IF(Employee_data[[#This Row],[MonthlyIncome]]&lt;10000,"Medium Income","High Income"))</f>
        <v>Low Income</v>
      </c>
      <c r="U1330" t="s">
        <v>91</v>
      </c>
      <c r="V1330" t="s">
        <v>91</v>
      </c>
      <c r="W1330" t="s">
        <v>91</v>
      </c>
      <c r="X1330" t="s">
        <v>91</v>
      </c>
      <c r="Y1330">
        <v>7018</v>
      </c>
      <c r="Z1330">
        <v>1</v>
      </c>
      <c r="AA1330" t="s">
        <v>42</v>
      </c>
      <c r="AB1330" t="s">
        <v>43</v>
      </c>
      <c r="AC1330">
        <v>21</v>
      </c>
      <c r="AD1330">
        <v>4</v>
      </c>
      <c r="AE1330">
        <v>4</v>
      </c>
      <c r="AF1330">
        <v>80</v>
      </c>
      <c r="AG1330">
        <v>1</v>
      </c>
      <c r="AH13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30">
        <v>9</v>
      </c>
      <c r="AJ1330" t="s">
        <v>78</v>
      </c>
      <c r="AK1330">
        <v>5</v>
      </c>
      <c r="AL1330" t="s">
        <v>78</v>
      </c>
      <c r="AM1330">
        <v>3</v>
      </c>
      <c r="AN1330" t="s">
        <v>78</v>
      </c>
      <c r="AO1330">
        <v>9</v>
      </c>
      <c r="AP1330" t="s">
        <v>78</v>
      </c>
      <c r="AQ1330">
        <v>8</v>
      </c>
      <c r="AR1330">
        <v>5</v>
      </c>
      <c r="AS1330">
        <v>8</v>
      </c>
    </row>
    <row r="1331" spans="1:4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 t="str">
        <f>IF(Employee_data[[#This Row],[MonthlyIncome]]&lt;5000,"Low Income",
IF(Employee_data[[#This Row],[MonthlyIncome]]&lt;10000,"Medium Income","High Income"))</f>
        <v>Low Income</v>
      </c>
      <c r="U1331" t="s">
        <v>91</v>
      </c>
      <c r="V1331" t="s">
        <v>91</v>
      </c>
      <c r="W1331" t="s">
        <v>91</v>
      </c>
      <c r="X1331" t="s">
        <v>91</v>
      </c>
      <c r="Y1331">
        <v>15434</v>
      </c>
      <c r="Z1331">
        <v>1</v>
      </c>
      <c r="AA1331" t="s">
        <v>42</v>
      </c>
      <c r="AB1331" t="s">
        <v>43</v>
      </c>
      <c r="AC1331">
        <v>11</v>
      </c>
      <c r="AD1331">
        <v>3</v>
      </c>
      <c r="AE1331">
        <v>4</v>
      </c>
      <c r="AF1331">
        <v>80</v>
      </c>
      <c r="AG1331">
        <v>0</v>
      </c>
      <c r="AH13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31">
        <v>1</v>
      </c>
      <c r="AJ1331" t="s">
        <v>74</v>
      </c>
      <c r="AK1331">
        <v>3</v>
      </c>
      <c r="AL1331" t="s">
        <v>74</v>
      </c>
      <c r="AM1331">
        <v>3</v>
      </c>
      <c r="AN1331" t="s">
        <v>74</v>
      </c>
      <c r="AO1331">
        <v>1</v>
      </c>
      <c r="AP1331" t="s">
        <v>74</v>
      </c>
      <c r="AQ1331">
        <v>0</v>
      </c>
      <c r="AR1331">
        <v>0</v>
      </c>
      <c r="AS1331">
        <v>0</v>
      </c>
    </row>
    <row r="1332" spans="1:4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 t="str">
        <f>IF(Employee_data[[#This Row],[MonthlyIncome]]&lt;5000,"Low Income",
IF(Employee_data[[#This Row],[MonthlyIncome]]&lt;10000,"Medium Income","High Income"))</f>
        <v>High Income</v>
      </c>
      <c r="U1332" t="s">
        <v>90</v>
      </c>
      <c r="V1332" t="s">
        <v>90</v>
      </c>
      <c r="W1332" t="s">
        <v>90</v>
      </c>
      <c r="X1332" t="s">
        <v>90</v>
      </c>
      <c r="Y1332">
        <v>22539</v>
      </c>
      <c r="Z1332">
        <v>7</v>
      </c>
      <c r="AA1332" t="s">
        <v>42</v>
      </c>
      <c r="AB1332" t="s">
        <v>43</v>
      </c>
      <c r="AC1332">
        <v>13</v>
      </c>
      <c r="AD1332">
        <v>3</v>
      </c>
      <c r="AE1332">
        <v>4</v>
      </c>
      <c r="AF1332">
        <v>80</v>
      </c>
      <c r="AG1332">
        <v>0</v>
      </c>
      <c r="AH13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32">
        <v>21</v>
      </c>
      <c r="AJ1332" t="s">
        <v>76</v>
      </c>
      <c r="AK1332">
        <v>2</v>
      </c>
      <c r="AL1332" t="s">
        <v>76</v>
      </c>
      <c r="AM1332">
        <v>3</v>
      </c>
      <c r="AN1332" t="s">
        <v>76</v>
      </c>
      <c r="AO1332">
        <v>16</v>
      </c>
      <c r="AP1332" t="s">
        <v>76</v>
      </c>
      <c r="AQ1332">
        <v>12</v>
      </c>
      <c r="AR1332">
        <v>6</v>
      </c>
      <c r="AS1332">
        <v>14</v>
      </c>
    </row>
    <row r="1333" spans="1:4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 t="str">
        <f>IF(Employee_data[[#This Row],[MonthlyIncome]]&lt;5000,"Low Income",
IF(Employee_data[[#This Row],[MonthlyIncome]]&lt;10000,"Medium Income","High Income"))</f>
        <v>High Income</v>
      </c>
      <c r="U1333" t="s">
        <v>90</v>
      </c>
      <c r="V1333" t="s">
        <v>90</v>
      </c>
      <c r="W1333" t="s">
        <v>90</v>
      </c>
      <c r="X1333" t="s">
        <v>90</v>
      </c>
      <c r="Y1333">
        <v>13583</v>
      </c>
      <c r="Z1333">
        <v>4</v>
      </c>
      <c r="AA1333" t="s">
        <v>42</v>
      </c>
      <c r="AB1333" t="s">
        <v>43</v>
      </c>
      <c r="AC1333">
        <v>12</v>
      </c>
      <c r="AD1333">
        <v>3</v>
      </c>
      <c r="AE1333">
        <v>4</v>
      </c>
      <c r="AF1333">
        <v>80</v>
      </c>
      <c r="AG1333">
        <v>0</v>
      </c>
      <c r="AH13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33">
        <v>29</v>
      </c>
      <c r="AJ1333" t="s">
        <v>76</v>
      </c>
      <c r="AK1333">
        <v>3</v>
      </c>
      <c r="AL1333" t="s">
        <v>76</v>
      </c>
      <c r="AM1333">
        <v>3</v>
      </c>
      <c r="AN1333" t="s">
        <v>76</v>
      </c>
      <c r="AO1333">
        <v>22</v>
      </c>
      <c r="AP1333" t="s">
        <v>76</v>
      </c>
      <c r="AQ1333">
        <v>10</v>
      </c>
      <c r="AR1333">
        <v>12</v>
      </c>
      <c r="AS1333">
        <v>9</v>
      </c>
    </row>
    <row r="1334" spans="1:4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 t="str">
        <f>IF(Employee_data[[#This Row],[MonthlyIncome]]&lt;5000,"Low Income",
IF(Employee_data[[#This Row],[MonthlyIncome]]&lt;10000,"Medium Income","High Income"))</f>
        <v>Low Income</v>
      </c>
      <c r="U1334" t="s">
        <v>91</v>
      </c>
      <c r="V1334" t="s">
        <v>91</v>
      </c>
      <c r="W1334" t="s">
        <v>91</v>
      </c>
      <c r="X1334" t="s">
        <v>91</v>
      </c>
      <c r="Y1334">
        <v>14753</v>
      </c>
      <c r="Z1334">
        <v>1</v>
      </c>
      <c r="AA1334" t="s">
        <v>42</v>
      </c>
      <c r="AB1334" t="s">
        <v>35</v>
      </c>
      <c r="AC1334">
        <v>24</v>
      </c>
      <c r="AD1334">
        <v>4</v>
      </c>
      <c r="AE1334">
        <v>2</v>
      </c>
      <c r="AF1334">
        <v>80</v>
      </c>
      <c r="AG1334">
        <v>0</v>
      </c>
      <c r="AH13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34">
        <v>1</v>
      </c>
      <c r="AJ1334" t="s">
        <v>74</v>
      </c>
      <c r="AK1334">
        <v>3</v>
      </c>
      <c r="AL1334" t="s">
        <v>74</v>
      </c>
      <c r="AM1334">
        <v>2</v>
      </c>
      <c r="AN1334" t="s">
        <v>74</v>
      </c>
      <c r="AO1334">
        <v>1</v>
      </c>
      <c r="AP1334" t="s">
        <v>74</v>
      </c>
      <c r="AQ1334">
        <v>0</v>
      </c>
      <c r="AR1334">
        <v>1</v>
      </c>
      <c r="AS1334">
        <v>0</v>
      </c>
    </row>
    <row r="1335" spans="1:4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 t="str">
        <f>IF(Employee_data[[#This Row],[MonthlyIncome]]&lt;5000,"Low Income",
IF(Employee_data[[#This Row],[MonthlyIncome]]&lt;10000,"Medium Income","High Income"))</f>
        <v>Medium Income</v>
      </c>
      <c r="U1335" t="s">
        <v>92</v>
      </c>
      <c r="V1335" t="s">
        <v>92</v>
      </c>
      <c r="W1335" t="s">
        <v>92</v>
      </c>
      <c r="X1335" t="s">
        <v>92</v>
      </c>
      <c r="Y1335">
        <v>14011</v>
      </c>
      <c r="Z1335">
        <v>5</v>
      </c>
      <c r="AA1335" t="s">
        <v>42</v>
      </c>
      <c r="AB1335" t="s">
        <v>43</v>
      </c>
      <c r="AC1335">
        <v>21</v>
      </c>
      <c r="AD1335">
        <v>4</v>
      </c>
      <c r="AE1335">
        <v>3</v>
      </c>
      <c r="AF1335">
        <v>80</v>
      </c>
      <c r="AG1335">
        <v>3</v>
      </c>
      <c r="AH13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35">
        <v>14</v>
      </c>
      <c r="AJ1335" t="s">
        <v>78</v>
      </c>
      <c r="AK1335">
        <v>2</v>
      </c>
      <c r="AL1335" t="s">
        <v>78</v>
      </c>
      <c r="AM1335">
        <v>3</v>
      </c>
      <c r="AN1335" t="s">
        <v>78</v>
      </c>
      <c r="AO1335">
        <v>8</v>
      </c>
      <c r="AP1335" t="s">
        <v>78</v>
      </c>
      <c r="AQ1335">
        <v>7</v>
      </c>
      <c r="AR1335">
        <v>0</v>
      </c>
      <c r="AS1335">
        <v>7</v>
      </c>
    </row>
    <row r="1336" spans="1:4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 t="str">
        <f>IF(Employee_data[[#This Row],[MonthlyIncome]]&lt;5000,"Low Income",
IF(Employee_data[[#This Row],[MonthlyIncome]]&lt;10000,"Medium Income","High Income"))</f>
        <v>Low Income</v>
      </c>
      <c r="U1336" t="s">
        <v>91</v>
      </c>
      <c r="V1336" t="s">
        <v>91</v>
      </c>
      <c r="W1336" t="s">
        <v>91</v>
      </c>
      <c r="X1336" t="s">
        <v>91</v>
      </c>
      <c r="Y1336">
        <v>23844</v>
      </c>
      <c r="Z1336">
        <v>0</v>
      </c>
      <c r="AA1336" t="s">
        <v>42</v>
      </c>
      <c r="AB1336" t="s">
        <v>43</v>
      </c>
      <c r="AC1336">
        <v>19</v>
      </c>
      <c r="AD1336">
        <v>3</v>
      </c>
      <c r="AE1336">
        <v>4</v>
      </c>
      <c r="AF1336">
        <v>80</v>
      </c>
      <c r="AG1336">
        <v>1</v>
      </c>
      <c r="AH13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36">
        <v>8</v>
      </c>
      <c r="AJ1336" t="s">
        <v>78</v>
      </c>
      <c r="AK1336">
        <v>2</v>
      </c>
      <c r="AL1336" t="s">
        <v>78</v>
      </c>
      <c r="AM1336">
        <v>2</v>
      </c>
      <c r="AN1336" t="s">
        <v>78</v>
      </c>
      <c r="AO1336">
        <v>7</v>
      </c>
      <c r="AP1336" t="s">
        <v>78</v>
      </c>
      <c r="AQ1336">
        <v>6</v>
      </c>
      <c r="AR1336">
        <v>7</v>
      </c>
      <c r="AS1336">
        <v>3</v>
      </c>
    </row>
    <row r="1337" spans="1:4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 t="str">
        <f>IF(Employee_data[[#This Row],[MonthlyIncome]]&lt;5000,"Low Income",
IF(Employee_data[[#This Row],[MonthlyIncome]]&lt;10000,"Medium Income","High Income"))</f>
        <v>Low Income</v>
      </c>
      <c r="U1337" t="s">
        <v>91</v>
      </c>
      <c r="V1337" t="s">
        <v>91</v>
      </c>
      <c r="W1337" t="s">
        <v>91</v>
      </c>
      <c r="X1337" t="s">
        <v>91</v>
      </c>
      <c r="Y1337">
        <v>5141</v>
      </c>
      <c r="Z1337">
        <v>8</v>
      </c>
      <c r="AA1337" t="s">
        <v>42</v>
      </c>
      <c r="AB1337" t="s">
        <v>43</v>
      </c>
      <c r="AC1337">
        <v>14</v>
      </c>
      <c r="AD1337">
        <v>3</v>
      </c>
      <c r="AE1337">
        <v>2</v>
      </c>
      <c r="AF1337">
        <v>80</v>
      </c>
      <c r="AG1337">
        <v>3</v>
      </c>
      <c r="AH13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37">
        <v>7</v>
      </c>
      <c r="AJ1337" t="s">
        <v>74</v>
      </c>
      <c r="AK1337">
        <v>2</v>
      </c>
      <c r="AL1337" t="s">
        <v>74</v>
      </c>
      <c r="AM1337">
        <v>3</v>
      </c>
      <c r="AN1337" t="s">
        <v>74</v>
      </c>
      <c r="AO1337">
        <v>2</v>
      </c>
      <c r="AP1337" t="s">
        <v>74</v>
      </c>
      <c r="AQ1337">
        <v>2</v>
      </c>
      <c r="AR1337">
        <v>2</v>
      </c>
      <c r="AS1337">
        <v>2</v>
      </c>
    </row>
    <row r="1338" spans="1:4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 t="str">
        <f>IF(Employee_data[[#This Row],[MonthlyIncome]]&lt;5000,"Low Income",
IF(Employee_data[[#This Row],[MonthlyIncome]]&lt;10000,"Medium Income","High Income"))</f>
        <v>Low Income</v>
      </c>
      <c r="U1338" t="s">
        <v>91</v>
      </c>
      <c r="V1338" t="s">
        <v>91</v>
      </c>
      <c r="W1338" t="s">
        <v>91</v>
      </c>
      <c r="X1338" t="s">
        <v>91</v>
      </c>
      <c r="Y1338">
        <v>7975</v>
      </c>
      <c r="Z1338">
        <v>8</v>
      </c>
      <c r="AA1338" t="s">
        <v>42</v>
      </c>
      <c r="AB1338" t="s">
        <v>43</v>
      </c>
      <c r="AC1338">
        <v>20</v>
      </c>
      <c r="AD1338">
        <v>4</v>
      </c>
      <c r="AE1338">
        <v>2</v>
      </c>
      <c r="AF1338">
        <v>80</v>
      </c>
      <c r="AG1338">
        <v>1</v>
      </c>
      <c r="AH13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38">
        <v>19</v>
      </c>
      <c r="AJ1338" t="s">
        <v>78</v>
      </c>
      <c r="AK1338">
        <v>2</v>
      </c>
      <c r="AL1338" t="s">
        <v>78</v>
      </c>
      <c r="AM1338">
        <v>4</v>
      </c>
      <c r="AN1338" t="s">
        <v>78</v>
      </c>
      <c r="AO1338">
        <v>5</v>
      </c>
      <c r="AP1338" t="s">
        <v>78</v>
      </c>
      <c r="AQ1338">
        <v>2</v>
      </c>
      <c r="AR1338">
        <v>0</v>
      </c>
      <c r="AS1338">
        <v>4</v>
      </c>
    </row>
    <row r="1339" spans="1:4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 t="str">
        <f>IF(Employee_data[[#This Row],[MonthlyIncome]]&lt;5000,"Low Income",
IF(Employee_data[[#This Row],[MonthlyIncome]]&lt;10000,"Medium Income","High Income"))</f>
        <v>Low Income</v>
      </c>
      <c r="U1339" t="s">
        <v>91</v>
      </c>
      <c r="V1339" t="s">
        <v>91</v>
      </c>
      <c r="W1339" t="s">
        <v>91</v>
      </c>
      <c r="X1339" t="s">
        <v>91</v>
      </c>
      <c r="Y1339">
        <v>3692</v>
      </c>
      <c r="Z1339">
        <v>1</v>
      </c>
      <c r="AA1339" t="s">
        <v>42</v>
      </c>
      <c r="AB1339" t="s">
        <v>43</v>
      </c>
      <c r="AC1339">
        <v>19</v>
      </c>
      <c r="AD1339">
        <v>3</v>
      </c>
      <c r="AE1339">
        <v>4</v>
      </c>
      <c r="AF1339">
        <v>80</v>
      </c>
      <c r="AG1339">
        <v>1</v>
      </c>
      <c r="AH13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39">
        <v>1</v>
      </c>
      <c r="AJ1339" t="s">
        <v>74</v>
      </c>
      <c r="AK1339">
        <v>3</v>
      </c>
      <c r="AL1339" t="s">
        <v>74</v>
      </c>
      <c r="AM1339">
        <v>3</v>
      </c>
      <c r="AN1339" t="s">
        <v>74</v>
      </c>
      <c r="AO1339">
        <v>1</v>
      </c>
      <c r="AP1339" t="s">
        <v>74</v>
      </c>
      <c r="AQ1339">
        <v>0</v>
      </c>
      <c r="AR1339">
        <v>0</v>
      </c>
      <c r="AS1339">
        <v>0</v>
      </c>
    </row>
    <row r="1340" spans="1:4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 t="str">
        <f>IF(Employee_data[[#This Row],[MonthlyIncome]]&lt;5000,"Low Income",
IF(Employee_data[[#This Row],[MonthlyIncome]]&lt;10000,"Medium Income","High Income"))</f>
        <v>Low Income</v>
      </c>
      <c r="U1340" t="s">
        <v>91</v>
      </c>
      <c r="V1340" t="s">
        <v>91</v>
      </c>
      <c r="W1340" t="s">
        <v>91</v>
      </c>
      <c r="X1340" t="s">
        <v>91</v>
      </c>
      <c r="Y1340">
        <v>16019</v>
      </c>
      <c r="Z1340">
        <v>1</v>
      </c>
      <c r="AA1340" t="s">
        <v>42</v>
      </c>
      <c r="AB1340" t="s">
        <v>43</v>
      </c>
      <c r="AC1340">
        <v>13</v>
      </c>
      <c r="AD1340">
        <v>3</v>
      </c>
      <c r="AE1340">
        <v>3</v>
      </c>
      <c r="AF1340">
        <v>80</v>
      </c>
      <c r="AG1340">
        <v>0</v>
      </c>
      <c r="AH13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40">
        <v>1</v>
      </c>
      <c r="AJ1340" t="s">
        <v>74</v>
      </c>
      <c r="AK1340">
        <v>3</v>
      </c>
      <c r="AL1340" t="s">
        <v>74</v>
      </c>
      <c r="AM1340">
        <v>2</v>
      </c>
      <c r="AN1340" t="s">
        <v>74</v>
      </c>
      <c r="AO1340">
        <v>1</v>
      </c>
      <c r="AP1340" t="s">
        <v>74</v>
      </c>
      <c r="AQ1340">
        <v>0</v>
      </c>
      <c r="AR1340">
        <v>0</v>
      </c>
      <c r="AS1340">
        <v>0</v>
      </c>
    </row>
    <row r="1341" spans="1:4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 t="str">
        <f>IF(Employee_data[[#This Row],[MonthlyIncome]]&lt;5000,"Low Income",
IF(Employee_data[[#This Row],[MonthlyIncome]]&lt;10000,"Medium Income","High Income"))</f>
        <v>Low Income</v>
      </c>
      <c r="U1341" t="s">
        <v>91</v>
      </c>
      <c r="V1341" t="s">
        <v>91</v>
      </c>
      <c r="W1341" t="s">
        <v>91</v>
      </c>
      <c r="X1341" t="s">
        <v>91</v>
      </c>
      <c r="Y1341">
        <v>26092</v>
      </c>
      <c r="Z1341">
        <v>1</v>
      </c>
      <c r="AA1341" t="s">
        <v>42</v>
      </c>
      <c r="AB1341" t="s">
        <v>35</v>
      </c>
      <c r="AC1341">
        <v>23</v>
      </c>
      <c r="AD1341">
        <v>4</v>
      </c>
      <c r="AE1341">
        <v>1</v>
      </c>
      <c r="AF1341">
        <v>80</v>
      </c>
      <c r="AG1341">
        <v>0</v>
      </c>
      <c r="AH13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41">
        <v>1</v>
      </c>
      <c r="AJ1341" t="s">
        <v>74</v>
      </c>
      <c r="AK1341">
        <v>2</v>
      </c>
      <c r="AL1341" t="s">
        <v>74</v>
      </c>
      <c r="AM1341">
        <v>3</v>
      </c>
      <c r="AN1341" t="s">
        <v>74</v>
      </c>
      <c r="AO1341">
        <v>1</v>
      </c>
      <c r="AP1341" t="s">
        <v>74</v>
      </c>
      <c r="AQ1341">
        <v>0</v>
      </c>
      <c r="AR1341">
        <v>0</v>
      </c>
      <c r="AS1341">
        <v>0</v>
      </c>
    </row>
    <row r="1342" spans="1:4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 t="str">
        <f>IF(Employee_data[[#This Row],[MonthlyIncome]]&lt;5000,"Low Income",
IF(Employee_data[[#This Row],[MonthlyIncome]]&lt;10000,"Medium Income","High Income"))</f>
        <v>Medium Income</v>
      </c>
      <c r="U1342" t="s">
        <v>92</v>
      </c>
      <c r="V1342" t="s">
        <v>92</v>
      </c>
      <c r="W1342" t="s">
        <v>92</v>
      </c>
      <c r="X1342" t="s">
        <v>92</v>
      </c>
      <c r="Y1342">
        <v>6060</v>
      </c>
      <c r="Z1342">
        <v>1</v>
      </c>
      <c r="AA1342" t="s">
        <v>42</v>
      </c>
      <c r="AB1342" t="s">
        <v>35</v>
      </c>
      <c r="AC1342">
        <v>13</v>
      </c>
      <c r="AD1342">
        <v>3</v>
      </c>
      <c r="AE1342">
        <v>1</v>
      </c>
      <c r="AF1342">
        <v>80</v>
      </c>
      <c r="AG1342">
        <v>1</v>
      </c>
      <c r="AH13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42">
        <v>10</v>
      </c>
      <c r="AJ1342" t="s">
        <v>75</v>
      </c>
      <c r="AK1342">
        <v>4</v>
      </c>
      <c r="AL1342" t="s">
        <v>75</v>
      </c>
      <c r="AM1342">
        <v>3</v>
      </c>
      <c r="AN1342" t="s">
        <v>75</v>
      </c>
      <c r="AO1342">
        <v>10</v>
      </c>
      <c r="AP1342" t="s">
        <v>75</v>
      </c>
      <c r="AQ1342">
        <v>9</v>
      </c>
      <c r="AR1342">
        <v>1</v>
      </c>
      <c r="AS1342">
        <v>7</v>
      </c>
    </row>
    <row r="1343" spans="1:4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 t="str">
        <f>IF(Employee_data[[#This Row],[MonthlyIncome]]&lt;5000,"Low Income",
IF(Employee_data[[#This Row],[MonthlyIncome]]&lt;10000,"Medium Income","High Income"))</f>
        <v>Low Income</v>
      </c>
      <c r="U1343" t="s">
        <v>91</v>
      </c>
      <c r="V1343" t="s">
        <v>91</v>
      </c>
      <c r="W1343" t="s">
        <v>91</v>
      </c>
      <c r="X1343" t="s">
        <v>91</v>
      </c>
      <c r="Y1343">
        <v>18624</v>
      </c>
      <c r="Z1343">
        <v>1</v>
      </c>
      <c r="AA1343" t="s">
        <v>42</v>
      </c>
      <c r="AB1343" t="s">
        <v>43</v>
      </c>
      <c r="AC1343">
        <v>11</v>
      </c>
      <c r="AD1343">
        <v>3</v>
      </c>
      <c r="AE1343">
        <v>1</v>
      </c>
      <c r="AF1343">
        <v>80</v>
      </c>
      <c r="AG1343">
        <v>1</v>
      </c>
      <c r="AH13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43">
        <v>10</v>
      </c>
      <c r="AJ1343" t="s">
        <v>75</v>
      </c>
      <c r="AK1343">
        <v>2</v>
      </c>
      <c r="AL1343" t="s">
        <v>75</v>
      </c>
      <c r="AM1343">
        <v>3</v>
      </c>
      <c r="AN1343" t="s">
        <v>75</v>
      </c>
      <c r="AO1343">
        <v>10</v>
      </c>
      <c r="AP1343" t="s">
        <v>75</v>
      </c>
      <c r="AQ1343">
        <v>8</v>
      </c>
      <c r="AR1343">
        <v>0</v>
      </c>
      <c r="AS1343">
        <v>2</v>
      </c>
    </row>
    <row r="1344" spans="1:4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 t="str">
        <f>IF(Employee_data[[#This Row],[MonthlyIncome]]&lt;5000,"Low Income",
IF(Employee_data[[#This Row],[MonthlyIncome]]&lt;10000,"Medium Income","High Income"))</f>
        <v>Medium Income</v>
      </c>
      <c r="U1344" t="s">
        <v>92</v>
      </c>
      <c r="V1344" t="s">
        <v>92</v>
      </c>
      <c r="W1344" t="s">
        <v>92</v>
      </c>
      <c r="X1344" t="s">
        <v>92</v>
      </c>
      <c r="Y1344">
        <v>24444</v>
      </c>
      <c r="Z1344">
        <v>2</v>
      </c>
      <c r="AA1344" t="s">
        <v>42</v>
      </c>
      <c r="AB1344" t="s">
        <v>35</v>
      </c>
      <c r="AC1344">
        <v>13</v>
      </c>
      <c r="AD1344">
        <v>3</v>
      </c>
      <c r="AE1344">
        <v>4</v>
      </c>
      <c r="AF1344">
        <v>80</v>
      </c>
      <c r="AG1344">
        <v>3</v>
      </c>
      <c r="AH13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44">
        <v>9</v>
      </c>
      <c r="AJ1344" t="s">
        <v>78</v>
      </c>
      <c r="AK1344">
        <v>3</v>
      </c>
      <c r="AL1344" t="s">
        <v>78</v>
      </c>
      <c r="AM1344">
        <v>3</v>
      </c>
      <c r="AN1344" t="s">
        <v>78</v>
      </c>
      <c r="AO1344">
        <v>5</v>
      </c>
      <c r="AP1344" t="s">
        <v>78</v>
      </c>
      <c r="AQ1344">
        <v>3</v>
      </c>
      <c r="AR1344">
        <v>1</v>
      </c>
      <c r="AS1344">
        <v>0</v>
      </c>
    </row>
    <row r="1345" spans="1:4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 t="str">
        <f>IF(Employee_data[[#This Row],[MonthlyIncome]]&lt;5000,"Low Income",
IF(Employee_data[[#This Row],[MonthlyIncome]]&lt;10000,"Medium Income","High Income"))</f>
        <v>Low Income</v>
      </c>
      <c r="U1345" t="s">
        <v>91</v>
      </c>
      <c r="V1345" t="s">
        <v>91</v>
      </c>
      <c r="W1345" t="s">
        <v>91</v>
      </c>
      <c r="X1345" t="s">
        <v>91</v>
      </c>
      <c r="Y1345">
        <v>19384</v>
      </c>
      <c r="Z1345">
        <v>3</v>
      </c>
      <c r="AA1345" t="s">
        <v>42</v>
      </c>
      <c r="AB1345" t="s">
        <v>43</v>
      </c>
      <c r="AC1345">
        <v>14</v>
      </c>
      <c r="AD1345">
        <v>3</v>
      </c>
      <c r="AE1345">
        <v>2</v>
      </c>
      <c r="AF1345">
        <v>80</v>
      </c>
      <c r="AG1345">
        <v>0</v>
      </c>
      <c r="AH13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45">
        <v>11</v>
      </c>
      <c r="AJ1345" t="s">
        <v>74</v>
      </c>
      <c r="AK1345">
        <v>2</v>
      </c>
      <c r="AL1345" t="s">
        <v>74</v>
      </c>
      <c r="AM1345">
        <v>3</v>
      </c>
      <c r="AN1345" t="s">
        <v>74</v>
      </c>
      <c r="AO1345">
        <v>3</v>
      </c>
      <c r="AP1345" t="s">
        <v>74</v>
      </c>
      <c r="AQ1345">
        <v>2</v>
      </c>
      <c r="AR1345">
        <v>1</v>
      </c>
      <c r="AS1345">
        <v>2</v>
      </c>
    </row>
    <row r="1346" spans="1:4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 t="str">
        <f>IF(Employee_data[[#This Row],[MonthlyIncome]]&lt;5000,"Low Income",
IF(Employee_data[[#This Row],[MonthlyIncome]]&lt;10000,"Medium Income","High Income"))</f>
        <v>Low Income</v>
      </c>
      <c r="U1346" t="s">
        <v>91</v>
      </c>
      <c r="V1346" t="s">
        <v>91</v>
      </c>
      <c r="W1346" t="s">
        <v>91</v>
      </c>
      <c r="X1346" t="s">
        <v>91</v>
      </c>
      <c r="Y1346">
        <v>13588</v>
      </c>
      <c r="Z1346">
        <v>5</v>
      </c>
      <c r="AA1346" t="s">
        <v>42</v>
      </c>
      <c r="AB1346" t="s">
        <v>35</v>
      </c>
      <c r="AC1346">
        <v>22</v>
      </c>
      <c r="AD1346">
        <v>4</v>
      </c>
      <c r="AE1346">
        <v>3</v>
      </c>
      <c r="AF1346">
        <v>80</v>
      </c>
      <c r="AG1346">
        <v>1</v>
      </c>
      <c r="AH13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46">
        <v>16</v>
      </c>
      <c r="AJ1346" t="s">
        <v>78</v>
      </c>
      <c r="AK1346">
        <v>2</v>
      </c>
      <c r="AL1346" t="s">
        <v>78</v>
      </c>
      <c r="AM1346">
        <v>3</v>
      </c>
      <c r="AN1346" t="s">
        <v>78</v>
      </c>
      <c r="AO1346">
        <v>5</v>
      </c>
      <c r="AP1346" t="s">
        <v>78</v>
      </c>
      <c r="AQ1346">
        <v>3</v>
      </c>
      <c r="AR1346">
        <v>0</v>
      </c>
      <c r="AS1346">
        <v>4</v>
      </c>
    </row>
    <row r="1347" spans="1:4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 t="str">
        <f>IF(Employee_data[[#This Row],[MonthlyIncome]]&lt;5000,"Low Income",
IF(Employee_data[[#This Row],[MonthlyIncome]]&lt;10000,"Medium Income","High Income"))</f>
        <v>Low Income</v>
      </c>
      <c r="U1347" t="s">
        <v>91</v>
      </c>
      <c r="V1347" t="s">
        <v>91</v>
      </c>
      <c r="W1347" t="s">
        <v>91</v>
      </c>
      <c r="X1347" t="s">
        <v>91</v>
      </c>
      <c r="Y1347">
        <v>25388</v>
      </c>
      <c r="Z1347">
        <v>0</v>
      </c>
      <c r="AA1347" t="s">
        <v>42</v>
      </c>
      <c r="AB1347" t="s">
        <v>35</v>
      </c>
      <c r="AC1347">
        <v>11</v>
      </c>
      <c r="AD1347">
        <v>3</v>
      </c>
      <c r="AE1347">
        <v>4</v>
      </c>
      <c r="AF1347">
        <v>80</v>
      </c>
      <c r="AG1347">
        <v>0</v>
      </c>
      <c r="AH13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47">
        <v>4</v>
      </c>
      <c r="AJ1347" t="s">
        <v>74</v>
      </c>
      <c r="AK1347">
        <v>2</v>
      </c>
      <c r="AL1347" t="s">
        <v>74</v>
      </c>
      <c r="AM1347">
        <v>3</v>
      </c>
      <c r="AN1347" t="s">
        <v>74</v>
      </c>
      <c r="AO1347">
        <v>3</v>
      </c>
      <c r="AP1347" t="s">
        <v>74</v>
      </c>
      <c r="AQ1347">
        <v>2</v>
      </c>
      <c r="AR1347">
        <v>0</v>
      </c>
      <c r="AS1347">
        <v>2</v>
      </c>
    </row>
    <row r="1348" spans="1:4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 t="str">
        <f>IF(Employee_data[[#This Row],[MonthlyIncome]]&lt;5000,"Low Income",
IF(Employee_data[[#This Row],[MonthlyIncome]]&lt;10000,"Medium Income","High Income"))</f>
        <v>Medium Income</v>
      </c>
      <c r="U1348" t="s">
        <v>92</v>
      </c>
      <c r="V1348" t="s">
        <v>92</v>
      </c>
      <c r="W1348" t="s">
        <v>92</v>
      </c>
      <c r="X1348" t="s">
        <v>92</v>
      </c>
      <c r="Y1348">
        <v>23888</v>
      </c>
      <c r="Z1348">
        <v>0</v>
      </c>
      <c r="AA1348" t="s">
        <v>42</v>
      </c>
      <c r="AB1348" t="s">
        <v>43</v>
      </c>
      <c r="AC1348">
        <v>13</v>
      </c>
      <c r="AD1348">
        <v>3</v>
      </c>
      <c r="AE1348">
        <v>4</v>
      </c>
      <c r="AF1348">
        <v>80</v>
      </c>
      <c r="AG1348">
        <v>2</v>
      </c>
      <c r="AH13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48">
        <v>10</v>
      </c>
      <c r="AJ1348" t="s">
        <v>78</v>
      </c>
      <c r="AK1348">
        <v>2</v>
      </c>
      <c r="AL1348" t="s">
        <v>78</v>
      </c>
      <c r="AM1348">
        <v>2</v>
      </c>
      <c r="AN1348" t="s">
        <v>78</v>
      </c>
      <c r="AO1348">
        <v>9</v>
      </c>
      <c r="AP1348" t="s">
        <v>78</v>
      </c>
      <c r="AQ1348">
        <v>8</v>
      </c>
      <c r="AR1348">
        <v>3</v>
      </c>
      <c r="AS1348">
        <v>8</v>
      </c>
    </row>
    <row r="1349" spans="1:4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 t="str">
        <f>IF(Employee_data[[#This Row],[MonthlyIncome]]&lt;5000,"Low Income",
IF(Employee_data[[#This Row],[MonthlyIncome]]&lt;10000,"Medium Income","High Income"))</f>
        <v>Low Income</v>
      </c>
      <c r="U1349" t="s">
        <v>91</v>
      </c>
      <c r="V1349" t="s">
        <v>91</v>
      </c>
      <c r="W1349" t="s">
        <v>91</v>
      </c>
      <c r="X1349" t="s">
        <v>91</v>
      </c>
      <c r="Y1349">
        <v>4223</v>
      </c>
      <c r="Z1349">
        <v>1</v>
      </c>
      <c r="AA1349" t="s">
        <v>42</v>
      </c>
      <c r="AB1349" t="s">
        <v>43</v>
      </c>
      <c r="AC1349">
        <v>21</v>
      </c>
      <c r="AD1349">
        <v>4</v>
      </c>
      <c r="AE1349">
        <v>4</v>
      </c>
      <c r="AF1349">
        <v>80</v>
      </c>
      <c r="AG1349">
        <v>0</v>
      </c>
      <c r="AH13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49">
        <v>10</v>
      </c>
      <c r="AJ1349" t="s">
        <v>75</v>
      </c>
      <c r="AK1349">
        <v>2</v>
      </c>
      <c r="AL1349" t="s">
        <v>75</v>
      </c>
      <c r="AM1349">
        <v>2</v>
      </c>
      <c r="AN1349" t="s">
        <v>75</v>
      </c>
      <c r="AO1349">
        <v>10</v>
      </c>
      <c r="AP1349" t="s">
        <v>75</v>
      </c>
      <c r="AQ1349">
        <v>1</v>
      </c>
      <c r="AR1349">
        <v>0</v>
      </c>
      <c r="AS1349">
        <v>8</v>
      </c>
    </row>
    <row r="1350" spans="1:4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 t="str">
        <f>IF(Employee_data[[#This Row],[MonthlyIncome]]&lt;5000,"Low Income",
IF(Employee_data[[#This Row],[MonthlyIncome]]&lt;10000,"Medium Income","High Income"))</f>
        <v>High Income</v>
      </c>
      <c r="U1350" t="s">
        <v>90</v>
      </c>
      <c r="V1350" t="s">
        <v>90</v>
      </c>
      <c r="W1350" t="s">
        <v>90</v>
      </c>
      <c r="X1350" t="s">
        <v>90</v>
      </c>
      <c r="Y1350">
        <v>18991</v>
      </c>
      <c r="Z1350">
        <v>2</v>
      </c>
      <c r="AA1350" t="s">
        <v>42</v>
      </c>
      <c r="AB1350" t="s">
        <v>43</v>
      </c>
      <c r="AC1350">
        <v>11</v>
      </c>
      <c r="AD1350">
        <v>3</v>
      </c>
      <c r="AE1350">
        <v>1</v>
      </c>
      <c r="AF1350">
        <v>80</v>
      </c>
      <c r="AG1350">
        <v>1</v>
      </c>
      <c r="AH13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50">
        <v>22</v>
      </c>
      <c r="AJ1350" t="s">
        <v>76</v>
      </c>
      <c r="AK1350">
        <v>3</v>
      </c>
      <c r="AL1350" t="s">
        <v>76</v>
      </c>
      <c r="AM1350">
        <v>3</v>
      </c>
      <c r="AN1350" t="s">
        <v>76</v>
      </c>
      <c r="AO1350">
        <v>19</v>
      </c>
      <c r="AP1350" t="s">
        <v>76</v>
      </c>
      <c r="AQ1350">
        <v>7</v>
      </c>
      <c r="AR1350">
        <v>11</v>
      </c>
      <c r="AS1350">
        <v>16</v>
      </c>
    </row>
    <row r="1351" spans="1:4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 t="str">
        <f>IF(Employee_data[[#This Row],[MonthlyIncome]]&lt;5000,"Low Income",
IF(Employee_data[[#This Row],[MonthlyIncome]]&lt;10000,"Medium Income","High Income"))</f>
        <v>Low Income</v>
      </c>
      <c r="U1351" t="s">
        <v>91</v>
      </c>
      <c r="V1351" t="s">
        <v>91</v>
      </c>
      <c r="W1351" t="s">
        <v>91</v>
      </c>
      <c r="X1351" t="s">
        <v>91</v>
      </c>
      <c r="Y1351">
        <v>14908</v>
      </c>
      <c r="Z1351">
        <v>1</v>
      </c>
      <c r="AA1351" t="s">
        <v>42</v>
      </c>
      <c r="AB1351" t="s">
        <v>35</v>
      </c>
      <c r="AC1351">
        <v>13</v>
      </c>
      <c r="AD1351">
        <v>3</v>
      </c>
      <c r="AE1351">
        <v>3</v>
      </c>
      <c r="AF1351">
        <v>80</v>
      </c>
      <c r="AG1351">
        <v>1</v>
      </c>
      <c r="AH13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51">
        <v>1</v>
      </c>
      <c r="AJ1351" t="s">
        <v>74</v>
      </c>
      <c r="AK1351">
        <v>3</v>
      </c>
      <c r="AL1351" t="s">
        <v>74</v>
      </c>
      <c r="AM1351">
        <v>2</v>
      </c>
      <c r="AN1351" t="s">
        <v>74</v>
      </c>
      <c r="AO1351">
        <v>1</v>
      </c>
      <c r="AP1351" t="s">
        <v>74</v>
      </c>
      <c r="AQ1351">
        <v>0</v>
      </c>
      <c r="AR1351">
        <v>1</v>
      </c>
      <c r="AS1351">
        <v>0</v>
      </c>
    </row>
    <row r="1352" spans="1:4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 t="str">
        <f>IF(Employee_data[[#This Row],[MonthlyIncome]]&lt;5000,"Low Income",
IF(Employee_data[[#This Row],[MonthlyIncome]]&lt;10000,"Medium Income","High Income"))</f>
        <v>Medium Income</v>
      </c>
      <c r="U1352" t="s">
        <v>92</v>
      </c>
      <c r="V1352" t="s">
        <v>92</v>
      </c>
      <c r="W1352" t="s">
        <v>92</v>
      </c>
      <c r="X1352" t="s">
        <v>92</v>
      </c>
      <c r="Y1352">
        <v>26997</v>
      </c>
      <c r="Z1352">
        <v>0</v>
      </c>
      <c r="AA1352" t="s">
        <v>42</v>
      </c>
      <c r="AB1352" t="s">
        <v>43</v>
      </c>
      <c r="AC1352">
        <v>14</v>
      </c>
      <c r="AD1352">
        <v>3</v>
      </c>
      <c r="AE1352">
        <v>2</v>
      </c>
      <c r="AF1352">
        <v>80</v>
      </c>
      <c r="AG1352">
        <v>0</v>
      </c>
      <c r="AH13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52">
        <v>9</v>
      </c>
      <c r="AJ1352" t="s">
        <v>78</v>
      </c>
      <c r="AK1352">
        <v>5</v>
      </c>
      <c r="AL1352" t="s">
        <v>78</v>
      </c>
      <c r="AM1352">
        <v>2</v>
      </c>
      <c r="AN1352" t="s">
        <v>78</v>
      </c>
      <c r="AO1352">
        <v>8</v>
      </c>
      <c r="AP1352" t="s">
        <v>78</v>
      </c>
      <c r="AQ1352">
        <v>7</v>
      </c>
      <c r="AR1352">
        <v>0</v>
      </c>
      <c r="AS1352">
        <v>7</v>
      </c>
    </row>
    <row r="1353" spans="1:4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 t="str">
        <f>IF(Employee_data[[#This Row],[MonthlyIncome]]&lt;5000,"Low Income",
IF(Employee_data[[#This Row],[MonthlyIncome]]&lt;10000,"Medium Income","High Income"))</f>
        <v>High Income</v>
      </c>
      <c r="U1353" t="s">
        <v>90</v>
      </c>
      <c r="V1353" t="s">
        <v>90</v>
      </c>
      <c r="W1353" t="s">
        <v>90</v>
      </c>
      <c r="X1353" t="s">
        <v>90</v>
      </c>
      <c r="Y1353">
        <v>2437</v>
      </c>
      <c r="Z1353">
        <v>3</v>
      </c>
      <c r="AA1353" t="s">
        <v>42</v>
      </c>
      <c r="AB1353" t="s">
        <v>43</v>
      </c>
      <c r="AC1353">
        <v>11</v>
      </c>
      <c r="AD1353">
        <v>3</v>
      </c>
      <c r="AE1353">
        <v>2</v>
      </c>
      <c r="AF1353">
        <v>80</v>
      </c>
      <c r="AG1353">
        <v>1</v>
      </c>
      <c r="AH13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53">
        <v>24</v>
      </c>
      <c r="AJ1353" t="s">
        <v>76</v>
      </c>
      <c r="AK1353">
        <v>3</v>
      </c>
      <c r="AL1353" t="s">
        <v>76</v>
      </c>
      <c r="AM1353">
        <v>3</v>
      </c>
      <c r="AN1353" t="s">
        <v>76</v>
      </c>
      <c r="AO1353">
        <v>22</v>
      </c>
      <c r="AP1353" t="s">
        <v>76</v>
      </c>
      <c r="AQ1353">
        <v>17</v>
      </c>
      <c r="AR1353">
        <v>4</v>
      </c>
      <c r="AS1353">
        <v>7</v>
      </c>
    </row>
    <row r="1354" spans="1:4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 t="str">
        <f>IF(Employee_data[[#This Row],[MonthlyIncome]]&lt;5000,"Low Income",
IF(Employee_data[[#This Row],[MonthlyIncome]]&lt;10000,"Medium Income","High Income"))</f>
        <v>Medium Income</v>
      </c>
      <c r="U1354" t="s">
        <v>92</v>
      </c>
      <c r="V1354" t="s">
        <v>92</v>
      </c>
      <c r="W1354" t="s">
        <v>92</v>
      </c>
      <c r="X1354" t="s">
        <v>92</v>
      </c>
      <c r="Y1354">
        <v>9364</v>
      </c>
      <c r="Z1354">
        <v>2</v>
      </c>
      <c r="AA1354" t="s">
        <v>42</v>
      </c>
      <c r="AB1354" t="s">
        <v>43</v>
      </c>
      <c r="AC1354">
        <v>15</v>
      </c>
      <c r="AD1354">
        <v>3</v>
      </c>
      <c r="AE1354">
        <v>4</v>
      </c>
      <c r="AF1354">
        <v>80</v>
      </c>
      <c r="AG1354">
        <v>1</v>
      </c>
      <c r="AH13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54">
        <v>10</v>
      </c>
      <c r="AJ1354" t="s">
        <v>74</v>
      </c>
      <c r="AK1354">
        <v>5</v>
      </c>
      <c r="AL1354" t="s">
        <v>74</v>
      </c>
      <c r="AM1354">
        <v>3</v>
      </c>
      <c r="AN1354" t="s">
        <v>74</v>
      </c>
      <c r="AO1354">
        <v>2</v>
      </c>
      <c r="AP1354" t="s">
        <v>74</v>
      </c>
      <c r="AQ1354">
        <v>0</v>
      </c>
      <c r="AR1354">
        <v>2</v>
      </c>
      <c r="AS1354">
        <v>2</v>
      </c>
    </row>
    <row r="1355" spans="1:4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 t="str">
        <f>IF(Employee_data[[#This Row],[MonthlyIncome]]&lt;5000,"Low Income",
IF(Employee_data[[#This Row],[MonthlyIncome]]&lt;10000,"Medium Income","High Income"))</f>
        <v>Low Income</v>
      </c>
      <c r="U1355" t="s">
        <v>91</v>
      </c>
      <c r="V1355" t="s">
        <v>91</v>
      </c>
      <c r="W1355" t="s">
        <v>91</v>
      </c>
      <c r="X1355" t="s">
        <v>91</v>
      </c>
      <c r="Y1355">
        <v>14460</v>
      </c>
      <c r="Z1355">
        <v>1</v>
      </c>
      <c r="AA1355" t="s">
        <v>42</v>
      </c>
      <c r="AB1355" t="s">
        <v>35</v>
      </c>
      <c r="AC1355">
        <v>23</v>
      </c>
      <c r="AD1355">
        <v>4</v>
      </c>
      <c r="AE1355">
        <v>2</v>
      </c>
      <c r="AF1355">
        <v>80</v>
      </c>
      <c r="AG1355">
        <v>1</v>
      </c>
      <c r="AH13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55">
        <v>5</v>
      </c>
      <c r="AJ1355" t="s">
        <v>78</v>
      </c>
      <c r="AK1355">
        <v>2</v>
      </c>
      <c r="AL1355" t="s">
        <v>78</v>
      </c>
      <c r="AM1355">
        <v>3</v>
      </c>
      <c r="AN1355" t="s">
        <v>78</v>
      </c>
      <c r="AO1355">
        <v>5</v>
      </c>
      <c r="AP1355" t="s">
        <v>78</v>
      </c>
      <c r="AQ1355">
        <v>2</v>
      </c>
      <c r="AR1355">
        <v>3</v>
      </c>
      <c r="AS1355">
        <v>0</v>
      </c>
    </row>
    <row r="1356" spans="1:4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 t="str">
        <f>IF(Employee_data[[#This Row],[MonthlyIncome]]&lt;5000,"Low Income",
IF(Employee_data[[#This Row],[MonthlyIncome]]&lt;10000,"Medium Income","High Income"))</f>
        <v>Low Income</v>
      </c>
      <c r="U1356" t="s">
        <v>91</v>
      </c>
      <c r="V1356" t="s">
        <v>91</v>
      </c>
      <c r="W1356" t="s">
        <v>91</v>
      </c>
      <c r="X1356" t="s">
        <v>91</v>
      </c>
      <c r="Y1356">
        <v>10261</v>
      </c>
      <c r="Z1356">
        <v>1</v>
      </c>
      <c r="AA1356" t="s">
        <v>42</v>
      </c>
      <c r="AB1356" t="s">
        <v>43</v>
      </c>
      <c r="AC1356">
        <v>16</v>
      </c>
      <c r="AD1356">
        <v>3</v>
      </c>
      <c r="AE1356">
        <v>4</v>
      </c>
      <c r="AF1356">
        <v>80</v>
      </c>
      <c r="AG1356">
        <v>0</v>
      </c>
      <c r="AH13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56">
        <v>5</v>
      </c>
      <c r="AJ1356" t="s">
        <v>74</v>
      </c>
      <c r="AK1356">
        <v>3</v>
      </c>
      <c r="AL1356" t="s">
        <v>74</v>
      </c>
      <c r="AM1356">
        <v>3</v>
      </c>
      <c r="AN1356" t="s">
        <v>74</v>
      </c>
      <c r="AO1356">
        <v>4</v>
      </c>
      <c r="AP1356" t="s">
        <v>74</v>
      </c>
      <c r="AQ1356">
        <v>2</v>
      </c>
      <c r="AR1356">
        <v>1</v>
      </c>
      <c r="AS1356">
        <v>0</v>
      </c>
    </row>
    <row r="1357" spans="1:4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 t="str">
        <f>IF(Employee_data[[#This Row],[MonthlyIncome]]&lt;5000,"Low Income",
IF(Employee_data[[#This Row],[MonthlyIncome]]&lt;10000,"Medium Income","High Income"))</f>
        <v>Medium Income</v>
      </c>
      <c r="U1357" t="s">
        <v>92</v>
      </c>
      <c r="V1357" t="s">
        <v>92</v>
      </c>
      <c r="W1357" t="s">
        <v>92</v>
      </c>
      <c r="X1357" t="s">
        <v>92</v>
      </c>
      <c r="Y1357">
        <v>16822</v>
      </c>
      <c r="Z1357">
        <v>2</v>
      </c>
      <c r="AA1357" t="s">
        <v>42</v>
      </c>
      <c r="AB1357" t="s">
        <v>43</v>
      </c>
      <c r="AC1357">
        <v>16</v>
      </c>
      <c r="AD1357">
        <v>3</v>
      </c>
      <c r="AE1357">
        <v>3</v>
      </c>
      <c r="AF1357">
        <v>80</v>
      </c>
      <c r="AG1357">
        <v>2</v>
      </c>
      <c r="AH13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57">
        <v>12</v>
      </c>
      <c r="AJ1357" t="s">
        <v>74</v>
      </c>
      <c r="AK1357">
        <v>1</v>
      </c>
      <c r="AL1357" t="s">
        <v>74</v>
      </c>
      <c r="AM1357">
        <v>1</v>
      </c>
      <c r="AN1357" t="s">
        <v>74</v>
      </c>
      <c r="AO1357">
        <v>4</v>
      </c>
      <c r="AP1357" t="s">
        <v>74</v>
      </c>
      <c r="AQ1357">
        <v>2</v>
      </c>
      <c r="AR1357">
        <v>1</v>
      </c>
      <c r="AS1357">
        <v>3</v>
      </c>
    </row>
    <row r="1358" spans="1:4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 t="str">
        <f>IF(Employee_data[[#This Row],[MonthlyIncome]]&lt;5000,"Low Income",
IF(Employee_data[[#This Row],[MonthlyIncome]]&lt;10000,"Medium Income","High Income"))</f>
        <v>Low Income</v>
      </c>
      <c r="U1358" t="s">
        <v>91</v>
      </c>
      <c r="V1358" t="s">
        <v>91</v>
      </c>
      <c r="W1358" t="s">
        <v>91</v>
      </c>
      <c r="X1358" t="s">
        <v>91</v>
      </c>
      <c r="Y1358">
        <v>26841</v>
      </c>
      <c r="Z1358">
        <v>5</v>
      </c>
      <c r="AA1358" t="s">
        <v>42</v>
      </c>
      <c r="AB1358" t="s">
        <v>43</v>
      </c>
      <c r="AC1358">
        <v>21</v>
      </c>
      <c r="AD1358">
        <v>4</v>
      </c>
      <c r="AE1358">
        <v>3</v>
      </c>
      <c r="AF1358">
        <v>80</v>
      </c>
      <c r="AG1358">
        <v>1</v>
      </c>
      <c r="AH13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58">
        <v>14</v>
      </c>
      <c r="AJ1358" t="s">
        <v>78</v>
      </c>
      <c r="AK1358">
        <v>3</v>
      </c>
      <c r="AL1358" t="s">
        <v>78</v>
      </c>
      <c r="AM1358">
        <v>3</v>
      </c>
      <c r="AN1358" t="s">
        <v>78</v>
      </c>
      <c r="AO1358">
        <v>5</v>
      </c>
      <c r="AP1358" t="s">
        <v>78</v>
      </c>
      <c r="AQ1358">
        <v>4</v>
      </c>
      <c r="AR1358">
        <v>1</v>
      </c>
      <c r="AS1358">
        <v>4</v>
      </c>
    </row>
    <row r="1359" spans="1:4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 t="str">
        <f>IF(Employee_data[[#This Row],[MonthlyIncome]]&lt;5000,"Low Income",
IF(Employee_data[[#This Row],[MonthlyIncome]]&lt;10000,"Medium Income","High Income"))</f>
        <v>High Income</v>
      </c>
      <c r="U1359" t="s">
        <v>90</v>
      </c>
      <c r="V1359" t="s">
        <v>90</v>
      </c>
      <c r="W1359" t="s">
        <v>90</v>
      </c>
      <c r="X1359" t="s">
        <v>90</v>
      </c>
      <c r="Y1359">
        <v>14842</v>
      </c>
      <c r="Z1359">
        <v>9</v>
      </c>
      <c r="AA1359" t="s">
        <v>42</v>
      </c>
      <c r="AB1359" t="s">
        <v>43</v>
      </c>
      <c r="AC1359">
        <v>13</v>
      </c>
      <c r="AD1359">
        <v>3</v>
      </c>
      <c r="AE1359">
        <v>2</v>
      </c>
      <c r="AF1359">
        <v>80</v>
      </c>
      <c r="AG1359">
        <v>1</v>
      </c>
      <c r="AH13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59">
        <v>18</v>
      </c>
      <c r="AJ1359" t="s">
        <v>75</v>
      </c>
      <c r="AK1359">
        <v>3</v>
      </c>
      <c r="AL1359" t="s">
        <v>75</v>
      </c>
      <c r="AM1359">
        <v>4</v>
      </c>
      <c r="AN1359" t="s">
        <v>75</v>
      </c>
      <c r="AO1359">
        <v>13</v>
      </c>
      <c r="AP1359" t="s">
        <v>75</v>
      </c>
      <c r="AQ1359">
        <v>7</v>
      </c>
      <c r="AR1359">
        <v>5</v>
      </c>
      <c r="AS1359">
        <v>7</v>
      </c>
    </row>
    <row r="1360" spans="1:4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 t="str">
        <f>IF(Employee_data[[#This Row],[MonthlyIncome]]&lt;5000,"Low Income",
IF(Employee_data[[#This Row],[MonthlyIncome]]&lt;10000,"Medium Income","High Income"))</f>
        <v>Medium Income</v>
      </c>
      <c r="U1360" t="s">
        <v>92</v>
      </c>
      <c r="V1360" t="s">
        <v>92</v>
      </c>
      <c r="W1360" t="s">
        <v>92</v>
      </c>
      <c r="X1360" t="s">
        <v>92</v>
      </c>
      <c r="Y1360">
        <v>20115</v>
      </c>
      <c r="Z1360">
        <v>2</v>
      </c>
      <c r="AA1360" t="s">
        <v>42</v>
      </c>
      <c r="AB1360" t="s">
        <v>35</v>
      </c>
      <c r="AC1360">
        <v>11</v>
      </c>
      <c r="AD1360">
        <v>3</v>
      </c>
      <c r="AE1360">
        <v>4</v>
      </c>
      <c r="AF1360">
        <v>80</v>
      </c>
      <c r="AG1360">
        <v>1</v>
      </c>
      <c r="AH13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60">
        <v>8</v>
      </c>
      <c r="AJ1360" t="s">
        <v>78</v>
      </c>
      <c r="AK1360">
        <v>2</v>
      </c>
      <c r="AL1360" t="s">
        <v>78</v>
      </c>
      <c r="AM1360">
        <v>3</v>
      </c>
      <c r="AN1360" t="s">
        <v>78</v>
      </c>
      <c r="AO1360">
        <v>5</v>
      </c>
      <c r="AP1360" t="s">
        <v>78</v>
      </c>
      <c r="AQ1360">
        <v>2</v>
      </c>
      <c r="AR1360">
        <v>1</v>
      </c>
      <c r="AS1360">
        <v>4</v>
      </c>
    </row>
    <row r="1361" spans="1:4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 t="str">
        <f>IF(Employee_data[[#This Row],[MonthlyIncome]]&lt;5000,"Low Income",
IF(Employee_data[[#This Row],[MonthlyIncome]]&lt;10000,"Medium Income","High Income"))</f>
        <v>Medium Income</v>
      </c>
      <c r="U1361" t="s">
        <v>92</v>
      </c>
      <c r="V1361" t="s">
        <v>92</v>
      </c>
      <c r="W1361" t="s">
        <v>92</v>
      </c>
      <c r="X1361" t="s">
        <v>92</v>
      </c>
      <c r="Y1361">
        <v>16495</v>
      </c>
      <c r="Z1361">
        <v>3</v>
      </c>
      <c r="AA1361" t="s">
        <v>42</v>
      </c>
      <c r="AB1361" t="s">
        <v>35</v>
      </c>
      <c r="AC1361">
        <v>12</v>
      </c>
      <c r="AD1361">
        <v>3</v>
      </c>
      <c r="AE1361">
        <v>3</v>
      </c>
      <c r="AF1361">
        <v>80</v>
      </c>
      <c r="AG1361">
        <v>0</v>
      </c>
      <c r="AH13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61">
        <v>9</v>
      </c>
      <c r="AJ1361" t="s">
        <v>74</v>
      </c>
      <c r="AK1361">
        <v>3</v>
      </c>
      <c r="AL1361" t="s">
        <v>74</v>
      </c>
      <c r="AM1361">
        <v>2</v>
      </c>
      <c r="AN1361" t="s">
        <v>74</v>
      </c>
      <c r="AO1361">
        <v>4</v>
      </c>
      <c r="AP1361" t="s">
        <v>74</v>
      </c>
      <c r="AQ1361">
        <v>2</v>
      </c>
      <c r="AR1361">
        <v>0</v>
      </c>
      <c r="AS1361">
        <v>1</v>
      </c>
    </row>
    <row r="1362" spans="1:4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 t="str">
        <f>IF(Employee_data[[#This Row],[MonthlyIncome]]&lt;5000,"Low Income",
IF(Employee_data[[#This Row],[MonthlyIncome]]&lt;10000,"Medium Income","High Income"))</f>
        <v>Low Income</v>
      </c>
      <c r="U1362" t="s">
        <v>91</v>
      </c>
      <c r="V1362" t="s">
        <v>91</v>
      </c>
      <c r="W1362" t="s">
        <v>91</v>
      </c>
      <c r="X1362" t="s">
        <v>91</v>
      </c>
      <c r="Y1362">
        <v>16031</v>
      </c>
      <c r="Z1362">
        <v>8</v>
      </c>
      <c r="AA1362" t="s">
        <v>42</v>
      </c>
      <c r="AB1362" t="s">
        <v>43</v>
      </c>
      <c r="AC1362">
        <v>12</v>
      </c>
      <c r="AD1362">
        <v>3</v>
      </c>
      <c r="AE1362">
        <v>2</v>
      </c>
      <c r="AF1362">
        <v>80</v>
      </c>
      <c r="AG1362">
        <v>1</v>
      </c>
      <c r="AH13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62">
        <v>4</v>
      </c>
      <c r="AJ1362" t="s">
        <v>74</v>
      </c>
      <c r="AK1362">
        <v>0</v>
      </c>
      <c r="AL1362" t="s">
        <v>74</v>
      </c>
      <c r="AM1362">
        <v>2</v>
      </c>
      <c r="AN1362" t="s">
        <v>74</v>
      </c>
      <c r="AO1362">
        <v>2</v>
      </c>
      <c r="AP1362" t="s">
        <v>74</v>
      </c>
      <c r="AQ1362">
        <v>2</v>
      </c>
      <c r="AR1362">
        <v>2</v>
      </c>
      <c r="AS1362">
        <v>2</v>
      </c>
    </row>
    <row r="1363" spans="1:4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 t="str">
        <f>IF(Employee_data[[#This Row],[MonthlyIncome]]&lt;5000,"Low Income",
IF(Employee_data[[#This Row],[MonthlyIncome]]&lt;10000,"Medium Income","High Income"))</f>
        <v>Low Income</v>
      </c>
      <c r="U1363" t="s">
        <v>91</v>
      </c>
      <c r="V1363" t="s">
        <v>91</v>
      </c>
      <c r="W1363" t="s">
        <v>91</v>
      </c>
      <c r="X1363" t="s">
        <v>91</v>
      </c>
      <c r="Y1363">
        <v>7102</v>
      </c>
      <c r="Z1363">
        <v>0</v>
      </c>
      <c r="AA1363" t="s">
        <v>42</v>
      </c>
      <c r="AB1363" t="s">
        <v>43</v>
      </c>
      <c r="AC1363">
        <v>18</v>
      </c>
      <c r="AD1363">
        <v>3</v>
      </c>
      <c r="AE1363">
        <v>1</v>
      </c>
      <c r="AF1363">
        <v>80</v>
      </c>
      <c r="AG1363">
        <v>1</v>
      </c>
      <c r="AH13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63">
        <v>8</v>
      </c>
      <c r="AJ1363" t="s">
        <v>78</v>
      </c>
      <c r="AK1363">
        <v>3</v>
      </c>
      <c r="AL1363" t="s">
        <v>78</v>
      </c>
      <c r="AM1363">
        <v>3</v>
      </c>
      <c r="AN1363" t="s">
        <v>78</v>
      </c>
      <c r="AO1363">
        <v>7</v>
      </c>
      <c r="AP1363" t="s">
        <v>78</v>
      </c>
      <c r="AQ1363">
        <v>7</v>
      </c>
      <c r="AR1363">
        <v>7</v>
      </c>
      <c r="AS1363">
        <v>7</v>
      </c>
    </row>
    <row r="1364" spans="1:4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 t="str">
        <f>IF(Employee_data[[#This Row],[MonthlyIncome]]&lt;5000,"Low Income",
IF(Employee_data[[#This Row],[MonthlyIncome]]&lt;10000,"Medium Income","High Income"))</f>
        <v>Medium Income</v>
      </c>
      <c r="U1364" t="s">
        <v>92</v>
      </c>
      <c r="V1364" t="s">
        <v>92</v>
      </c>
      <c r="W1364" t="s">
        <v>92</v>
      </c>
      <c r="X1364" t="s">
        <v>92</v>
      </c>
      <c r="Y1364">
        <v>14511</v>
      </c>
      <c r="Z1364">
        <v>4</v>
      </c>
      <c r="AA1364" t="s">
        <v>42</v>
      </c>
      <c r="AB1364" t="s">
        <v>43</v>
      </c>
      <c r="AC1364">
        <v>12</v>
      </c>
      <c r="AD1364">
        <v>3</v>
      </c>
      <c r="AE1364">
        <v>3</v>
      </c>
      <c r="AF1364">
        <v>80</v>
      </c>
      <c r="AG1364">
        <v>0</v>
      </c>
      <c r="AH13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64">
        <v>12</v>
      </c>
      <c r="AJ1364" t="s">
        <v>74</v>
      </c>
      <c r="AK1364">
        <v>3</v>
      </c>
      <c r="AL1364" t="s">
        <v>74</v>
      </c>
      <c r="AM1364">
        <v>3</v>
      </c>
      <c r="AN1364" t="s">
        <v>74</v>
      </c>
      <c r="AO1364">
        <v>4</v>
      </c>
      <c r="AP1364" t="s">
        <v>74</v>
      </c>
      <c r="AQ1364">
        <v>2</v>
      </c>
      <c r="AR1364">
        <v>0</v>
      </c>
      <c r="AS1364">
        <v>3</v>
      </c>
    </row>
    <row r="1365" spans="1:4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 t="str">
        <f>IF(Employee_data[[#This Row],[MonthlyIncome]]&lt;5000,"Low Income",
IF(Employee_data[[#This Row],[MonthlyIncome]]&lt;10000,"Medium Income","High Income"))</f>
        <v>Medium Income</v>
      </c>
      <c r="U1365" t="s">
        <v>92</v>
      </c>
      <c r="V1365" t="s">
        <v>92</v>
      </c>
      <c r="W1365" t="s">
        <v>92</v>
      </c>
      <c r="X1365" t="s">
        <v>92</v>
      </c>
      <c r="Y1365">
        <v>10410</v>
      </c>
      <c r="Z1365">
        <v>1</v>
      </c>
      <c r="AA1365" t="s">
        <v>42</v>
      </c>
      <c r="AB1365" t="s">
        <v>43</v>
      </c>
      <c r="AC1365">
        <v>14</v>
      </c>
      <c r="AD1365">
        <v>3</v>
      </c>
      <c r="AE1365">
        <v>2</v>
      </c>
      <c r="AF1365">
        <v>80</v>
      </c>
      <c r="AG1365">
        <v>0</v>
      </c>
      <c r="AH13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65">
        <v>10</v>
      </c>
      <c r="AJ1365" t="s">
        <v>75</v>
      </c>
      <c r="AK1365">
        <v>2</v>
      </c>
      <c r="AL1365" t="s">
        <v>75</v>
      </c>
      <c r="AM1365">
        <v>2</v>
      </c>
      <c r="AN1365" t="s">
        <v>75</v>
      </c>
      <c r="AO1365">
        <v>10</v>
      </c>
      <c r="AP1365" t="s">
        <v>75</v>
      </c>
      <c r="AQ1365">
        <v>4</v>
      </c>
      <c r="AR1365">
        <v>0</v>
      </c>
      <c r="AS1365">
        <v>9</v>
      </c>
    </row>
    <row r="1366" spans="1:4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 t="str">
        <f>IF(Employee_data[[#This Row],[MonthlyIncome]]&lt;5000,"Low Income",
IF(Employee_data[[#This Row],[MonthlyIncome]]&lt;10000,"Medium Income","High Income"))</f>
        <v>Medium Income</v>
      </c>
      <c r="U1366" t="s">
        <v>92</v>
      </c>
      <c r="V1366" t="s">
        <v>92</v>
      </c>
      <c r="W1366" t="s">
        <v>92</v>
      </c>
      <c r="X1366" t="s">
        <v>92</v>
      </c>
      <c r="Y1366">
        <v>19255</v>
      </c>
      <c r="Z1366">
        <v>1</v>
      </c>
      <c r="AA1366" t="s">
        <v>42</v>
      </c>
      <c r="AB1366" t="s">
        <v>35</v>
      </c>
      <c r="AC1366">
        <v>12</v>
      </c>
      <c r="AD1366">
        <v>3</v>
      </c>
      <c r="AE1366">
        <v>3</v>
      </c>
      <c r="AF1366">
        <v>80</v>
      </c>
      <c r="AG1366">
        <v>1</v>
      </c>
      <c r="AH13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66">
        <v>7</v>
      </c>
      <c r="AJ1366" t="s">
        <v>78</v>
      </c>
      <c r="AK1366">
        <v>2</v>
      </c>
      <c r="AL1366" t="s">
        <v>78</v>
      </c>
      <c r="AM1366">
        <v>3</v>
      </c>
      <c r="AN1366" t="s">
        <v>78</v>
      </c>
      <c r="AO1366">
        <v>7</v>
      </c>
      <c r="AP1366" t="s">
        <v>78</v>
      </c>
      <c r="AQ1366">
        <v>7</v>
      </c>
      <c r="AR1366">
        <v>0</v>
      </c>
      <c r="AS1366">
        <v>7</v>
      </c>
    </row>
    <row r="1367" spans="1:4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 t="str">
        <f>IF(Employee_data[[#This Row],[MonthlyIncome]]&lt;5000,"Low Income",
IF(Employee_data[[#This Row],[MonthlyIncome]]&lt;10000,"Medium Income","High Income"))</f>
        <v>Low Income</v>
      </c>
      <c r="U1367" t="s">
        <v>91</v>
      </c>
      <c r="V1367" t="s">
        <v>91</v>
      </c>
      <c r="W1367" t="s">
        <v>91</v>
      </c>
      <c r="X1367" t="s">
        <v>91</v>
      </c>
      <c r="Y1367">
        <v>10642</v>
      </c>
      <c r="Z1367">
        <v>1</v>
      </c>
      <c r="AA1367" t="s">
        <v>42</v>
      </c>
      <c r="AB1367" t="s">
        <v>43</v>
      </c>
      <c r="AC1367">
        <v>17</v>
      </c>
      <c r="AD1367">
        <v>3</v>
      </c>
      <c r="AE1367">
        <v>4</v>
      </c>
      <c r="AF1367">
        <v>80</v>
      </c>
      <c r="AG1367">
        <v>0</v>
      </c>
      <c r="AH13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67">
        <v>1</v>
      </c>
      <c r="AJ1367" t="s">
        <v>74</v>
      </c>
      <c r="AK1367">
        <v>3</v>
      </c>
      <c r="AL1367" t="s">
        <v>74</v>
      </c>
      <c r="AM1367">
        <v>3</v>
      </c>
      <c r="AN1367" t="s">
        <v>74</v>
      </c>
      <c r="AO1367">
        <v>1</v>
      </c>
      <c r="AP1367" t="s">
        <v>74</v>
      </c>
      <c r="AQ1367">
        <v>0</v>
      </c>
      <c r="AR1367">
        <v>0</v>
      </c>
      <c r="AS1367">
        <v>0</v>
      </c>
    </row>
    <row r="1368" spans="1:4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 t="str">
        <f>IF(Employee_data[[#This Row],[MonthlyIncome]]&lt;5000,"Low Income",
IF(Employee_data[[#This Row],[MonthlyIncome]]&lt;10000,"Medium Income","High Income"))</f>
        <v>Medium Income</v>
      </c>
      <c r="U1368" t="s">
        <v>92</v>
      </c>
      <c r="V1368" t="s">
        <v>92</v>
      </c>
      <c r="W1368" t="s">
        <v>92</v>
      </c>
      <c r="X1368" t="s">
        <v>92</v>
      </c>
      <c r="Y1368">
        <v>3987</v>
      </c>
      <c r="Z1368">
        <v>6</v>
      </c>
      <c r="AA1368" t="s">
        <v>42</v>
      </c>
      <c r="AB1368" t="s">
        <v>43</v>
      </c>
      <c r="AC1368">
        <v>19</v>
      </c>
      <c r="AD1368">
        <v>3</v>
      </c>
      <c r="AE1368">
        <v>3</v>
      </c>
      <c r="AF1368">
        <v>80</v>
      </c>
      <c r="AG1368">
        <v>1</v>
      </c>
      <c r="AH13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68">
        <v>10</v>
      </c>
      <c r="AJ1368" t="s">
        <v>74</v>
      </c>
      <c r="AK1368">
        <v>1</v>
      </c>
      <c r="AL1368" t="s">
        <v>74</v>
      </c>
      <c r="AM1368">
        <v>3</v>
      </c>
      <c r="AN1368" t="s">
        <v>74</v>
      </c>
      <c r="AO1368">
        <v>3</v>
      </c>
      <c r="AP1368" t="s">
        <v>74</v>
      </c>
      <c r="AQ1368">
        <v>2</v>
      </c>
      <c r="AR1368">
        <v>1</v>
      </c>
      <c r="AS1368">
        <v>2</v>
      </c>
    </row>
    <row r="1369" spans="1:4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 t="str">
        <f>IF(Employee_data[[#This Row],[MonthlyIncome]]&lt;5000,"Low Income",
IF(Employee_data[[#This Row],[MonthlyIncome]]&lt;10000,"Medium Income","High Income"))</f>
        <v>Low Income</v>
      </c>
      <c r="U1369" t="s">
        <v>91</v>
      </c>
      <c r="V1369" t="s">
        <v>91</v>
      </c>
      <c r="W1369" t="s">
        <v>91</v>
      </c>
      <c r="X1369" t="s">
        <v>91</v>
      </c>
      <c r="Y1369">
        <v>6073</v>
      </c>
      <c r="Z1369">
        <v>1</v>
      </c>
      <c r="AA1369" t="s">
        <v>42</v>
      </c>
      <c r="AB1369" t="s">
        <v>43</v>
      </c>
      <c r="AC1369">
        <v>11</v>
      </c>
      <c r="AD1369">
        <v>3</v>
      </c>
      <c r="AE1369">
        <v>3</v>
      </c>
      <c r="AF1369">
        <v>80</v>
      </c>
      <c r="AG1369">
        <v>1</v>
      </c>
      <c r="AH13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69">
        <v>6</v>
      </c>
      <c r="AJ1369" t="s">
        <v>78</v>
      </c>
      <c r="AK1369">
        <v>3</v>
      </c>
      <c r="AL1369" t="s">
        <v>78</v>
      </c>
      <c r="AM1369">
        <v>2</v>
      </c>
      <c r="AN1369" t="s">
        <v>78</v>
      </c>
      <c r="AO1369">
        <v>5</v>
      </c>
      <c r="AP1369" t="s">
        <v>78</v>
      </c>
      <c r="AQ1369">
        <v>3</v>
      </c>
      <c r="AR1369">
        <v>1</v>
      </c>
      <c r="AS1369">
        <v>2</v>
      </c>
    </row>
    <row r="1370" spans="1:4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 t="str">
        <f>IF(Employee_data[[#This Row],[MonthlyIncome]]&lt;5000,"Low Income",
IF(Employee_data[[#This Row],[MonthlyIncome]]&lt;10000,"Medium Income","High Income"))</f>
        <v>Medium Income</v>
      </c>
      <c r="U1370" t="s">
        <v>92</v>
      </c>
      <c r="V1370" t="s">
        <v>92</v>
      </c>
      <c r="W1370" t="s">
        <v>92</v>
      </c>
      <c r="X1370" t="s">
        <v>92</v>
      </c>
      <c r="Y1370">
        <v>26496</v>
      </c>
      <c r="Z1370">
        <v>1</v>
      </c>
      <c r="AA1370" t="s">
        <v>42</v>
      </c>
      <c r="AB1370" t="s">
        <v>35</v>
      </c>
      <c r="AC1370">
        <v>15</v>
      </c>
      <c r="AD1370">
        <v>3</v>
      </c>
      <c r="AE1370">
        <v>2</v>
      </c>
      <c r="AF1370">
        <v>80</v>
      </c>
      <c r="AG1370">
        <v>0</v>
      </c>
      <c r="AH13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70">
        <v>16</v>
      </c>
      <c r="AJ1370" t="s">
        <v>76</v>
      </c>
      <c r="AK1370">
        <v>3</v>
      </c>
      <c r="AL1370" t="s">
        <v>76</v>
      </c>
      <c r="AM1370">
        <v>3</v>
      </c>
      <c r="AN1370" t="s">
        <v>76</v>
      </c>
      <c r="AO1370">
        <v>15</v>
      </c>
      <c r="AP1370" t="s">
        <v>76</v>
      </c>
      <c r="AQ1370">
        <v>10</v>
      </c>
      <c r="AR1370">
        <v>6</v>
      </c>
      <c r="AS1370">
        <v>11</v>
      </c>
    </row>
    <row r="1371" spans="1:4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 t="str">
        <f>IF(Employee_data[[#This Row],[MonthlyIncome]]&lt;5000,"Low Income",
IF(Employee_data[[#This Row],[MonthlyIncome]]&lt;10000,"Medium Income","High Income"))</f>
        <v>Medium Income</v>
      </c>
      <c r="U1371" t="s">
        <v>92</v>
      </c>
      <c r="V1371" t="s">
        <v>92</v>
      </c>
      <c r="W1371" t="s">
        <v>92</v>
      </c>
      <c r="X1371" t="s">
        <v>92</v>
      </c>
      <c r="Y1371">
        <v>23352</v>
      </c>
      <c r="Z1371">
        <v>3</v>
      </c>
      <c r="AA1371" t="s">
        <v>42</v>
      </c>
      <c r="AB1371" t="s">
        <v>35</v>
      </c>
      <c r="AC1371">
        <v>11</v>
      </c>
      <c r="AD1371">
        <v>3</v>
      </c>
      <c r="AE1371">
        <v>4</v>
      </c>
      <c r="AF1371">
        <v>80</v>
      </c>
      <c r="AG1371">
        <v>0</v>
      </c>
      <c r="AH13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71">
        <v>6</v>
      </c>
      <c r="AJ1371" t="s">
        <v>74</v>
      </c>
      <c r="AK1371">
        <v>0</v>
      </c>
      <c r="AL1371" t="s">
        <v>74</v>
      </c>
      <c r="AM1371">
        <v>3</v>
      </c>
      <c r="AN1371" t="s">
        <v>74</v>
      </c>
      <c r="AO1371">
        <v>2</v>
      </c>
      <c r="AP1371" t="s">
        <v>74</v>
      </c>
      <c r="AQ1371">
        <v>0</v>
      </c>
      <c r="AR1371">
        <v>2</v>
      </c>
      <c r="AS1371">
        <v>2</v>
      </c>
    </row>
    <row r="1372" spans="1:4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 t="str">
        <f>IF(Employee_data[[#This Row],[MonthlyIncome]]&lt;5000,"Low Income",
IF(Employee_data[[#This Row],[MonthlyIncome]]&lt;10000,"Medium Income","High Income"))</f>
        <v>Medium Income</v>
      </c>
      <c r="U1372" t="s">
        <v>92</v>
      </c>
      <c r="V1372" t="s">
        <v>92</v>
      </c>
      <c r="W1372" t="s">
        <v>92</v>
      </c>
      <c r="X1372" t="s">
        <v>92</v>
      </c>
      <c r="Y1372">
        <v>2125</v>
      </c>
      <c r="Z1372">
        <v>8</v>
      </c>
      <c r="AA1372" t="s">
        <v>42</v>
      </c>
      <c r="AB1372" t="s">
        <v>43</v>
      </c>
      <c r="AC1372">
        <v>18</v>
      </c>
      <c r="AD1372">
        <v>3</v>
      </c>
      <c r="AE1372">
        <v>3</v>
      </c>
      <c r="AF1372">
        <v>80</v>
      </c>
      <c r="AG1372">
        <v>1</v>
      </c>
      <c r="AH137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72">
        <v>16</v>
      </c>
      <c r="AJ1372" t="s">
        <v>78</v>
      </c>
      <c r="AK1372">
        <v>4</v>
      </c>
      <c r="AL1372" t="s">
        <v>78</v>
      </c>
      <c r="AM1372">
        <v>4</v>
      </c>
      <c r="AN1372" t="s">
        <v>78</v>
      </c>
      <c r="AO1372">
        <v>8</v>
      </c>
      <c r="AP1372" t="s">
        <v>78</v>
      </c>
      <c r="AQ1372">
        <v>7</v>
      </c>
      <c r="AR1372">
        <v>1</v>
      </c>
      <c r="AS1372">
        <v>7</v>
      </c>
    </row>
    <row r="1373" spans="1:4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 t="str">
        <f>IF(Employee_data[[#This Row],[MonthlyIncome]]&lt;5000,"Low Income",
IF(Employee_data[[#This Row],[MonthlyIncome]]&lt;10000,"Medium Income","High Income"))</f>
        <v>Medium Income</v>
      </c>
      <c r="U1373" t="s">
        <v>92</v>
      </c>
      <c r="V1373" t="s">
        <v>92</v>
      </c>
      <c r="W1373" t="s">
        <v>92</v>
      </c>
      <c r="X1373" t="s">
        <v>92</v>
      </c>
      <c r="Y1373">
        <v>20328</v>
      </c>
      <c r="Z1373">
        <v>4</v>
      </c>
      <c r="AA1373" t="s">
        <v>42</v>
      </c>
      <c r="AB1373" t="s">
        <v>43</v>
      </c>
      <c r="AC1373">
        <v>16</v>
      </c>
      <c r="AD1373">
        <v>3</v>
      </c>
      <c r="AE1373">
        <v>3</v>
      </c>
      <c r="AF1373">
        <v>80</v>
      </c>
      <c r="AG1373">
        <v>1</v>
      </c>
      <c r="AH137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73">
        <v>6</v>
      </c>
      <c r="AJ1373" t="s">
        <v>74</v>
      </c>
      <c r="AK1373">
        <v>3</v>
      </c>
      <c r="AL1373" t="s">
        <v>74</v>
      </c>
      <c r="AM1373">
        <v>3</v>
      </c>
      <c r="AN1373" t="s">
        <v>74</v>
      </c>
      <c r="AO1373">
        <v>0</v>
      </c>
      <c r="AP1373" t="s">
        <v>74</v>
      </c>
      <c r="AQ1373">
        <v>0</v>
      </c>
      <c r="AR1373">
        <v>0</v>
      </c>
      <c r="AS1373">
        <v>0</v>
      </c>
    </row>
    <row r="1374" spans="1:4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 t="str">
        <f>IF(Employee_data[[#This Row],[MonthlyIncome]]&lt;5000,"Low Income",
IF(Employee_data[[#This Row],[MonthlyIncome]]&lt;10000,"Medium Income","High Income"))</f>
        <v>Medium Income</v>
      </c>
      <c r="U1374" t="s">
        <v>92</v>
      </c>
      <c r="V1374" t="s">
        <v>92</v>
      </c>
      <c r="W1374" t="s">
        <v>92</v>
      </c>
      <c r="X1374" t="s">
        <v>92</v>
      </c>
      <c r="Y1374">
        <v>12315</v>
      </c>
      <c r="Z1374">
        <v>1</v>
      </c>
      <c r="AA1374" t="s">
        <v>42</v>
      </c>
      <c r="AB1374" t="s">
        <v>43</v>
      </c>
      <c r="AC1374">
        <v>25</v>
      </c>
      <c r="AD1374">
        <v>4</v>
      </c>
      <c r="AE1374">
        <v>4</v>
      </c>
      <c r="AF1374">
        <v>80</v>
      </c>
      <c r="AG1374">
        <v>1</v>
      </c>
      <c r="AH137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74">
        <v>10</v>
      </c>
      <c r="AJ1374" t="s">
        <v>75</v>
      </c>
      <c r="AK1374">
        <v>3</v>
      </c>
      <c r="AL1374" t="s">
        <v>75</v>
      </c>
      <c r="AM1374">
        <v>3</v>
      </c>
      <c r="AN1374" t="s">
        <v>75</v>
      </c>
      <c r="AO1374">
        <v>10</v>
      </c>
      <c r="AP1374" t="s">
        <v>75</v>
      </c>
      <c r="AQ1374">
        <v>0</v>
      </c>
      <c r="AR1374">
        <v>7</v>
      </c>
      <c r="AS1374">
        <v>9</v>
      </c>
    </row>
    <row r="1375" spans="1:4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 t="str">
        <f>IF(Employee_data[[#This Row],[MonthlyIncome]]&lt;5000,"Low Income",
IF(Employee_data[[#This Row],[MonthlyIncome]]&lt;10000,"Medium Income","High Income"))</f>
        <v>Low Income</v>
      </c>
      <c r="U1375" t="s">
        <v>91</v>
      </c>
      <c r="V1375" t="s">
        <v>91</v>
      </c>
      <c r="W1375" t="s">
        <v>91</v>
      </c>
      <c r="X1375" t="s">
        <v>91</v>
      </c>
      <c r="Y1375">
        <v>18115</v>
      </c>
      <c r="Z1375">
        <v>1</v>
      </c>
      <c r="AA1375" t="s">
        <v>42</v>
      </c>
      <c r="AB1375" t="s">
        <v>35</v>
      </c>
      <c r="AC1375">
        <v>16</v>
      </c>
      <c r="AD1375">
        <v>3</v>
      </c>
      <c r="AE1375">
        <v>3</v>
      </c>
      <c r="AF1375">
        <v>80</v>
      </c>
      <c r="AG1375">
        <v>1</v>
      </c>
      <c r="AH137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375">
        <v>20</v>
      </c>
      <c r="AJ1375" t="s">
        <v>76</v>
      </c>
      <c r="AK1375">
        <v>3</v>
      </c>
      <c r="AL1375" t="s">
        <v>76</v>
      </c>
      <c r="AM1375">
        <v>3</v>
      </c>
      <c r="AN1375" t="s">
        <v>76</v>
      </c>
      <c r="AO1375">
        <v>20</v>
      </c>
      <c r="AP1375" t="s">
        <v>76</v>
      </c>
      <c r="AQ1375">
        <v>11</v>
      </c>
      <c r="AR1375">
        <v>0</v>
      </c>
      <c r="AS1375">
        <v>7</v>
      </c>
    </row>
    <row r="1376" spans="1:4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 t="str">
        <f>IF(Employee_data[[#This Row],[MonthlyIncome]]&lt;5000,"Low Income",
IF(Employee_data[[#This Row],[MonthlyIncome]]&lt;10000,"Medium Income","High Income"))</f>
        <v>High Income</v>
      </c>
      <c r="U1376" t="s">
        <v>90</v>
      </c>
      <c r="V1376" t="s">
        <v>90</v>
      </c>
      <c r="W1376" t="s">
        <v>90</v>
      </c>
      <c r="X1376" t="s">
        <v>90</v>
      </c>
      <c r="Y1376">
        <v>11761</v>
      </c>
      <c r="Z1376">
        <v>4</v>
      </c>
      <c r="AA1376" t="s">
        <v>42</v>
      </c>
      <c r="AB1376" t="s">
        <v>35</v>
      </c>
      <c r="AC1376">
        <v>13</v>
      </c>
      <c r="AD1376">
        <v>3</v>
      </c>
      <c r="AE1376">
        <v>3</v>
      </c>
      <c r="AF1376">
        <v>80</v>
      </c>
      <c r="AG1376">
        <v>1</v>
      </c>
      <c r="AH137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76">
        <v>29</v>
      </c>
      <c r="AJ1376" t="s">
        <v>74</v>
      </c>
      <c r="AK1376">
        <v>2</v>
      </c>
      <c r="AL1376" t="s">
        <v>74</v>
      </c>
      <c r="AM1376">
        <v>2</v>
      </c>
      <c r="AN1376" t="s">
        <v>74</v>
      </c>
      <c r="AO1376">
        <v>1</v>
      </c>
      <c r="AP1376" t="s">
        <v>74</v>
      </c>
      <c r="AQ1376">
        <v>0</v>
      </c>
      <c r="AR1376">
        <v>0</v>
      </c>
      <c r="AS1376">
        <v>0</v>
      </c>
    </row>
    <row r="1377" spans="1:4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 t="str">
        <f>IF(Employee_data[[#This Row],[MonthlyIncome]]&lt;5000,"Low Income",
IF(Employee_data[[#This Row],[MonthlyIncome]]&lt;10000,"Medium Income","High Income"))</f>
        <v>Low Income</v>
      </c>
      <c r="U1377" t="s">
        <v>91</v>
      </c>
      <c r="V1377" t="s">
        <v>91</v>
      </c>
      <c r="W1377" t="s">
        <v>91</v>
      </c>
      <c r="X1377" t="s">
        <v>91</v>
      </c>
      <c r="Y1377">
        <v>15318</v>
      </c>
      <c r="Z1377">
        <v>3</v>
      </c>
      <c r="AA1377" t="s">
        <v>42</v>
      </c>
      <c r="AB1377" t="s">
        <v>35</v>
      </c>
      <c r="AC1377">
        <v>14</v>
      </c>
      <c r="AD1377">
        <v>3</v>
      </c>
      <c r="AE1377">
        <v>1</v>
      </c>
      <c r="AF1377">
        <v>80</v>
      </c>
      <c r="AG1377">
        <v>0</v>
      </c>
      <c r="AH137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77">
        <v>8</v>
      </c>
      <c r="AJ1377" t="s">
        <v>74</v>
      </c>
      <c r="AK1377">
        <v>2</v>
      </c>
      <c r="AL1377" t="s">
        <v>74</v>
      </c>
      <c r="AM1377">
        <v>3</v>
      </c>
      <c r="AN1377" t="s">
        <v>74</v>
      </c>
      <c r="AO1377">
        <v>4</v>
      </c>
      <c r="AP1377" t="s">
        <v>74</v>
      </c>
      <c r="AQ1377">
        <v>1</v>
      </c>
      <c r="AR1377">
        <v>0</v>
      </c>
      <c r="AS1377">
        <v>3</v>
      </c>
    </row>
    <row r="1378" spans="1:4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 t="str">
        <f>IF(Employee_data[[#This Row],[MonthlyIncome]]&lt;5000,"Low Income",
IF(Employee_data[[#This Row],[MonthlyIncome]]&lt;10000,"Medium Income","High Income"))</f>
        <v>Low Income</v>
      </c>
      <c r="U1378" t="s">
        <v>91</v>
      </c>
      <c r="V1378" t="s">
        <v>91</v>
      </c>
      <c r="W1378" t="s">
        <v>91</v>
      </c>
      <c r="X1378" t="s">
        <v>91</v>
      </c>
      <c r="Y1378">
        <v>14293</v>
      </c>
      <c r="Z1378">
        <v>2</v>
      </c>
      <c r="AA1378" t="s">
        <v>42</v>
      </c>
      <c r="AB1378" t="s">
        <v>43</v>
      </c>
      <c r="AC1378">
        <v>19</v>
      </c>
      <c r="AD1378">
        <v>3</v>
      </c>
      <c r="AE1378">
        <v>4</v>
      </c>
      <c r="AF1378">
        <v>80</v>
      </c>
      <c r="AG1378">
        <v>2</v>
      </c>
      <c r="AH137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78">
        <v>10</v>
      </c>
      <c r="AJ1378" t="s">
        <v>78</v>
      </c>
      <c r="AK1378">
        <v>0</v>
      </c>
      <c r="AL1378" t="s">
        <v>78</v>
      </c>
      <c r="AM1378">
        <v>4</v>
      </c>
      <c r="AN1378" t="s">
        <v>78</v>
      </c>
      <c r="AO1378">
        <v>5</v>
      </c>
      <c r="AP1378" t="s">
        <v>78</v>
      </c>
      <c r="AQ1378">
        <v>2</v>
      </c>
      <c r="AR1378">
        <v>0</v>
      </c>
      <c r="AS1378">
        <v>3</v>
      </c>
    </row>
    <row r="1379" spans="1:4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 t="str">
        <f>IF(Employee_data[[#This Row],[MonthlyIncome]]&lt;5000,"Low Income",
IF(Employee_data[[#This Row],[MonthlyIncome]]&lt;10000,"Medium Income","High Income"))</f>
        <v>High Income</v>
      </c>
      <c r="U1379" t="s">
        <v>90</v>
      </c>
      <c r="V1379" t="s">
        <v>90</v>
      </c>
      <c r="W1379" t="s">
        <v>90</v>
      </c>
      <c r="X1379" t="s">
        <v>90</v>
      </c>
      <c r="Y1379">
        <v>13738</v>
      </c>
      <c r="Z1379">
        <v>3</v>
      </c>
      <c r="AA1379" t="s">
        <v>42</v>
      </c>
      <c r="AB1379" t="s">
        <v>43</v>
      </c>
      <c r="AC1379">
        <v>15</v>
      </c>
      <c r="AD1379">
        <v>3</v>
      </c>
      <c r="AE1379">
        <v>4</v>
      </c>
      <c r="AF1379">
        <v>80</v>
      </c>
      <c r="AG1379">
        <v>0</v>
      </c>
      <c r="AH137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79">
        <v>28</v>
      </c>
      <c r="AJ1379" t="s">
        <v>78</v>
      </c>
      <c r="AK1379">
        <v>3</v>
      </c>
      <c r="AL1379" t="s">
        <v>78</v>
      </c>
      <c r="AM1379">
        <v>3</v>
      </c>
      <c r="AN1379" t="s">
        <v>78</v>
      </c>
      <c r="AO1379">
        <v>5</v>
      </c>
      <c r="AP1379" t="s">
        <v>78</v>
      </c>
      <c r="AQ1379">
        <v>4</v>
      </c>
      <c r="AR1379">
        <v>4</v>
      </c>
      <c r="AS1379">
        <v>3</v>
      </c>
    </row>
    <row r="1380" spans="1:4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 t="str">
        <f>IF(Employee_data[[#This Row],[MonthlyIncome]]&lt;5000,"Low Income",
IF(Employee_data[[#This Row],[MonthlyIncome]]&lt;10000,"Medium Income","High Income"))</f>
        <v>Medium Income</v>
      </c>
      <c r="U1380" t="s">
        <v>92</v>
      </c>
      <c r="V1380" t="s">
        <v>92</v>
      </c>
      <c r="W1380" t="s">
        <v>92</v>
      </c>
      <c r="X1380" t="s">
        <v>92</v>
      </c>
      <c r="Y1380">
        <v>2900</v>
      </c>
      <c r="Z1380">
        <v>3</v>
      </c>
      <c r="AA1380" t="s">
        <v>42</v>
      </c>
      <c r="AB1380" t="s">
        <v>35</v>
      </c>
      <c r="AC1380">
        <v>12</v>
      </c>
      <c r="AD1380">
        <v>3</v>
      </c>
      <c r="AE1380">
        <v>3</v>
      </c>
      <c r="AF1380">
        <v>80</v>
      </c>
      <c r="AG1380">
        <v>2</v>
      </c>
      <c r="AH138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80">
        <v>14</v>
      </c>
      <c r="AJ1380" t="s">
        <v>74</v>
      </c>
      <c r="AK1380">
        <v>4</v>
      </c>
      <c r="AL1380" t="s">
        <v>74</v>
      </c>
      <c r="AM1380">
        <v>3</v>
      </c>
      <c r="AN1380" t="s">
        <v>74</v>
      </c>
      <c r="AO1380">
        <v>0</v>
      </c>
      <c r="AP1380" t="s">
        <v>74</v>
      </c>
      <c r="AQ1380">
        <v>0</v>
      </c>
      <c r="AR1380">
        <v>0</v>
      </c>
      <c r="AS1380">
        <v>0</v>
      </c>
    </row>
    <row r="1381" spans="1:4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 t="str">
        <f>IF(Employee_data[[#This Row],[MonthlyIncome]]&lt;5000,"Low Income",
IF(Employee_data[[#This Row],[MonthlyIncome]]&lt;10000,"Medium Income","High Income"))</f>
        <v>Low Income</v>
      </c>
      <c r="U1381" t="s">
        <v>91</v>
      </c>
      <c r="V1381" t="s">
        <v>91</v>
      </c>
      <c r="W1381" t="s">
        <v>91</v>
      </c>
      <c r="X1381" t="s">
        <v>91</v>
      </c>
      <c r="Y1381">
        <v>19555</v>
      </c>
      <c r="Z1381">
        <v>1</v>
      </c>
      <c r="AA1381" t="s">
        <v>42</v>
      </c>
      <c r="AB1381" t="s">
        <v>43</v>
      </c>
      <c r="AC1381">
        <v>12</v>
      </c>
      <c r="AD1381">
        <v>3</v>
      </c>
      <c r="AE1381">
        <v>1</v>
      </c>
      <c r="AF1381">
        <v>80</v>
      </c>
      <c r="AG1381">
        <v>0</v>
      </c>
      <c r="AH138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81">
        <v>1</v>
      </c>
      <c r="AJ1381" t="s">
        <v>74</v>
      </c>
      <c r="AK1381">
        <v>2</v>
      </c>
      <c r="AL1381" t="s">
        <v>74</v>
      </c>
      <c r="AM1381">
        <v>3</v>
      </c>
      <c r="AN1381" t="s">
        <v>74</v>
      </c>
      <c r="AO1381">
        <v>1</v>
      </c>
      <c r="AP1381" t="s">
        <v>74</v>
      </c>
      <c r="AQ1381">
        <v>0</v>
      </c>
      <c r="AR1381">
        <v>0</v>
      </c>
      <c r="AS1381">
        <v>0</v>
      </c>
    </row>
    <row r="1382" spans="1:4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 t="str">
        <f>IF(Employee_data[[#This Row],[MonthlyIncome]]&lt;5000,"Low Income",
IF(Employee_data[[#This Row],[MonthlyIncome]]&lt;10000,"Medium Income","High Income"))</f>
        <v>Medium Income</v>
      </c>
      <c r="U1382" t="s">
        <v>92</v>
      </c>
      <c r="V1382" t="s">
        <v>92</v>
      </c>
      <c r="W1382" t="s">
        <v>92</v>
      </c>
      <c r="X1382" t="s">
        <v>92</v>
      </c>
      <c r="Y1382">
        <v>15975</v>
      </c>
      <c r="Z1382">
        <v>0</v>
      </c>
      <c r="AA1382" t="s">
        <v>42</v>
      </c>
      <c r="AB1382" t="s">
        <v>43</v>
      </c>
      <c r="AC1382">
        <v>16</v>
      </c>
      <c r="AD1382">
        <v>3</v>
      </c>
      <c r="AE1382">
        <v>4</v>
      </c>
      <c r="AF1382">
        <v>80</v>
      </c>
      <c r="AG1382">
        <v>1</v>
      </c>
      <c r="AH138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82">
        <v>6</v>
      </c>
      <c r="AJ1382" t="s">
        <v>78</v>
      </c>
      <c r="AK1382">
        <v>2</v>
      </c>
      <c r="AL1382" t="s">
        <v>78</v>
      </c>
      <c r="AM1382">
        <v>1</v>
      </c>
      <c r="AN1382" t="s">
        <v>78</v>
      </c>
      <c r="AO1382">
        <v>5</v>
      </c>
      <c r="AP1382" t="s">
        <v>78</v>
      </c>
      <c r="AQ1382">
        <v>3</v>
      </c>
      <c r="AR1382">
        <v>0</v>
      </c>
      <c r="AS1382">
        <v>4</v>
      </c>
    </row>
    <row r="1383" spans="1:4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 t="str">
        <f>IF(Employee_data[[#This Row],[MonthlyIncome]]&lt;5000,"Low Income",
IF(Employee_data[[#This Row],[MonthlyIncome]]&lt;10000,"Medium Income","High Income"))</f>
        <v>Low Income</v>
      </c>
      <c r="U1383" t="s">
        <v>91</v>
      </c>
      <c r="V1383" t="s">
        <v>91</v>
      </c>
      <c r="W1383" t="s">
        <v>91</v>
      </c>
      <c r="X1383" t="s">
        <v>91</v>
      </c>
      <c r="Y1383">
        <v>2122</v>
      </c>
      <c r="Z1383">
        <v>1</v>
      </c>
      <c r="AA1383" t="s">
        <v>42</v>
      </c>
      <c r="AB1383" t="s">
        <v>43</v>
      </c>
      <c r="AC1383">
        <v>14</v>
      </c>
      <c r="AD1383">
        <v>3</v>
      </c>
      <c r="AE1383">
        <v>3</v>
      </c>
      <c r="AF1383">
        <v>80</v>
      </c>
      <c r="AG1383">
        <v>0</v>
      </c>
      <c r="AH138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83">
        <v>5</v>
      </c>
      <c r="AJ1383" t="s">
        <v>78</v>
      </c>
      <c r="AK1383">
        <v>3</v>
      </c>
      <c r="AL1383" t="s">
        <v>78</v>
      </c>
      <c r="AM1383">
        <v>2</v>
      </c>
      <c r="AN1383" t="s">
        <v>78</v>
      </c>
      <c r="AO1383">
        <v>5</v>
      </c>
      <c r="AP1383" t="s">
        <v>78</v>
      </c>
      <c r="AQ1383">
        <v>3</v>
      </c>
      <c r="AR1383">
        <v>1</v>
      </c>
      <c r="AS1383">
        <v>4</v>
      </c>
    </row>
    <row r="1384" spans="1:4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 t="str">
        <f>IF(Employee_data[[#This Row],[MonthlyIncome]]&lt;5000,"Low Income",
IF(Employee_data[[#This Row],[MonthlyIncome]]&lt;10000,"Medium Income","High Income"))</f>
        <v>Low Income</v>
      </c>
      <c r="U1384" t="s">
        <v>91</v>
      </c>
      <c r="V1384" t="s">
        <v>91</v>
      </c>
      <c r="W1384" t="s">
        <v>91</v>
      </c>
      <c r="X1384" t="s">
        <v>91</v>
      </c>
      <c r="Y1384">
        <v>3995</v>
      </c>
      <c r="Z1384">
        <v>1</v>
      </c>
      <c r="AA1384" t="s">
        <v>42</v>
      </c>
      <c r="AB1384" t="s">
        <v>35</v>
      </c>
      <c r="AC1384">
        <v>13</v>
      </c>
      <c r="AD1384">
        <v>3</v>
      </c>
      <c r="AE1384">
        <v>4</v>
      </c>
      <c r="AF1384">
        <v>80</v>
      </c>
      <c r="AG1384">
        <v>1</v>
      </c>
      <c r="AH138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84">
        <v>4</v>
      </c>
      <c r="AJ1384" t="s">
        <v>74</v>
      </c>
      <c r="AK1384">
        <v>3</v>
      </c>
      <c r="AL1384" t="s">
        <v>74</v>
      </c>
      <c r="AM1384">
        <v>4</v>
      </c>
      <c r="AN1384" t="s">
        <v>74</v>
      </c>
      <c r="AO1384">
        <v>4</v>
      </c>
      <c r="AP1384" t="s">
        <v>74</v>
      </c>
      <c r="AQ1384">
        <v>2</v>
      </c>
      <c r="AR1384">
        <v>2</v>
      </c>
      <c r="AS1384">
        <v>3</v>
      </c>
    </row>
    <row r="1385" spans="1:4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 t="str">
        <f>IF(Employee_data[[#This Row],[MonthlyIncome]]&lt;5000,"Low Income",
IF(Employee_data[[#This Row],[MonthlyIncome]]&lt;10000,"Medium Income","High Income"))</f>
        <v>Low Income</v>
      </c>
      <c r="U1385" t="s">
        <v>91</v>
      </c>
      <c r="V1385" t="s">
        <v>91</v>
      </c>
      <c r="W1385" t="s">
        <v>91</v>
      </c>
      <c r="X1385" t="s">
        <v>91</v>
      </c>
      <c r="Y1385">
        <v>9238</v>
      </c>
      <c r="Z1385">
        <v>1</v>
      </c>
      <c r="AA1385" t="s">
        <v>42</v>
      </c>
      <c r="AB1385" t="s">
        <v>43</v>
      </c>
      <c r="AC1385">
        <v>22</v>
      </c>
      <c r="AD1385">
        <v>4</v>
      </c>
      <c r="AE1385">
        <v>2</v>
      </c>
      <c r="AF1385">
        <v>80</v>
      </c>
      <c r="AG1385">
        <v>0</v>
      </c>
      <c r="AH138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85">
        <v>5</v>
      </c>
      <c r="AJ1385" t="s">
        <v>78</v>
      </c>
      <c r="AK1385">
        <v>3</v>
      </c>
      <c r="AL1385" t="s">
        <v>78</v>
      </c>
      <c r="AM1385">
        <v>3</v>
      </c>
      <c r="AN1385" t="s">
        <v>78</v>
      </c>
      <c r="AO1385">
        <v>5</v>
      </c>
      <c r="AP1385" t="s">
        <v>78</v>
      </c>
      <c r="AQ1385">
        <v>4</v>
      </c>
      <c r="AR1385">
        <v>0</v>
      </c>
      <c r="AS1385">
        <v>2</v>
      </c>
    </row>
    <row r="1386" spans="1:4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 t="str">
        <f>IF(Employee_data[[#This Row],[MonthlyIncome]]&lt;5000,"Low Income",
IF(Employee_data[[#This Row],[MonthlyIncome]]&lt;10000,"Medium Income","High Income"))</f>
        <v>Medium Income</v>
      </c>
      <c r="U1386" t="s">
        <v>92</v>
      </c>
      <c r="V1386" t="s">
        <v>92</v>
      </c>
      <c r="W1386" t="s">
        <v>92</v>
      </c>
      <c r="X1386" t="s">
        <v>92</v>
      </c>
      <c r="Y1386">
        <v>6770</v>
      </c>
      <c r="Z1386">
        <v>1</v>
      </c>
      <c r="AA1386" t="s">
        <v>42</v>
      </c>
      <c r="AB1386" t="s">
        <v>43</v>
      </c>
      <c r="AC1386">
        <v>21</v>
      </c>
      <c r="AD1386">
        <v>4</v>
      </c>
      <c r="AE1386">
        <v>1</v>
      </c>
      <c r="AF1386">
        <v>80</v>
      </c>
      <c r="AG1386">
        <v>0</v>
      </c>
      <c r="AH138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86">
        <v>14</v>
      </c>
      <c r="AJ1386" t="s">
        <v>75</v>
      </c>
      <c r="AK1386">
        <v>3</v>
      </c>
      <c r="AL1386" t="s">
        <v>75</v>
      </c>
      <c r="AM1386">
        <v>2</v>
      </c>
      <c r="AN1386" t="s">
        <v>75</v>
      </c>
      <c r="AO1386">
        <v>14</v>
      </c>
      <c r="AP1386" t="s">
        <v>75</v>
      </c>
      <c r="AQ1386">
        <v>8</v>
      </c>
      <c r="AR1386">
        <v>2</v>
      </c>
      <c r="AS1386">
        <v>1</v>
      </c>
    </row>
    <row r="1387" spans="1:4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 t="str">
        <f>IF(Employee_data[[#This Row],[MonthlyIncome]]&lt;5000,"Low Income",
IF(Employee_data[[#This Row],[MonthlyIncome]]&lt;10000,"Medium Income","High Income"))</f>
        <v>Medium Income</v>
      </c>
      <c r="U1387" t="s">
        <v>92</v>
      </c>
      <c r="V1387" t="s">
        <v>92</v>
      </c>
      <c r="W1387" t="s">
        <v>92</v>
      </c>
      <c r="X1387" t="s">
        <v>92</v>
      </c>
      <c r="Y1387">
        <v>22914</v>
      </c>
      <c r="Z1387">
        <v>1</v>
      </c>
      <c r="AA1387" t="s">
        <v>42</v>
      </c>
      <c r="AB1387" t="s">
        <v>43</v>
      </c>
      <c r="AC1387">
        <v>18</v>
      </c>
      <c r="AD1387">
        <v>3</v>
      </c>
      <c r="AE1387">
        <v>3</v>
      </c>
      <c r="AF1387">
        <v>80</v>
      </c>
      <c r="AG1387">
        <v>1</v>
      </c>
      <c r="AH138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87">
        <v>9</v>
      </c>
      <c r="AJ1387" t="s">
        <v>78</v>
      </c>
      <c r="AK1387">
        <v>2</v>
      </c>
      <c r="AL1387" t="s">
        <v>78</v>
      </c>
      <c r="AM1387">
        <v>2</v>
      </c>
      <c r="AN1387" t="s">
        <v>78</v>
      </c>
      <c r="AO1387">
        <v>8</v>
      </c>
      <c r="AP1387" t="s">
        <v>78</v>
      </c>
      <c r="AQ1387">
        <v>7</v>
      </c>
      <c r="AR1387">
        <v>1</v>
      </c>
      <c r="AS1387">
        <v>1</v>
      </c>
    </row>
    <row r="1388" spans="1:4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 t="str">
        <f>IF(Employee_data[[#This Row],[MonthlyIncome]]&lt;5000,"Low Income",
IF(Employee_data[[#This Row],[MonthlyIncome]]&lt;10000,"Medium Income","High Income"))</f>
        <v>Low Income</v>
      </c>
      <c r="U1388" t="s">
        <v>91</v>
      </c>
      <c r="V1388" t="s">
        <v>91</v>
      </c>
      <c r="W1388" t="s">
        <v>91</v>
      </c>
      <c r="X1388" t="s">
        <v>91</v>
      </c>
      <c r="Y1388">
        <v>20006</v>
      </c>
      <c r="Z1388">
        <v>0</v>
      </c>
      <c r="AA1388" t="s">
        <v>42</v>
      </c>
      <c r="AB1388" t="s">
        <v>43</v>
      </c>
      <c r="AC1388">
        <v>13</v>
      </c>
      <c r="AD1388">
        <v>3</v>
      </c>
      <c r="AE1388">
        <v>4</v>
      </c>
      <c r="AF1388">
        <v>80</v>
      </c>
      <c r="AG1388">
        <v>0</v>
      </c>
      <c r="AH138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88">
        <v>8</v>
      </c>
      <c r="AJ1388" t="s">
        <v>78</v>
      </c>
      <c r="AK1388">
        <v>6</v>
      </c>
      <c r="AL1388" t="s">
        <v>78</v>
      </c>
      <c r="AM1388">
        <v>2</v>
      </c>
      <c r="AN1388" t="s">
        <v>78</v>
      </c>
      <c r="AO1388">
        <v>7</v>
      </c>
      <c r="AP1388" t="s">
        <v>78</v>
      </c>
      <c r="AQ1388">
        <v>7</v>
      </c>
      <c r="AR1388">
        <v>7</v>
      </c>
      <c r="AS1388">
        <v>6</v>
      </c>
    </row>
    <row r="1389" spans="1:4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 t="str">
        <f>IF(Employee_data[[#This Row],[MonthlyIncome]]&lt;5000,"Low Income",
IF(Employee_data[[#This Row],[MonthlyIncome]]&lt;10000,"Medium Income","High Income"))</f>
        <v>Medium Income</v>
      </c>
      <c r="U1389" t="s">
        <v>92</v>
      </c>
      <c r="V1389" t="s">
        <v>92</v>
      </c>
      <c r="W1389" t="s">
        <v>92</v>
      </c>
      <c r="X1389" t="s">
        <v>92</v>
      </c>
      <c r="Y1389">
        <v>6225</v>
      </c>
      <c r="Z1389">
        <v>0</v>
      </c>
      <c r="AA1389" t="s">
        <v>42</v>
      </c>
      <c r="AB1389" t="s">
        <v>43</v>
      </c>
      <c r="AC1389">
        <v>12</v>
      </c>
      <c r="AD1389">
        <v>3</v>
      </c>
      <c r="AE1389">
        <v>1</v>
      </c>
      <c r="AF1389">
        <v>80</v>
      </c>
      <c r="AG1389">
        <v>1</v>
      </c>
      <c r="AH138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89">
        <v>6</v>
      </c>
      <c r="AJ1389" t="s">
        <v>78</v>
      </c>
      <c r="AK1389">
        <v>5</v>
      </c>
      <c r="AL1389" t="s">
        <v>78</v>
      </c>
      <c r="AM1389">
        <v>2</v>
      </c>
      <c r="AN1389" t="s">
        <v>78</v>
      </c>
      <c r="AO1389">
        <v>5</v>
      </c>
      <c r="AP1389" t="s">
        <v>78</v>
      </c>
      <c r="AQ1389">
        <v>3</v>
      </c>
      <c r="AR1389">
        <v>0</v>
      </c>
      <c r="AS1389">
        <v>2</v>
      </c>
    </row>
    <row r="1390" spans="1:4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 t="str">
        <f>IF(Employee_data[[#This Row],[MonthlyIncome]]&lt;5000,"Low Income",
IF(Employee_data[[#This Row],[MonthlyIncome]]&lt;10000,"Medium Income","High Income"))</f>
        <v>Medium Income</v>
      </c>
      <c r="U1390" t="s">
        <v>92</v>
      </c>
      <c r="V1390" t="s">
        <v>92</v>
      </c>
      <c r="W1390" t="s">
        <v>92</v>
      </c>
      <c r="X1390" t="s">
        <v>92</v>
      </c>
      <c r="Y1390">
        <v>16542</v>
      </c>
      <c r="Z1390">
        <v>5</v>
      </c>
      <c r="AA1390" t="s">
        <v>42</v>
      </c>
      <c r="AB1390" t="s">
        <v>43</v>
      </c>
      <c r="AC1390">
        <v>18</v>
      </c>
      <c r="AD1390">
        <v>3</v>
      </c>
      <c r="AE1390">
        <v>2</v>
      </c>
      <c r="AF1390">
        <v>80</v>
      </c>
      <c r="AG1390">
        <v>1</v>
      </c>
      <c r="AH139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90">
        <v>9</v>
      </c>
      <c r="AJ1390" t="s">
        <v>78</v>
      </c>
      <c r="AK1390">
        <v>6</v>
      </c>
      <c r="AL1390" t="s">
        <v>78</v>
      </c>
      <c r="AM1390">
        <v>3</v>
      </c>
      <c r="AN1390" t="s">
        <v>78</v>
      </c>
      <c r="AO1390">
        <v>5</v>
      </c>
      <c r="AP1390" t="s">
        <v>78</v>
      </c>
      <c r="AQ1390">
        <v>1</v>
      </c>
      <c r="AR1390">
        <v>1</v>
      </c>
      <c r="AS1390">
        <v>2</v>
      </c>
    </row>
    <row r="1391" spans="1:4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 t="str">
        <f>IF(Employee_data[[#This Row],[MonthlyIncome]]&lt;5000,"Low Income",
IF(Employee_data[[#This Row],[MonthlyIncome]]&lt;10000,"Medium Income","High Income"))</f>
        <v>Medium Income</v>
      </c>
      <c r="U1391" t="s">
        <v>92</v>
      </c>
      <c r="V1391" t="s">
        <v>92</v>
      </c>
      <c r="W1391" t="s">
        <v>92</v>
      </c>
      <c r="X1391" t="s">
        <v>92</v>
      </c>
      <c r="Y1391">
        <v>5771</v>
      </c>
      <c r="Z1391">
        <v>1</v>
      </c>
      <c r="AA1391" t="s">
        <v>42</v>
      </c>
      <c r="AB1391" t="s">
        <v>43</v>
      </c>
      <c r="AC1391">
        <v>21</v>
      </c>
      <c r="AD1391">
        <v>4</v>
      </c>
      <c r="AE1391">
        <v>2</v>
      </c>
      <c r="AF1391">
        <v>80</v>
      </c>
      <c r="AG1391">
        <v>0</v>
      </c>
      <c r="AH139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91">
        <v>10</v>
      </c>
      <c r="AJ1391" t="s">
        <v>75</v>
      </c>
      <c r="AK1391">
        <v>6</v>
      </c>
      <c r="AL1391" t="s">
        <v>75</v>
      </c>
      <c r="AM1391">
        <v>3</v>
      </c>
      <c r="AN1391" t="s">
        <v>75</v>
      </c>
      <c r="AO1391">
        <v>10</v>
      </c>
      <c r="AP1391" t="s">
        <v>75</v>
      </c>
      <c r="AQ1391">
        <v>8</v>
      </c>
      <c r="AR1391">
        <v>8</v>
      </c>
      <c r="AS1391">
        <v>7</v>
      </c>
    </row>
    <row r="1392" spans="1:4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 t="str">
        <f>IF(Employee_data[[#This Row],[MonthlyIncome]]&lt;5000,"Low Income",
IF(Employee_data[[#This Row],[MonthlyIncome]]&lt;10000,"Medium Income","High Income"))</f>
        <v>Low Income</v>
      </c>
      <c r="U1392" t="s">
        <v>91</v>
      </c>
      <c r="V1392" t="s">
        <v>91</v>
      </c>
      <c r="W1392" t="s">
        <v>91</v>
      </c>
      <c r="X1392" t="s">
        <v>91</v>
      </c>
      <c r="Y1392">
        <v>18779</v>
      </c>
      <c r="Z1392">
        <v>5</v>
      </c>
      <c r="AA1392" t="s">
        <v>42</v>
      </c>
      <c r="AB1392" t="s">
        <v>43</v>
      </c>
      <c r="AC1392">
        <v>12</v>
      </c>
      <c r="AD1392">
        <v>3</v>
      </c>
      <c r="AE1392">
        <v>1</v>
      </c>
      <c r="AF1392">
        <v>80</v>
      </c>
      <c r="AG1392">
        <v>1</v>
      </c>
      <c r="AH139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92">
        <v>6</v>
      </c>
      <c r="AJ1392" t="s">
        <v>74</v>
      </c>
      <c r="AK1392">
        <v>2</v>
      </c>
      <c r="AL1392" t="s">
        <v>74</v>
      </c>
      <c r="AM1392">
        <v>2</v>
      </c>
      <c r="AN1392" t="s">
        <v>74</v>
      </c>
      <c r="AO1392">
        <v>4</v>
      </c>
      <c r="AP1392" t="s">
        <v>74</v>
      </c>
      <c r="AQ1392">
        <v>1</v>
      </c>
      <c r="AR1392">
        <v>0</v>
      </c>
      <c r="AS1392">
        <v>3</v>
      </c>
    </row>
    <row r="1393" spans="1:4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 t="str">
        <f>IF(Employee_data[[#This Row],[MonthlyIncome]]&lt;5000,"Low Income",
IF(Employee_data[[#This Row],[MonthlyIncome]]&lt;10000,"Medium Income","High Income"))</f>
        <v>Low Income</v>
      </c>
      <c r="U1393" t="s">
        <v>91</v>
      </c>
      <c r="V1393" t="s">
        <v>91</v>
      </c>
      <c r="W1393" t="s">
        <v>91</v>
      </c>
      <c r="X1393" t="s">
        <v>91</v>
      </c>
      <c r="Y1393">
        <v>11473</v>
      </c>
      <c r="Z1393">
        <v>4</v>
      </c>
      <c r="AA1393" t="s">
        <v>42</v>
      </c>
      <c r="AB1393" t="s">
        <v>43</v>
      </c>
      <c r="AC1393">
        <v>14</v>
      </c>
      <c r="AD1393">
        <v>3</v>
      </c>
      <c r="AE1393">
        <v>1</v>
      </c>
      <c r="AF1393">
        <v>80</v>
      </c>
      <c r="AG1393">
        <v>0</v>
      </c>
      <c r="AH139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93">
        <v>20</v>
      </c>
      <c r="AJ1393" t="s">
        <v>74</v>
      </c>
      <c r="AK1393">
        <v>3</v>
      </c>
      <c r="AL1393" t="s">
        <v>74</v>
      </c>
      <c r="AM1393">
        <v>2</v>
      </c>
      <c r="AN1393" t="s">
        <v>74</v>
      </c>
      <c r="AO1393">
        <v>1</v>
      </c>
      <c r="AP1393" t="s">
        <v>74</v>
      </c>
      <c r="AQ1393">
        <v>0</v>
      </c>
      <c r="AR1393">
        <v>0</v>
      </c>
      <c r="AS1393">
        <v>0</v>
      </c>
    </row>
    <row r="1394" spans="1:4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 t="str">
        <f>IF(Employee_data[[#This Row],[MonthlyIncome]]&lt;5000,"Low Income",
IF(Employee_data[[#This Row],[MonthlyIncome]]&lt;10000,"Medium Income","High Income"))</f>
        <v>Medium Income</v>
      </c>
      <c r="U1394" t="s">
        <v>92</v>
      </c>
      <c r="V1394" t="s">
        <v>92</v>
      </c>
      <c r="W1394" t="s">
        <v>92</v>
      </c>
      <c r="X1394" t="s">
        <v>92</v>
      </c>
      <c r="Y1394">
        <v>13586</v>
      </c>
      <c r="Z1394">
        <v>1</v>
      </c>
      <c r="AA1394" t="s">
        <v>42</v>
      </c>
      <c r="AB1394" t="s">
        <v>35</v>
      </c>
      <c r="AC1394">
        <v>11</v>
      </c>
      <c r="AD1394">
        <v>3</v>
      </c>
      <c r="AE1394">
        <v>4</v>
      </c>
      <c r="AF1394">
        <v>80</v>
      </c>
      <c r="AG1394">
        <v>0</v>
      </c>
      <c r="AH139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94">
        <v>10</v>
      </c>
      <c r="AJ1394" t="s">
        <v>75</v>
      </c>
      <c r="AK1394">
        <v>2</v>
      </c>
      <c r="AL1394" t="s">
        <v>75</v>
      </c>
      <c r="AM1394">
        <v>3</v>
      </c>
      <c r="AN1394" t="s">
        <v>75</v>
      </c>
      <c r="AO1394">
        <v>10</v>
      </c>
      <c r="AP1394" t="s">
        <v>75</v>
      </c>
      <c r="AQ1394">
        <v>8</v>
      </c>
      <c r="AR1394">
        <v>0</v>
      </c>
      <c r="AS1394">
        <v>9</v>
      </c>
    </row>
    <row r="1395" spans="1:4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 t="str">
        <f>IF(Employee_data[[#This Row],[MonthlyIncome]]&lt;5000,"Low Income",
IF(Employee_data[[#This Row],[MonthlyIncome]]&lt;10000,"Medium Income","High Income"))</f>
        <v>Low Income</v>
      </c>
      <c r="U1395" t="s">
        <v>91</v>
      </c>
      <c r="V1395" t="s">
        <v>91</v>
      </c>
      <c r="W1395" t="s">
        <v>91</v>
      </c>
      <c r="X1395" t="s">
        <v>91</v>
      </c>
      <c r="Y1395">
        <v>5099</v>
      </c>
      <c r="Z1395">
        <v>1</v>
      </c>
      <c r="AA1395" t="s">
        <v>42</v>
      </c>
      <c r="AB1395" t="s">
        <v>43</v>
      </c>
      <c r="AC1395">
        <v>14</v>
      </c>
      <c r="AD1395">
        <v>3</v>
      </c>
      <c r="AE1395">
        <v>1</v>
      </c>
      <c r="AF1395">
        <v>80</v>
      </c>
      <c r="AG1395">
        <v>0</v>
      </c>
      <c r="AH139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395">
        <v>7</v>
      </c>
      <c r="AJ1395" t="s">
        <v>78</v>
      </c>
      <c r="AK1395">
        <v>5</v>
      </c>
      <c r="AL1395" t="s">
        <v>78</v>
      </c>
      <c r="AM1395">
        <v>3</v>
      </c>
      <c r="AN1395" t="s">
        <v>78</v>
      </c>
      <c r="AO1395">
        <v>7</v>
      </c>
      <c r="AP1395" t="s">
        <v>78</v>
      </c>
      <c r="AQ1395">
        <v>7</v>
      </c>
      <c r="AR1395">
        <v>0</v>
      </c>
      <c r="AS1395">
        <v>7</v>
      </c>
    </row>
    <row r="1396" spans="1:4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 t="str">
        <f>IF(Employee_data[[#This Row],[MonthlyIncome]]&lt;5000,"Low Income",
IF(Employee_data[[#This Row],[MonthlyIncome]]&lt;10000,"Medium Income","High Income"))</f>
        <v>Medium Income</v>
      </c>
      <c r="U1396" t="s">
        <v>92</v>
      </c>
      <c r="V1396" t="s">
        <v>92</v>
      </c>
      <c r="W1396" t="s">
        <v>92</v>
      </c>
      <c r="X1396" t="s">
        <v>92</v>
      </c>
      <c r="Y1396">
        <v>10138</v>
      </c>
      <c r="Z1396">
        <v>8</v>
      </c>
      <c r="AA1396" t="s">
        <v>42</v>
      </c>
      <c r="AB1396" t="s">
        <v>43</v>
      </c>
      <c r="AC1396">
        <v>24</v>
      </c>
      <c r="AD1396">
        <v>4</v>
      </c>
      <c r="AE1396">
        <v>2</v>
      </c>
      <c r="AF1396">
        <v>80</v>
      </c>
      <c r="AG1396">
        <v>0</v>
      </c>
      <c r="AH139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96">
        <v>8</v>
      </c>
      <c r="AJ1396" t="s">
        <v>74</v>
      </c>
      <c r="AK1396">
        <v>1</v>
      </c>
      <c r="AL1396" t="s">
        <v>74</v>
      </c>
      <c r="AM1396">
        <v>3</v>
      </c>
      <c r="AN1396" t="s">
        <v>74</v>
      </c>
      <c r="AO1396">
        <v>1</v>
      </c>
      <c r="AP1396" t="s">
        <v>74</v>
      </c>
      <c r="AQ1396">
        <v>0</v>
      </c>
      <c r="AR1396">
        <v>0</v>
      </c>
      <c r="AS1396">
        <v>0</v>
      </c>
    </row>
    <row r="1397" spans="1:4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 t="str">
        <f>IF(Employee_data[[#This Row],[MonthlyIncome]]&lt;5000,"Low Income",
IF(Employee_data[[#This Row],[MonthlyIncome]]&lt;10000,"Medium Income","High Income"))</f>
        <v>Medium Income</v>
      </c>
      <c r="U1397" t="s">
        <v>92</v>
      </c>
      <c r="V1397" t="s">
        <v>92</v>
      </c>
      <c r="W1397" t="s">
        <v>92</v>
      </c>
      <c r="X1397" t="s">
        <v>92</v>
      </c>
      <c r="Y1397">
        <v>21075</v>
      </c>
      <c r="Z1397">
        <v>1</v>
      </c>
      <c r="AA1397" t="s">
        <v>42</v>
      </c>
      <c r="AB1397" t="s">
        <v>35</v>
      </c>
      <c r="AC1397">
        <v>11</v>
      </c>
      <c r="AD1397">
        <v>3</v>
      </c>
      <c r="AE1397">
        <v>3</v>
      </c>
      <c r="AF1397">
        <v>80</v>
      </c>
      <c r="AG1397">
        <v>0</v>
      </c>
      <c r="AH139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397">
        <v>10</v>
      </c>
      <c r="AJ1397" t="s">
        <v>75</v>
      </c>
      <c r="AK1397">
        <v>4</v>
      </c>
      <c r="AL1397" t="s">
        <v>75</v>
      </c>
      <c r="AM1397">
        <v>3</v>
      </c>
      <c r="AN1397" t="s">
        <v>75</v>
      </c>
      <c r="AO1397">
        <v>10</v>
      </c>
      <c r="AP1397" t="s">
        <v>75</v>
      </c>
      <c r="AQ1397">
        <v>7</v>
      </c>
      <c r="AR1397">
        <v>0</v>
      </c>
      <c r="AS1397">
        <v>8</v>
      </c>
    </row>
    <row r="1398" spans="1:4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 t="str">
        <f>IF(Employee_data[[#This Row],[MonthlyIncome]]&lt;5000,"Low Income",
IF(Employee_data[[#This Row],[MonthlyIncome]]&lt;10000,"Medium Income","High Income"))</f>
        <v>High Income</v>
      </c>
      <c r="U1398" t="s">
        <v>90</v>
      </c>
      <c r="V1398" t="s">
        <v>90</v>
      </c>
      <c r="W1398" t="s">
        <v>90</v>
      </c>
      <c r="X1398" t="s">
        <v>90</v>
      </c>
      <c r="Y1398">
        <v>5843</v>
      </c>
      <c r="Z1398">
        <v>6</v>
      </c>
      <c r="AA1398" t="s">
        <v>42</v>
      </c>
      <c r="AB1398" t="s">
        <v>35</v>
      </c>
      <c r="AC1398">
        <v>13</v>
      </c>
      <c r="AD1398">
        <v>3</v>
      </c>
      <c r="AE1398">
        <v>2</v>
      </c>
      <c r="AF1398">
        <v>80</v>
      </c>
      <c r="AG1398">
        <v>0</v>
      </c>
      <c r="AH139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98">
        <v>15</v>
      </c>
      <c r="AJ1398" t="s">
        <v>74</v>
      </c>
      <c r="AK1398">
        <v>2</v>
      </c>
      <c r="AL1398" t="s">
        <v>74</v>
      </c>
      <c r="AM1398">
        <v>2</v>
      </c>
      <c r="AN1398" t="s">
        <v>74</v>
      </c>
      <c r="AO1398">
        <v>2</v>
      </c>
      <c r="AP1398" t="s">
        <v>74</v>
      </c>
      <c r="AQ1398">
        <v>2</v>
      </c>
      <c r="AR1398">
        <v>2</v>
      </c>
      <c r="AS1398">
        <v>2</v>
      </c>
    </row>
    <row r="1399" spans="1:4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 t="str">
        <f>IF(Employee_data[[#This Row],[MonthlyIncome]]&lt;5000,"Low Income",
IF(Employee_data[[#This Row],[MonthlyIncome]]&lt;10000,"Medium Income","High Income"))</f>
        <v>Low Income</v>
      </c>
      <c r="U1399" t="s">
        <v>91</v>
      </c>
      <c r="V1399" t="s">
        <v>91</v>
      </c>
      <c r="W1399" t="s">
        <v>91</v>
      </c>
      <c r="X1399" t="s">
        <v>91</v>
      </c>
      <c r="Y1399">
        <v>22474</v>
      </c>
      <c r="Z1399">
        <v>3</v>
      </c>
      <c r="AA1399" t="s">
        <v>42</v>
      </c>
      <c r="AB1399" t="s">
        <v>43</v>
      </c>
      <c r="AC1399">
        <v>11</v>
      </c>
      <c r="AD1399">
        <v>3</v>
      </c>
      <c r="AE1399">
        <v>3</v>
      </c>
      <c r="AF1399">
        <v>80</v>
      </c>
      <c r="AG1399">
        <v>2</v>
      </c>
      <c r="AH139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399">
        <v>9</v>
      </c>
      <c r="AJ1399" t="s">
        <v>74</v>
      </c>
      <c r="AK1399">
        <v>6</v>
      </c>
      <c r="AL1399" t="s">
        <v>74</v>
      </c>
      <c r="AM1399">
        <v>2</v>
      </c>
      <c r="AN1399" t="s">
        <v>74</v>
      </c>
      <c r="AO1399">
        <v>4</v>
      </c>
      <c r="AP1399" t="s">
        <v>74</v>
      </c>
      <c r="AQ1399">
        <v>3</v>
      </c>
      <c r="AR1399">
        <v>2</v>
      </c>
      <c r="AS1399">
        <v>3</v>
      </c>
    </row>
    <row r="1400" spans="1:4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 t="str">
        <f>IF(Employee_data[[#This Row],[MonthlyIncome]]&lt;5000,"Low Income",
IF(Employee_data[[#This Row],[MonthlyIncome]]&lt;10000,"Medium Income","High Income"))</f>
        <v>Medium Income</v>
      </c>
      <c r="U1400" t="s">
        <v>92</v>
      </c>
      <c r="V1400" t="s">
        <v>92</v>
      </c>
      <c r="W1400" t="s">
        <v>92</v>
      </c>
      <c r="X1400" t="s">
        <v>92</v>
      </c>
      <c r="Y1400">
        <v>18079</v>
      </c>
      <c r="Z1400">
        <v>1</v>
      </c>
      <c r="AA1400" t="s">
        <v>42</v>
      </c>
      <c r="AB1400" t="s">
        <v>43</v>
      </c>
      <c r="AC1400">
        <v>20</v>
      </c>
      <c r="AD1400">
        <v>4</v>
      </c>
      <c r="AE1400">
        <v>3</v>
      </c>
      <c r="AF1400">
        <v>80</v>
      </c>
      <c r="AG1400">
        <v>3</v>
      </c>
      <c r="AH140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00">
        <v>9</v>
      </c>
      <c r="AJ1400" t="s">
        <v>78</v>
      </c>
      <c r="AK1400">
        <v>2</v>
      </c>
      <c r="AL1400" t="s">
        <v>78</v>
      </c>
      <c r="AM1400">
        <v>3</v>
      </c>
      <c r="AN1400" t="s">
        <v>78</v>
      </c>
      <c r="AO1400">
        <v>9</v>
      </c>
      <c r="AP1400" t="s">
        <v>78</v>
      </c>
      <c r="AQ1400">
        <v>7</v>
      </c>
      <c r="AR1400">
        <v>2</v>
      </c>
      <c r="AS1400">
        <v>8</v>
      </c>
    </row>
    <row r="1401" spans="1:4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 t="str">
        <f>IF(Employee_data[[#This Row],[MonthlyIncome]]&lt;5000,"Low Income",
IF(Employee_data[[#This Row],[MonthlyIncome]]&lt;10000,"Medium Income","High Income"))</f>
        <v>Medium Income</v>
      </c>
      <c r="U1401" t="s">
        <v>92</v>
      </c>
      <c r="V1401" t="s">
        <v>92</v>
      </c>
      <c r="W1401" t="s">
        <v>92</v>
      </c>
      <c r="X1401" t="s">
        <v>92</v>
      </c>
      <c r="Y1401">
        <v>16873</v>
      </c>
      <c r="Z1401">
        <v>1</v>
      </c>
      <c r="AA1401" t="s">
        <v>42</v>
      </c>
      <c r="AB1401" t="s">
        <v>43</v>
      </c>
      <c r="AC1401">
        <v>17</v>
      </c>
      <c r="AD1401">
        <v>3</v>
      </c>
      <c r="AE1401">
        <v>2</v>
      </c>
      <c r="AF1401">
        <v>80</v>
      </c>
      <c r="AG1401">
        <v>1</v>
      </c>
      <c r="AH140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01">
        <v>10</v>
      </c>
      <c r="AJ1401" t="s">
        <v>75</v>
      </c>
      <c r="AK1401">
        <v>1</v>
      </c>
      <c r="AL1401" t="s">
        <v>75</v>
      </c>
      <c r="AM1401">
        <v>3</v>
      </c>
      <c r="AN1401" t="s">
        <v>75</v>
      </c>
      <c r="AO1401">
        <v>10</v>
      </c>
      <c r="AP1401" t="s">
        <v>75</v>
      </c>
      <c r="AQ1401">
        <v>9</v>
      </c>
      <c r="AR1401">
        <v>0</v>
      </c>
      <c r="AS1401">
        <v>9</v>
      </c>
    </row>
    <row r="1402" spans="1:4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 t="str">
        <f>IF(Employee_data[[#This Row],[MonthlyIncome]]&lt;5000,"Low Income",
IF(Employee_data[[#This Row],[MonthlyIncome]]&lt;10000,"Medium Income","High Income"))</f>
        <v>Low Income</v>
      </c>
      <c r="U1402" t="s">
        <v>91</v>
      </c>
      <c r="V1402" t="s">
        <v>91</v>
      </c>
      <c r="W1402" t="s">
        <v>91</v>
      </c>
      <c r="X1402" t="s">
        <v>91</v>
      </c>
      <c r="Y1402">
        <v>5224</v>
      </c>
      <c r="Z1402">
        <v>0</v>
      </c>
      <c r="AA1402" t="s">
        <v>42</v>
      </c>
      <c r="AB1402" t="s">
        <v>35</v>
      </c>
      <c r="AC1402">
        <v>11</v>
      </c>
      <c r="AD1402">
        <v>3</v>
      </c>
      <c r="AE1402">
        <v>2</v>
      </c>
      <c r="AF1402">
        <v>80</v>
      </c>
      <c r="AG1402">
        <v>1</v>
      </c>
      <c r="AH140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02">
        <v>7</v>
      </c>
      <c r="AJ1402" t="s">
        <v>78</v>
      </c>
      <c r="AK1402">
        <v>2</v>
      </c>
      <c r="AL1402" t="s">
        <v>78</v>
      </c>
      <c r="AM1402">
        <v>3</v>
      </c>
      <c r="AN1402" t="s">
        <v>78</v>
      </c>
      <c r="AO1402">
        <v>6</v>
      </c>
      <c r="AP1402" t="s">
        <v>78</v>
      </c>
      <c r="AQ1402">
        <v>2</v>
      </c>
      <c r="AR1402">
        <v>1</v>
      </c>
      <c r="AS1402">
        <v>2</v>
      </c>
    </row>
    <row r="1403" spans="1:4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 t="str">
        <f>IF(Employee_data[[#This Row],[MonthlyIncome]]&lt;5000,"Low Income",
IF(Employee_data[[#This Row],[MonthlyIncome]]&lt;10000,"Medium Income","High Income"))</f>
        <v>High Income</v>
      </c>
      <c r="U1403" t="s">
        <v>90</v>
      </c>
      <c r="V1403" t="s">
        <v>90</v>
      </c>
      <c r="W1403" t="s">
        <v>90</v>
      </c>
      <c r="X1403" t="s">
        <v>90</v>
      </c>
      <c r="Y1403">
        <v>25811</v>
      </c>
      <c r="Z1403">
        <v>4</v>
      </c>
      <c r="AA1403" t="s">
        <v>42</v>
      </c>
      <c r="AB1403" t="s">
        <v>35</v>
      </c>
      <c r="AC1403">
        <v>18</v>
      </c>
      <c r="AD1403">
        <v>3</v>
      </c>
      <c r="AE1403">
        <v>1</v>
      </c>
      <c r="AF1403">
        <v>80</v>
      </c>
      <c r="AG1403">
        <v>1</v>
      </c>
      <c r="AH140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03">
        <v>35</v>
      </c>
      <c r="AJ1403" t="s">
        <v>75</v>
      </c>
      <c r="AK1403">
        <v>0</v>
      </c>
      <c r="AL1403" t="s">
        <v>75</v>
      </c>
      <c r="AM1403">
        <v>3</v>
      </c>
      <c r="AN1403" t="s">
        <v>75</v>
      </c>
      <c r="AO1403">
        <v>10</v>
      </c>
      <c r="AP1403" t="s">
        <v>75</v>
      </c>
      <c r="AQ1403">
        <v>9</v>
      </c>
      <c r="AR1403">
        <v>1</v>
      </c>
      <c r="AS1403">
        <v>4</v>
      </c>
    </row>
    <row r="1404" spans="1:4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 t="str">
        <f>IF(Employee_data[[#This Row],[MonthlyIncome]]&lt;5000,"Low Income",
IF(Employee_data[[#This Row],[MonthlyIncome]]&lt;10000,"Medium Income","High Income"))</f>
        <v>Low Income</v>
      </c>
      <c r="U1404" t="s">
        <v>91</v>
      </c>
      <c r="V1404" t="s">
        <v>91</v>
      </c>
      <c r="W1404" t="s">
        <v>91</v>
      </c>
      <c r="X1404" t="s">
        <v>91</v>
      </c>
      <c r="Y1404">
        <v>17536</v>
      </c>
      <c r="Z1404">
        <v>1</v>
      </c>
      <c r="AA1404" t="s">
        <v>42</v>
      </c>
      <c r="AB1404" t="s">
        <v>35</v>
      </c>
      <c r="AC1404">
        <v>11</v>
      </c>
      <c r="AD1404">
        <v>3</v>
      </c>
      <c r="AE1404">
        <v>3</v>
      </c>
      <c r="AF1404">
        <v>80</v>
      </c>
      <c r="AG1404">
        <v>3</v>
      </c>
      <c r="AH140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04">
        <v>1</v>
      </c>
      <c r="AJ1404" t="s">
        <v>74</v>
      </c>
      <c r="AK1404">
        <v>4</v>
      </c>
      <c r="AL1404" t="s">
        <v>74</v>
      </c>
      <c r="AM1404">
        <v>3</v>
      </c>
      <c r="AN1404" t="s">
        <v>74</v>
      </c>
      <c r="AO1404">
        <v>1</v>
      </c>
      <c r="AP1404" t="s">
        <v>74</v>
      </c>
      <c r="AQ1404">
        <v>0</v>
      </c>
      <c r="AR1404">
        <v>0</v>
      </c>
      <c r="AS1404">
        <v>0</v>
      </c>
    </row>
    <row r="1405" spans="1:4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 t="str">
        <f>IF(Employee_data[[#This Row],[MonthlyIncome]]&lt;5000,"Low Income",
IF(Employee_data[[#This Row],[MonthlyIncome]]&lt;10000,"Medium Income","High Income"))</f>
        <v>High Income</v>
      </c>
      <c r="U1405" t="s">
        <v>90</v>
      </c>
      <c r="V1405" t="s">
        <v>90</v>
      </c>
      <c r="W1405" t="s">
        <v>90</v>
      </c>
      <c r="X1405" t="s">
        <v>90</v>
      </c>
      <c r="Y1405">
        <v>25098</v>
      </c>
      <c r="Z1405">
        <v>0</v>
      </c>
      <c r="AA1405" t="s">
        <v>42</v>
      </c>
      <c r="AB1405" t="s">
        <v>43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05">
        <v>21</v>
      </c>
      <c r="AJ1405" t="s">
        <v>76</v>
      </c>
      <c r="AK1405">
        <v>3</v>
      </c>
      <c r="AL1405" t="s">
        <v>76</v>
      </c>
      <c r="AM1405">
        <v>3</v>
      </c>
      <c r="AN1405" t="s">
        <v>76</v>
      </c>
      <c r="AO1405">
        <v>20</v>
      </c>
      <c r="AP1405" t="s">
        <v>76</v>
      </c>
      <c r="AQ1405">
        <v>8</v>
      </c>
      <c r="AR1405">
        <v>11</v>
      </c>
      <c r="AS1405">
        <v>10</v>
      </c>
    </row>
    <row r="1406" spans="1:4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 t="str">
        <f>IF(Employee_data[[#This Row],[MonthlyIncome]]&lt;5000,"Low Income",
IF(Employee_data[[#This Row],[MonthlyIncome]]&lt;10000,"Medium Income","High Income"))</f>
        <v>Low Income</v>
      </c>
      <c r="U1406" t="s">
        <v>91</v>
      </c>
      <c r="V1406" t="s">
        <v>91</v>
      </c>
      <c r="W1406" t="s">
        <v>91</v>
      </c>
      <c r="X1406" t="s">
        <v>91</v>
      </c>
      <c r="Y1406">
        <v>14811</v>
      </c>
      <c r="Z1406">
        <v>1</v>
      </c>
      <c r="AA1406" t="s">
        <v>42</v>
      </c>
      <c r="AB1406" t="s">
        <v>43</v>
      </c>
      <c r="AC1406">
        <v>12</v>
      </c>
      <c r="AD1406">
        <v>3</v>
      </c>
      <c r="AE1406">
        <v>4</v>
      </c>
      <c r="AF1406">
        <v>80</v>
      </c>
      <c r="AG1406">
        <v>0</v>
      </c>
      <c r="AH140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06">
        <v>20</v>
      </c>
      <c r="AJ1406" t="s">
        <v>76</v>
      </c>
      <c r="AK1406">
        <v>2</v>
      </c>
      <c r="AL1406" t="s">
        <v>76</v>
      </c>
      <c r="AM1406">
        <v>3</v>
      </c>
      <c r="AN1406" t="s">
        <v>76</v>
      </c>
      <c r="AO1406">
        <v>20</v>
      </c>
      <c r="AP1406" t="s">
        <v>76</v>
      </c>
      <c r="AQ1406">
        <v>9</v>
      </c>
      <c r="AR1406">
        <v>3</v>
      </c>
      <c r="AS1406">
        <v>7</v>
      </c>
    </row>
    <row r="1407" spans="1:4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 t="str">
        <f>IF(Employee_data[[#This Row],[MonthlyIncome]]&lt;5000,"Low Income",
IF(Employee_data[[#This Row],[MonthlyIncome]]&lt;10000,"Medium Income","High Income"))</f>
        <v>High Income</v>
      </c>
      <c r="U1407" t="s">
        <v>90</v>
      </c>
      <c r="V1407" t="s">
        <v>90</v>
      </c>
      <c r="W1407" t="s">
        <v>90</v>
      </c>
      <c r="X1407" t="s">
        <v>90</v>
      </c>
      <c r="Y1407">
        <v>26862</v>
      </c>
      <c r="Z1407">
        <v>4</v>
      </c>
      <c r="AA1407" t="s">
        <v>42</v>
      </c>
      <c r="AB1407" t="s">
        <v>43</v>
      </c>
      <c r="AC1407">
        <v>20</v>
      </c>
      <c r="AD1407">
        <v>4</v>
      </c>
      <c r="AE1407">
        <v>3</v>
      </c>
      <c r="AF1407">
        <v>80</v>
      </c>
      <c r="AG1407">
        <v>1</v>
      </c>
      <c r="AH140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07">
        <v>13</v>
      </c>
      <c r="AJ1407" t="s">
        <v>75</v>
      </c>
      <c r="AK1407">
        <v>2</v>
      </c>
      <c r="AL1407" t="s">
        <v>75</v>
      </c>
      <c r="AM1407">
        <v>4</v>
      </c>
      <c r="AN1407" t="s">
        <v>75</v>
      </c>
      <c r="AO1407">
        <v>11</v>
      </c>
      <c r="AP1407" t="s">
        <v>75</v>
      </c>
      <c r="AQ1407">
        <v>7</v>
      </c>
      <c r="AR1407">
        <v>4</v>
      </c>
      <c r="AS1407">
        <v>8</v>
      </c>
    </row>
    <row r="1408" spans="1:4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 t="str">
        <f>IF(Employee_data[[#This Row],[MonthlyIncome]]&lt;5000,"Low Income",
IF(Employee_data[[#This Row],[MonthlyIncome]]&lt;10000,"Medium Income","High Income"))</f>
        <v>Low Income</v>
      </c>
      <c r="U1408" t="s">
        <v>91</v>
      </c>
      <c r="V1408" t="s">
        <v>91</v>
      </c>
      <c r="W1408" t="s">
        <v>91</v>
      </c>
      <c r="X1408" t="s">
        <v>91</v>
      </c>
      <c r="Y1408">
        <v>25198</v>
      </c>
      <c r="Z1408">
        <v>6</v>
      </c>
      <c r="AA1408" t="s">
        <v>42</v>
      </c>
      <c r="AB1408" t="s">
        <v>35</v>
      </c>
      <c r="AC1408">
        <v>19</v>
      </c>
      <c r="AD1408">
        <v>3</v>
      </c>
      <c r="AE1408">
        <v>4</v>
      </c>
      <c r="AF1408">
        <v>80</v>
      </c>
      <c r="AG1408">
        <v>0</v>
      </c>
      <c r="AH140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08">
        <v>9</v>
      </c>
      <c r="AJ1408" t="s">
        <v>78</v>
      </c>
      <c r="AK1408">
        <v>3</v>
      </c>
      <c r="AL1408" t="s">
        <v>78</v>
      </c>
      <c r="AM1408">
        <v>3</v>
      </c>
      <c r="AN1408" t="s">
        <v>78</v>
      </c>
      <c r="AO1408">
        <v>5</v>
      </c>
      <c r="AP1408" t="s">
        <v>78</v>
      </c>
      <c r="AQ1408">
        <v>2</v>
      </c>
      <c r="AR1408">
        <v>1</v>
      </c>
      <c r="AS1408">
        <v>4</v>
      </c>
    </row>
    <row r="1409" spans="1:4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 t="str">
        <f>IF(Employee_data[[#This Row],[MonthlyIncome]]&lt;5000,"Low Income",
IF(Employee_data[[#This Row],[MonthlyIncome]]&lt;10000,"Medium Income","High Income"))</f>
        <v>Low Income</v>
      </c>
      <c r="U1409" t="s">
        <v>91</v>
      </c>
      <c r="V1409" t="s">
        <v>91</v>
      </c>
      <c r="W1409" t="s">
        <v>91</v>
      </c>
      <c r="X1409" t="s">
        <v>91</v>
      </c>
      <c r="Y1409">
        <v>14120</v>
      </c>
      <c r="Z1409">
        <v>1</v>
      </c>
      <c r="AA1409" t="s">
        <v>42</v>
      </c>
      <c r="AB1409" t="s">
        <v>43</v>
      </c>
      <c r="AC1409">
        <v>12</v>
      </c>
      <c r="AD1409">
        <v>3</v>
      </c>
      <c r="AE1409">
        <v>2</v>
      </c>
      <c r="AF1409">
        <v>80</v>
      </c>
      <c r="AG1409">
        <v>0</v>
      </c>
      <c r="AH140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09">
        <v>4</v>
      </c>
      <c r="AJ1409" t="s">
        <v>74</v>
      </c>
      <c r="AK1409">
        <v>2</v>
      </c>
      <c r="AL1409" t="s">
        <v>74</v>
      </c>
      <c r="AM1409">
        <v>2</v>
      </c>
      <c r="AN1409" t="s">
        <v>74</v>
      </c>
      <c r="AO1409">
        <v>4</v>
      </c>
      <c r="AP1409" t="s">
        <v>74</v>
      </c>
      <c r="AQ1409">
        <v>3</v>
      </c>
      <c r="AR1409">
        <v>1</v>
      </c>
      <c r="AS1409">
        <v>2</v>
      </c>
    </row>
    <row r="1410" spans="1:4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 t="str">
        <f>IF(Employee_data[[#This Row],[MonthlyIncome]]&lt;5000,"Low Income",
IF(Employee_data[[#This Row],[MonthlyIncome]]&lt;10000,"Medium Income","High Income"))</f>
        <v>Low Income</v>
      </c>
      <c r="U1410" t="s">
        <v>91</v>
      </c>
      <c r="V1410" t="s">
        <v>91</v>
      </c>
      <c r="W1410" t="s">
        <v>91</v>
      </c>
      <c r="X1410" t="s">
        <v>91</v>
      </c>
      <c r="Y1410">
        <v>13672</v>
      </c>
      <c r="Z1410">
        <v>1</v>
      </c>
      <c r="AA1410" t="s">
        <v>42</v>
      </c>
      <c r="AB1410" t="s">
        <v>43</v>
      </c>
      <c r="AC1410">
        <v>13</v>
      </c>
      <c r="AD1410">
        <v>3</v>
      </c>
      <c r="AE1410">
        <v>3</v>
      </c>
      <c r="AF1410">
        <v>80</v>
      </c>
      <c r="AG1410">
        <v>0</v>
      </c>
      <c r="AH141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10">
        <v>5</v>
      </c>
      <c r="AJ1410" t="s">
        <v>78</v>
      </c>
      <c r="AK1410">
        <v>6</v>
      </c>
      <c r="AL1410" t="s">
        <v>78</v>
      </c>
      <c r="AM1410">
        <v>4</v>
      </c>
      <c r="AN1410" t="s">
        <v>78</v>
      </c>
      <c r="AO1410">
        <v>5</v>
      </c>
      <c r="AP1410" t="s">
        <v>78</v>
      </c>
      <c r="AQ1410">
        <v>2</v>
      </c>
      <c r="AR1410">
        <v>1</v>
      </c>
      <c r="AS1410">
        <v>4</v>
      </c>
    </row>
    <row r="1411" spans="1:4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 t="str">
        <f>IF(Employee_data[[#This Row],[MonthlyIncome]]&lt;5000,"Low Income",
IF(Employee_data[[#This Row],[MonthlyIncome]]&lt;10000,"Medium Income","High Income"))</f>
        <v>Medium Income</v>
      </c>
      <c r="U1411" t="s">
        <v>92</v>
      </c>
      <c r="V1411" t="s">
        <v>92</v>
      </c>
      <c r="W1411" t="s">
        <v>92</v>
      </c>
      <c r="X1411" t="s">
        <v>92</v>
      </c>
      <c r="Y1411">
        <v>26849</v>
      </c>
      <c r="Z1411">
        <v>1</v>
      </c>
      <c r="AA1411" t="s">
        <v>42</v>
      </c>
      <c r="AB1411" t="s">
        <v>43</v>
      </c>
      <c r="AC1411">
        <v>11</v>
      </c>
      <c r="AD1411">
        <v>3</v>
      </c>
      <c r="AE1411">
        <v>1</v>
      </c>
      <c r="AF1411">
        <v>80</v>
      </c>
      <c r="AG1411">
        <v>1</v>
      </c>
      <c r="AH141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11">
        <v>10</v>
      </c>
      <c r="AJ1411" t="s">
        <v>75</v>
      </c>
      <c r="AK1411">
        <v>2</v>
      </c>
      <c r="AL1411" t="s">
        <v>75</v>
      </c>
      <c r="AM1411">
        <v>4</v>
      </c>
      <c r="AN1411" t="s">
        <v>75</v>
      </c>
      <c r="AO1411">
        <v>10</v>
      </c>
      <c r="AP1411" t="s">
        <v>75</v>
      </c>
      <c r="AQ1411">
        <v>9</v>
      </c>
      <c r="AR1411">
        <v>9</v>
      </c>
      <c r="AS1411">
        <v>4</v>
      </c>
    </row>
    <row r="1412" spans="1:4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 t="str">
        <f>IF(Employee_data[[#This Row],[MonthlyIncome]]&lt;5000,"Low Income",
IF(Employee_data[[#This Row],[MonthlyIncome]]&lt;10000,"Medium Income","High Income"))</f>
        <v>Medium Income</v>
      </c>
      <c r="U1412" t="s">
        <v>92</v>
      </c>
      <c r="V1412" t="s">
        <v>92</v>
      </c>
      <c r="W1412" t="s">
        <v>92</v>
      </c>
      <c r="X1412" t="s">
        <v>92</v>
      </c>
      <c r="Y1412">
        <v>4258</v>
      </c>
      <c r="Z1412">
        <v>3</v>
      </c>
      <c r="AA1412" t="s">
        <v>42</v>
      </c>
      <c r="AB1412" t="s">
        <v>43</v>
      </c>
      <c r="AC1412">
        <v>14</v>
      </c>
      <c r="AD1412">
        <v>3</v>
      </c>
      <c r="AE1412">
        <v>3</v>
      </c>
      <c r="AF1412">
        <v>80</v>
      </c>
      <c r="AG1412">
        <v>1</v>
      </c>
      <c r="AH141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12">
        <v>15</v>
      </c>
      <c r="AJ1412" t="s">
        <v>75</v>
      </c>
      <c r="AK1412">
        <v>4</v>
      </c>
      <c r="AL1412" t="s">
        <v>75</v>
      </c>
      <c r="AM1412">
        <v>3</v>
      </c>
      <c r="AN1412" t="s">
        <v>75</v>
      </c>
      <c r="AO1412">
        <v>11</v>
      </c>
      <c r="AP1412" t="s">
        <v>75</v>
      </c>
      <c r="AQ1412">
        <v>8</v>
      </c>
      <c r="AR1412">
        <v>5</v>
      </c>
      <c r="AS1412">
        <v>10</v>
      </c>
    </row>
    <row r="1413" spans="1:4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 t="str">
        <f>IF(Employee_data[[#This Row],[MonthlyIncome]]&lt;5000,"Low Income",
IF(Employee_data[[#This Row],[MonthlyIncome]]&lt;10000,"Medium Income","High Income"))</f>
        <v>Low Income</v>
      </c>
      <c r="U1413" t="s">
        <v>91</v>
      </c>
      <c r="V1413" t="s">
        <v>91</v>
      </c>
      <c r="W1413" t="s">
        <v>91</v>
      </c>
      <c r="X1413" t="s">
        <v>91</v>
      </c>
      <c r="Y1413">
        <v>19655</v>
      </c>
      <c r="Z1413">
        <v>4</v>
      </c>
      <c r="AA1413" t="s">
        <v>42</v>
      </c>
      <c r="AB1413" t="s">
        <v>43</v>
      </c>
      <c r="AC1413">
        <v>14</v>
      </c>
      <c r="AD1413">
        <v>3</v>
      </c>
      <c r="AE1413">
        <v>3</v>
      </c>
      <c r="AF1413">
        <v>80</v>
      </c>
      <c r="AG1413">
        <v>0</v>
      </c>
      <c r="AH141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13">
        <v>6</v>
      </c>
      <c r="AJ1413" t="s">
        <v>74</v>
      </c>
      <c r="AK1413">
        <v>3</v>
      </c>
      <c r="AL1413" t="s">
        <v>74</v>
      </c>
      <c r="AM1413">
        <v>3</v>
      </c>
      <c r="AN1413" t="s">
        <v>74</v>
      </c>
      <c r="AO1413">
        <v>2</v>
      </c>
      <c r="AP1413" t="s">
        <v>74</v>
      </c>
      <c r="AQ1413">
        <v>0</v>
      </c>
      <c r="AR1413">
        <v>1</v>
      </c>
      <c r="AS1413">
        <v>2</v>
      </c>
    </row>
    <row r="1414" spans="1:4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 t="str">
        <f>IF(Employee_data[[#This Row],[MonthlyIncome]]&lt;5000,"Low Income",
IF(Employee_data[[#This Row],[MonthlyIncome]]&lt;10000,"Medium Income","High Income"))</f>
        <v>Low Income</v>
      </c>
      <c r="U1414" t="s">
        <v>91</v>
      </c>
      <c r="V1414" t="s">
        <v>91</v>
      </c>
      <c r="W1414" t="s">
        <v>91</v>
      </c>
      <c r="X1414" t="s">
        <v>91</v>
      </c>
      <c r="Y1414">
        <v>4077</v>
      </c>
      <c r="Z1414">
        <v>1</v>
      </c>
      <c r="AA1414" t="s">
        <v>42</v>
      </c>
      <c r="AB1414" t="s">
        <v>43</v>
      </c>
      <c r="AC1414">
        <v>13</v>
      </c>
      <c r="AD1414">
        <v>3</v>
      </c>
      <c r="AE1414">
        <v>3</v>
      </c>
      <c r="AF1414">
        <v>80</v>
      </c>
      <c r="AG1414">
        <v>0</v>
      </c>
      <c r="AH141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14">
        <v>12</v>
      </c>
      <c r="AJ1414" t="s">
        <v>75</v>
      </c>
      <c r="AK1414">
        <v>6</v>
      </c>
      <c r="AL1414" t="s">
        <v>75</v>
      </c>
      <c r="AM1414">
        <v>2</v>
      </c>
      <c r="AN1414" t="s">
        <v>75</v>
      </c>
      <c r="AO1414">
        <v>12</v>
      </c>
      <c r="AP1414" t="s">
        <v>75</v>
      </c>
      <c r="AQ1414">
        <v>8</v>
      </c>
      <c r="AR1414">
        <v>1</v>
      </c>
      <c r="AS1414">
        <v>7</v>
      </c>
    </row>
    <row r="1415" spans="1:4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 t="str">
        <f>IF(Employee_data[[#This Row],[MonthlyIncome]]&lt;5000,"Low Income",
IF(Employee_data[[#This Row],[MonthlyIncome]]&lt;10000,"Medium Income","High Income"))</f>
        <v>Low Income</v>
      </c>
      <c r="U1415" t="s">
        <v>91</v>
      </c>
      <c r="V1415" t="s">
        <v>91</v>
      </c>
      <c r="W1415" t="s">
        <v>91</v>
      </c>
      <c r="X1415" t="s">
        <v>91</v>
      </c>
      <c r="Y1415">
        <v>7298</v>
      </c>
      <c r="Z1415">
        <v>6</v>
      </c>
      <c r="AA1415" t="s">
        <v>42</v>
      </c>
      <c r="AB1415" t="s">
        <v>35</v>
      </c>
      <c r="AC1415">
        <v>19</v>
      </c>
      <c r="AD1415">
        <v>3</v>
      </c>
      <c r="AE1415">
        <v>3</v>
      </c>
      <c r="AF1415">
        <v>80</v>
      </c>
      <c r="AG1415">
        <v>1</v>
      </c>
      <c r="AH141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15">
        <v>7</v>
      </c>
      <c r="AJ1415" t="s">
        <v>74</v>
      </c>
      <c r="AK1415">
        <v>2</v>
      </c>
      <c r="AL1415" t="s">
        <v>74</v>
      </c>
      <c r="AM1415">
        <v>2</v>
      </c>
      <c r="AN1415" t="s">
        <v>74</v>
      </c>
      <c r="AO1415">
        <v>2</v>
      </c>
      <c r="AP1415" t="s">
        <v>74</v>
      </c>
      <c r="AQ1415">
        <v>2</v>
      </c>
      <c r="AR1415">
        <v>0</v>
      </c>
      <c r="AS1415">
        <v>2</v>
      </c>
    </row>
    <row r="1416" spans="1:4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 t="str">
        <f>IF(Employee_data[[#This Row],[MonthlyIncome]]&lt;5000,"Low Income",
IF(Employee_data[[#This Row],[MonthlyIncome]]&lt;10000,"Medium Income","High Income"))</f>
        <v>Medium Income</v>
      </c>
      <c r="U1416" t="s">
        <v>92</v>
      </c>
      <c r="V1416" t="s">
        <v>92</v>
      </c>
      <c r="W1416" t="s">
        <v>92</v>
      </c>
      <c r="X1416" t="s">
        <v>92</v>
      </c>
      <c r="Y1416">
        <v>13084</v>
      </c>
      <c r="Z1416">
        <v>2</v>
      </c>
      <c r="AA1416" t="s">
        <v>42</v>
      </c>
      <c r="AB1416" t="s">
        <v>43</v>
      </c>
      <c r="AC1416">
        <v>23</v>
      </c>
      <c r="AD1416">
        <v>4</v>
      </c>
      <c r="AE1416">
        <v>2</v>
      </c>
      <c r="AF1416">
        <v>80</v>
      </c>
      <c r="AG1416">
        <v>0</v>
      </c>
      <c r="AH141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16">
        <v>25</v>
      </c>
      <c r="AJ1416" t="s">
        <v>76</v>
      </c>
      <c r="AK1416">
        <v>3</v>
      </c>
      <c r="AL1416" t="s">
        <v>76</v>
      </c>
      <c r="AM1416">
        <v>3</v>
      </c>
      <c r="AN1416" t="s">
        <v>76</v>
      </c>
      <c r="AO1416">
        <v>17</v>
      </c>
      <c r="AP1416" t="s">
        <v>76</v>
      </c>
      <c r="AQ1416">
        <v>14</v>
      </c>
      <c r="AR1416">
        <v>12</v>
      </c>
      <c r="AS1416">
        <v>11</v>
      </c>
    </row>
    <row r="1417" spans="1:4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 t="str">
        <f>IF(Employee_data[[#This Row],[MonthlyIncome]]&lt;5000,"Low Income",
IF(Employee_data[[#This Row],[MonthlyIncome]]&lt;10000,"Medium Income","High Income"))</f>
        <v>Low Income</v>
      </c>
      <c r="U1417" t="s">
        <v>91</v>
      </c>
      <c r="V1417" t="s">
        <v>91</v>
      </c>
      <c r="W1417" t="s">
        <v>91</v>
      </c>
      <c r="X1417" t="s">
        <v>91</v>
      </c>
      <c r="Y1417">
        <v>20439</v>
      </c>
      <c r="Z1417">
        <v>1</v>
      </c>
      <c r="AA1417" t="s">
        <v>42</v>
      </c>
      <c r="AB1417" t="s">
        <v>43</v>
      </c>
      <c r="AC1417">
        <v>12</v>
      </c>
      <c r="AD1417">
        <v>3</v>
      </c>
      <c r="AE1417">
        <v>3</v>
      </c>
      <c r="AF1417">
        <v>80</v>
      </c>
      <c r="AG1417">
        <v>3</v>
      </c>
      <c r="AH141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17">
        <v>1</v>
      </c>
      <c r="AJ1417" t="s">
        <v>74</v>
      </c>
      <c r="AK1417">
        <v>2</v>
      </c>
      <c r="AL1417" t="s">
        <v>74</v>
      </c>
      <c r="AM1417">
        <v>2</v>
      </c>
      <c r="AN1417" t="s">
        <v>74</v>
      </c>
      <c r="AO1417">
        <v>1</v>
      </c>
      <c r="AP1417" t="s">
        <v>74</v>
      </c>
      <c r="AQ1417">
        <v>1</v>
      </c>
      <c r="AR1417">
        <v>0</v>
      </c>
      <c r="AS1417">
        <v>0</v>
      </c>
    </row>
    <row r="1418" spans="1:4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 t="str">
        <f>IF(Employee_data[[#This Row],[MonthlyIncome]]&lt;5000,"Low Income",
IF(Employee_data[[#This Row],[MonthlyIncome]]&lt;10000,"Medium Income","High Income"))</f>
        <v>Low Income</v>
      </c>
      <c r="U1418" t="s">
        <v>91</v>
      </c>
      <c r="V1418" t="s">
        <v>91</v>
      </c>
      <c r="W1418" t="s">
        <v>91</v>
      </c>
      <c r="X1418" t="s">
        <v>91</v>
      </c>
      <c r="Y1418">
        <v>7636</v>
      </c>
      <c r="Z1418">
        <v>0</v>
      </c>
      <c r="AA1418" t="s">
        <v>42</v>
      </c>
      <c r="AB1418" t="s">
        <v>43</v>
      </c>
      <c r="AC1418">
        <v>15</v>
      </c>
      <c r="AD1418">
        <v>3</v>
      </c>
      <c r="AE1418">
        <v>1</v>
      </c>
      <c r="AF1418">
        <v>80</v>
      </c>
      <c r="AG1418">
        <v>2</v>
      </c>
      <c r="AH141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18">
        <v>16</v>
      </c>
      <c r="AJ1418" t="s">
        <v>76</v>
      </c>
      <c r="AK1418">
        <v>3</v>
      </c>
      <c r="AL1418" t="s">
        <v>76</v>
      </c>
      <c r="AM1418">
        <v>3</v>
      </c>
      <c r="AN1418" t="s">
        <v>76</v>
      </c>
      <c r="AO1418">
        <v>15</v>
      </c>
      <c r="AP1418" t="s">
        <v>76</v>
      </c>
      <c r="AQ1418">
        <v>13</v>
      </c>
      <c r="AR1418">
        <v>5</v>
      </c>
      <c r="AS1418">
        <v>8</v>
      </c>
    </row>
    <row r="1419" spans="1:4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 t="str">
        <f>IF(Employee_data[[#This Row],[MonthlyIncome]]&lt;5000,"Low Income",
IF(Employee_data[[#This Row],[MonthlyIncome]]&lt;10000,"Medium Income","High Income"))</f>
        <v>Low Income</v>
      </c>
      <c r="U1419" t="s">
        <v>91</v>
      </c>
      <c r="V1419" t="s">
        <v>91</v>
      </c>
      <c r="W1419" t="s">
        <v>91</v>
      </c>
      <c r="X1419" t="s">
        <v>91</v>
      </c>
      <c r="Y1419">
        <v>6393</v>
      </c>
      <c r="Z1419">
        <v>0</v>
      </c>
      <c r="AA1419" t="s">
        <v>42</v>
      </c>
      <c r="AB1419" t="s">
        <v>43</v>
      </c>
      <c r="AC1419">
        <v>19</v>
      </c>
      <c r="AD1419">
        <v>3</v>
      </c>
      <c r="AE1419">
        <v>3</v>
      </c>
      <c r="AF1419">
        <v>80</v>
      </c>
      <c r="AG1419">
        <v>1</v>
      </c>
      <c r="AH141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19">
        <v>3</v>
      </c>
      <c r="AJ1419" t="s">
        <v>74</v>
      </c>
      <c r="AK1419">
        <v>1</v>
      </c>
      <c r="AL1419" t="s">
        <v>74</v>
      </c>
      <c r="AM1419">
        <v>3</v>
      </c>
      <c r="AN1419" t="s">
        <v>74</v>
      </c>
      <c r="AO1419">
        <v>2</v>
      </c>
      <c r="AP1419" t="s">
        <v>74</v>
      </c>
      <c r="AQ1419">
        <v>2</v>
      </c>
      <c r="AR1419">
        <v>1</v>
      </c>
      <c r="AS1419">
        <v>2</v>
      </c>
    </row>
    <row r="1420" spans="1:4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 t="str">
        <f>IF(Employee_data[[#This Row],[MonthlyIncome]]&lt;5000,"Low Income",
IF(Employee_data[[#This Row],[MonthlyIncome]]&lt;10000,"Medium Income","High Income"))</f>
        <v>Medium Income</v>
      </c>
      <c r="U1420" t="s">
        <v>92</v>
      </c>
      <c r="V1420" t="s">
        <v>92</v>
      </c>
      <c r="W1420" t="s">
        <v>92</v>
      </c>
      <c r="X1420" t="s">
        <v>92</v>
      </c>
      <c r="Y1420">
        <v>14284</v>
      </c>
      <c r="Z1420">
        <v>2</v>
      </c>
      <c r="AA1420" t="s">
        <v>42</v>
      </c>
      <c r="AB1420" t="s">
        <v>43</v>
      </c>
      <c r="AC1420">
        <v>11</v>
      </c>
      <c r="AD1420">
        <v>3</v>
      </c>
      <c r="AE1420">
        <v>4</v>
      </c>
      <c r="AF1420">
        <v>80</v>
      </c>
      <c r="AG1420">
        <v>1</v>
      </c>
      <c r="AH142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20">
        <v>10</v>
      </c>
      <c r="AJ1420" t="s">
        <v>78</v>
      </c>
      <c r="AK1420">
        <v>1</v>
      </c>
      <c r="AL1420" t="s">
        <v>78</v>
      </c>
      <c r="AM1420">
        <v>3</v>
      </c>
      <c r="AN1420" t="s">
        <v>78</v>
      </c>
      <c r="AO1420">
        <v>8</v>
      </c>
      <c r="AP1420" t="s">
        <v>78</v>
      </c>
      <c r="AQ1420">
        <v>3</v>
      </c>
      <c r="AR1420">
        <v>7</v>
      </c>
      <c r="AS1420">
        <v>7</v>
      </c>
    </row>
    <row r="1421" spans="1:4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 t="str">
        <f>IF(Employee_data[[#This Row],[MonthlyIncome]]&lt;5000,"Low Income",
IF(Employee_data[[#This Row],[MonthlyIncome]]&lt;10000,"Medium Income","High Income"))</f>
        <v>Medium Income</v>
      </c>
      <c r="U1421" t="s">
        <v>92</v>
      </c>
      <c r="V1421" t="s">
        <v>92</v>
      </c>
      <c r="W1421" t="s">
        <v>92</v>
      </c>
      <c r="X1421" t="s">
        <v>92</v>
      </c>
      <c r="Y1421">
        <v>11189</v>
      </c>
      <c r="Z1421">
        <v>6</v>
      </c>
      <c r="AA1421" t="s">
        <v>42</v>
      </c>
      <c r="AB1421" t="s">
        <v>35</v>
      </c>
      <c r="AC1421">
        <v>17</v>
      </c>
      <c r="AD1421">
        <v>3</v>
      </c>
      <c r="AE1421">
        <v>3</v>
      </c>
      <c r="AF1421">
        <v>80</v>
      </c>
      <c r="AG1421">
        <v>1</v>
      </c>
      <c r="AH142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21">
        <v>9</v>
      </c>
      <c r="AJ1421" t="s">
        <v>74</v>
      </c>
      <c r="AK1421">
        <v>3</v>
      </c>
      <c r="AL1421" t="s">
        <v>74</v>
      </c>
      <c r="AM1421">
        <v>2</v>
      </c>
      <c r="AN1421" t="s">
        <v>74</v>
      </c>
      <c r="AO1421">
        <v>4</v>
      </c>
      <c r="AP1421" t="s">
        <v>74</v>
      </c>
      <c r="AQ1421">
        <v>3</v>
      </c>
      <c r="AR1421">
        <v>1</v>
      </c>
      <c r="AS1421">
        <v>2</v>
      </c>
    </row>
    <row r="1422" spans="1:4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 t="str">
        <f>IF(Employee_data[[#This Row],[MonthlyIncome]]&lt;5000,"Low Income",
IF(Employee_data[[#This Row],[MonthlyIncome]]&lt;10000,"Medium Income","High Income"))</f>
        <v>Low Income</v>
      </c>
      <c r="U1422" t="s">
        <v>91</v>
      </c>
      <c r="V1422" t="s">
        <v>91</v>
      </c>
      <c r="W1422" t="s">
        <v>91</v>
      </c>
      <c r="X1422" t="s">
        <v>91</v>
      </c>
      <c r="Y1422">
        <v>21412</v>
      </c>
      <c r="Z1422">
        <v>3</v>
      </c>
      <c r="AA1422" t="s">
        <v>42</v>
      </c>
      <c r="AB1422" t="s">
        <v>43</v>
      </c>
      <c r="AC1422">
        <v>22</v>
      </c>
      <c r="AD1422">
        <v>4</v>
      </c>
      <c r="AE1422">
        <v>1</v>
      </c>
      <c r="AF1422">
        <v>80</v>
      </c>
      <c r="AG1422">
        <v>1</v>
      </c>
      <c r="AH142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22">
        <v>12</v>
      </c>
      <c r="AJ1422" t="s">
        <v>78</v>
      </c>
      <c r="AK1422">
        <v>3</v>
      </c>
      <c r="AL1422" t="s">
        <v>78</v>
      </c>
      <c r="AM1422">
        <v>3</v>
      </c>
      <c r="AN1422" t="s">
        <v>78</v>
      </c>
      <c r="AO1422">
        <v>5</v>
      </c>
      <c r="AP1422" t="s">
        <v>78</v>
      </c>
      <c r="AQ1422">
        <v>3</v>
      </c>
      <c r="AR1422">
        <v>1</v>
      </c>
      <c r="AS1422">
        <v>0</v>
      </c>
    </row>
    <row r="1423" spans="1:4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 t="str">
        <f>IF(Employee_data[[#This Row],[MonthlyIncome]]&lt;5000,"Low Income",
IF(Employee_data[[#This Row],[MonthlyIncome]]&lt;10000,"Medium Income","High Income"))</f>
        <v>High Income</v>
      </c>
      <c r="U1423" t="s">
        <v>90</v>
      </c>
      <c r="V1423" t="s">
        <v>90</v>
      </c>
      <c r="W1423" t="s">
        <v>90</v>
      </c>
      <c r="X1423" t="s">
        <v>90</v>
      </c>
      <c r="Y1423">
        <v>17231</v>
      </c>
      <c r="Z1423">
        <v>0</v>
      </c>
      <c r="AA1423" t="s">
        <v>42</v>
      </c>
      <c r="AB1423" t="s">
        <v>43</v>
      </c>
      <c r="AC1423">
        <v>18</v>
      </c>
      <c r="AD1423">
        <v>3</v>
      </c>
      <c r="AE1423">
        <v>1</v>
      </c>
      <c r="AF1423">
        <v>80</v>
      </c>
      <c r="AG1423">
        <v>2</v>
      </c>
      <c r="AH142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23">
        <v>14</v>
      </c>
      <c r="AJ1423" t="s">
        <v>75</v>
      </c>
      <c r="AK1423">
        <v>3</v>
      </c>
      <c r="AL1423" t="s">
        <v>75</v>
      </c>
      <c r="AM1423">
        <v>1</v>
      </c>
      <c r="AN1423" t="s">
        <v>75</v>
      </c>
      <c r="AO1423">
        <v>13</v>
      </c>
      <c r="AP1423" t="s">
        <v>75</v>
      </c>
      <c r="AQ1423">
        <v>8</v>
      </c>
      <c r="AR1423">
        <v>5</v>
      </c>
      <c r="AS1423">
        <v>12</v>
      </c>
    </row>
    <row r="1424" spans="1:4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 t="str">
        <f>IF(Employee_data[[#This Row],[MonthlyIncome]]&lt;5000,"Low Income",
IF(Employee_data[[#This Row],[MonthlyIncome]]&lt;10000,"Medium Income","High Income"))</f>
        <v>Low Income</v>
      </c>
      <c r="U1424" t="s">
        <v>91</v>
      </c>
      <c r="V1424" t="s">
        <v>91</v>
      </c>
      <c r="W1424" t="s">
        <v>91</v>
      </c>
      <c r="X1424" t="s">
        <v>91</v>
      </c>
      <c r="Y1424">
        <v>20232</v>
      </c>
      <c r="Z1424">
        <v>7</v>
      </c>
      <c r="AA1424" t="s">
        <v>42</v>
      </c>
      <c r="AB1424" t="s">
        <v>35</v>
      </c>
      <c r="AC1424">
        <v>11</v>
      </c>
      <c r="AD1424">
        <v>3</v>
      </c>
      <c r="AE1424">
        <v>3</v>
      </c>
      <c r="AF1424">
        <v>80</v>
      </c>
      <c r="AG1424">
        <v>1</v>
      </c>
      <c r="AH142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24">
        <v>5</v>
      </c>
      <c r="AJ1424" t="s">
        <v>74</v>
      </c>
      <c r="AK1424">
        <v>3</v>
      </c>
      <c r="AL1424" t="s">
        <v>74</v>
      </c>
      <c r="AM1424">
        <v>3</v>
      </c>
      <c r="AN1424" t="s">
        <v>74</v>
      </c>
      <c r="AO1424">
        <v>2</v>
      </c>
      <c r="AP1424" t="s">
        <v>74</v>
      </c>
      <c r="AQ1424">
        <v>2</v>
      </c>
      <c r="AR1424">
        <v>2</v>
      </c>
      <c r="AS1424">
        <v>2</v>
      </c>
    </row>
    <row r="1425" spans="1:4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 t="str">
        <f>IF(Employee_data[[#This Row],[MonthlyIncome]]&lt;5000,"Low Income",
IF(Employee_data[[#This Row],[MonthlyIncome]]&lt;10000,"Medium Income","High Income"))</f>
        <v>Low Income</v>
      </c>
      <c r="U1425" t="s">
        <v>91</v>
      </c>
      <c r="V1425" t="s">
        <v>91</v>
      </c>
      <c r="W1425" t="s">
        <v>91</v>
      </c>
      <c r="X1425" t="s">
        <v>91</v>
      </c>
      <c r="Y1425">
        <v>17624</v>
      </c>
      <c r="Z1425">
        <v>0</v>
      </c>
      <c r="AA1425" t="s">
        <v>42</v>
      </c>
      <c r="AB1425" t="s">
        <v>43</v>
      </c>
      <c r="AC1425">
        <v>12</v>
      </c>
      <c r="AD1425">
        <v>3</v>
      </c>
      <c r="AE1425">
        <v>4</v>
      </c>
      <c r="AF1425">
        <v>80</v>
      </c>
      <c r="AG1425">
        <v>0</v>
      </c>
      <c r="AH142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25">
        <v>4</v>
      </c>
      <c r="AJ1425" t="s">
        <v>74</v>
      </c>
      <c r="AK1425">
        <v>2</v>
      </c>
      <c r="AL1425" t="s">
        <v>74</v>
      </c>
      <c r="AM1425">
        <v>4</v>
      </c>
      <c r="AN1425" t="s">
        <v>74</v>
      </c>
      <c r="AO1425">
        <v>3</v>
      </c>
      <c r="AP1425" t="s">
        <v>74</v>
      </c>
      <c r="AQ1425">
        <v>2</v>
      </c>
      <c r="AR1425">
        <v>1</v>
      </c>
      <c r="AS1425">
        <v>2</v>
      </c>
    </row>
    <row r="1426" spans="1:4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 t="str">
        <f>IF(Employee_data[[#This Row],[MonthlyIncome]]&lt;5000,"Low Income",
IF(Employee_data[[#This Row],[MonthlyIncome]]&lt;10000,"Medium Income","High Income"))</f>
        <v>Medium Income</v>
      </c>
      <c r="U1426" t="s">
        <v>92</v>
      </c>
      <c r="V1426" t="s">
        <v>92</v>
      </c>
      <c r="W1426" t="s">
        <v>92</v>
      </c>
      <c r="X1426" t="s">
        <v>92</v>
      </c>
      <c r="Y1426">
        <v>18698</v>
      </c>
      <c r="Z1426">
        <v>1</v>
      </c>
      <c r="AA1426" t="s">
        <v>42</v>
      </c>
      <c r="AB1426" t="s">
        <v>43</v>
      </c>
      <c r="AC1426">
        <v>19</v>
      </c>
      <c r="AD1426">
        <v>3</v>
      </c>
      <c r="AE1426">
        <v>2</v>
      </c>
      <c r="AF1426">
        <v>80</v>
      </c>
      <c r="AG1426">
        <v>0</v>
      </c>
      <c r="AH142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26">
        <v>10</v>
      </c>
      <c r="AJ1426" t="s">
        <v>75</v>
      </c>
      <c r="AK1426">
        <v>5</v>
      </c>
      <c r="AL1426" t="s">
        <v>75</v>
      </c>
      <c r="AM1426">
        <v>3</v>
      </c>
      <c r="AN1426" t="s">
        <v>75</v>
      </c>
      <c r="AO1426">
        <v>10</v>
      </c>
      <c r="AP1426" t="s">
        <v>75</v>
      </c>
      <c r="AQ1426">
        <v>7</v>
      </c>
      <c r="AR1426">
        <v>0</v>
      </c>
      <c r="AS1426">
        <v>8</v>
      </c>
    </row>
    <row r="1427" spans="1:4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 t="str">
        <f>IF(Employee_data[[#This Row],[MonthlyIncome]]&lt;5000,"Low Income",
IF(Employee_data[[#This Row],[MonthlyIncome]]&lt;10000,"Medium Income","High Income"))</f>
        <v>Low Income</v>
      </c>
      <c r="U1427" t="s">
        <v>91</v>
      </c>
      <c r="V1427" t="s">
        <v>91</v>
      </c>
      <c r="W1427" t="s">
        <v>91</v>
      </c>
      <c r="X1427" t="s">
        <v>91</v>
      </c>
      <c r="Y1427">
        <v>21653</v>
      </c>
      <c r="Z1427">
        <v>0</v>
      </c>
      <c r="AA1427" t="s">
        <v>42</v>
      </c>
      <c r="AB1427" t="s">
        <v>35</v>
      </c>
      <c r="AC1427">
        <v>13</v>
      </c>
      <c r="AD1427">
        <v>3</v>
      </c>
      <c r="AE1427">
        <v>1</v>
      </c>
      <c r="AF1427">
        <v>80</v>
      </c>
      <c r="AG1427">
        <v>1</v>
      </c>
      <c r="AH142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27">
        <v>10</v>
      </c>
      <c r="AJ1427" t="s">
        <v>78</v>
      </c>
      <c r="AK1427">
        <v>6</v>
      </c>
      <c r="AL1427" t="s">
        <v>78</v>
      </c>
      <c r="AM1427">
        <v>3</v>
      </c>
      <c r="AN1427" t="s">
        <v>78</v>
      </c>
      <c r="AO1427">
        <v>9</v>
      </c>
      <c r="AP1427" t="s">
        <v>78</v>
      </c>
      <c r="AQ1427">
        <v>7</v>
      </c>
      <c r="AR1427">
        <v>8</v>
      </c>
      <c r="AS1427">
        <v>1</v>
      </c>
    </row>
    <row r="1428" spans="1:4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 t="str">
        <f>IF(Employee_data[[#This Row],[MonthlyIncome]]&lt;5000,"Low Income",
IF(Employee_data[[#This Row],[MonthlyIncome]]&lt;10000,"Medium Income","High Income"))</f>
        <v>Low Income</v>
      </c>
      <c r="U1428" t="s">
        <v>91</v>
      </c>
      <c r="V1428" t="s">
        <v>91</v>
      </c>
      <c r="W1428" t="s">
        <v>91</v>
      </c>
      <c r="X1428" t="s">
        <v>91</v>
      </c>
      <c r="Y1428">
        <v>15919</v>
      </c>
      <c r="Z1428">
        <v>1</v>
      </c>
      <c r="AA1428" t="s">
        <v>42</v>
      </c>
      <c r="AB1428" t="s">
        <v>43</v>
      </c>
      <c r="AC1428">
        <v>13</v>
      </c>
      <c r="AD1428">
        <v>3</v>
      </c>
      <c r="AE1428">
        <v>3</v>
      </c>
      <c r="AF1428">
        <v>80</v>
      </c>
      <c r="AG1428">
        <v>0</v>
      </c>
      <c r="AH142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28">
        <v>6</v>
      </c>
      <c r="AJ1428" t="s">
        <v>78</v>
      </c>
      <c r="AK1428">
        <v>3</v>
      </c>
      <c r="AL1428" t="s">
        <v>78</v>
      </c>
      <c r="AM1428">
        <v>3</v>
      </c>
      <c r="AN1428" t="s">
        <v>78</v>
      </c>
      <c r="AO1428">
        <v>6</v>
      </c>
      <c r="AP1428" t="s">
        <v>78</v>
      </c>
      <c r="AQ1428">
        <v>2</v>
      </c>
      <c r="AR1428">
        <v>4</v>
      </c>
      <c r="AS1428">
        <v>1</v>
      </c>
    </row>
    <row r="1429" spans="1:4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 t="str">
        <f>IF(Employee_data[[#This Row],[MonthlyIncome]]&lt;5000,"Low Income",
IF(Employee_data[[#This Row],[MonthlyIncome]]&lt;10000,"Medium Income","High Income"))</f>
        <v>Low Income</v>
      </c>
      <c r="U1429" t="s">
        <v>91</v>
      </c>
      <c r="V1429" t="s">
        <v>91</v>
      </c>
      <c r="W1429" t="s">
        <v>91</v>
      </c>
      <c r="X1429" t="s">
        <v>91</v>
      </c>
      <c r="Y1429">
        <v>4060</v>
      </c>
      <c r="Z1429">
        <v>8</v>
      </c>
      <c r="AA1429" t="s">
        <v>42</v>
      </c>
      <c r="AB1429" t="s">
        <v>43</v>
      </c>
      <c r="AC1429">
        <v>19</v>
      </c>
      <c r="AD1429">
        <v>3</v>
      </c>
      <c r="AE1429">
        <v>3</v>
      </c>
      <c r="AF1429">
        <v>80</v>
      </c>
      <c r="AG1429">
        <v>2</v>
      </c>
      <c r="AH142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29">
        <v>8</v>
      </c>
      <c r="AJ1429" t="s">
        <v>74</v>
      </c>
      <c r="AK1429">
        <v>3</v>
      </c>
      <c r="AL1429" t="s">
        <v>74</v>
      </c>
      <c r="AM1429">
        <v>2</v>
      </c>
      <c r="AN1429" t="s">
        <v>74</v>
      </c>
      <c r="AO1429">
        <v>1</v>
      </c>
      <c r="AP1429" t="s">
        <v>74</v>
      </c>
      <c r="AQ1429">
        <v>0</v>
      </c>
      <c r="AR1429">
        <v>0</v>
      </c>
      <c r="AS1429">
        <v>0</v>
      </c>
    </row>
    <row r="1430" spans="1:4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 t="str">
        <f>IF(Employee_data[[#This Row],[MonthlyIncome]]&lt;5000,"Low Income",
IF(Employee_data[[#This Row],[MonthlyIncome]]&lt;10000,"Medium Income","High Income"))</f>
        <v>Low Income</v>
      </c>
      <c r="U1430" t="s">
        <v>91</v>
      </c>
      <c r="V1430" t="s">
        <v>91</v>
      </c>
      <c r="W1430" t="s">
        <v>91</v>
      </c>
      <c r="X1430" t="s">
        <v>91</v>
      </c>
      <c r="Y1430">
        <v>18024</v>
      </c>
      <c r="Z1430">
        <v>0</v>
      </c>
      <c r="AA1430" t="s">
        <v>42</v>
      </c>
      <c r="AB1430" t="s">
        <v>43</v>
      </c>
      <c r="AC1430">
        <v>14</v>
      </c>
      <c r="AD1430">
        <v>3</v>
      </c>
      <c r="AE1430">
        <v>2</v>
      </c>
      <c r="AF1430">
        <v>80</v>
      </c>
      <c r="AG1430">
        <v>1</v>
      </c>
      <c r="AH143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30">
        <v>3</v>
      </c>
      <c r="AJ1430" t="s">
        <v>74</v>
      </c>
      <c r="AK1430">
        <v>2</v>
      </c>
      <c r="AL1430" t="s">
        <v>74</v>
      </c>
      <c r="AM1430">
        <v>3</v>
      </c>
      <c r="AN1430" t="s">
        <v>74</v>
      </c>
      <c r="AO1430">
        <v>2</v>
      </c>
      <c r="AP1430" t="s">
        <v>74</v>
      </c>
      <c r="AQ1430">
        <v>2</v>
      </c>
      <c r="AR1430">
        <v>2</v>
      </c>
      <c r="AS1430">
        <v>2</v>
      </c>
    </row>
    <row r="1431" spans="1:4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 t="str">
        <f>IF(Employee_data[[#This Row],[MonthlyIncome]]&lt;5000,"Low Income",
IF(Employee_data[[#This Row],[MonthlyIncome]]&lt;10000,"Medium Income","High Income"))</f>
        <v>Low Income</v>
      </c>
      <c r="U1431" t="s">
        <v>91</v>
      </c>
      <c r="V1431" t="s">
        <v>91</v>
      </c>
      <c r="W1431" t="s">
        <v>91</v>
      </c>
      <c r="X1431" t="s">
        <v>91</v>
      </c>
      <c r="Y1431">
        <v>5340</v>
      </c>
      <c r="Z1431">
        <v>7</v>
      </c>
      <c r="AA1431" t="s">
        <v>42</v>
      </c>
      <c r="AB1431" t="s">
        <v>43</v>
      </c>
      <c r="AC1431">
        <v>13</v>
      </c>
      <c r="AD1431">
        <v>3</v>
      </c>
      <c r="AE1431">
        <v>1</v>
      </c>
      <c r="AF1431">
        <v>80</v>
      </c>
      <c r="AG1431">
        <v>0</v>
      </c>
      <c r="AH143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31">
        <v>18</v>
      </c>
      <c r="AJ1431" t="s">
        <v>78</v>
      </c>
      <c r="AK1431">
        <v>2</v>
      </c>
      <c r="AL1431" t="s">
        <v>78</v>
      </c>
      <c r="AM1431">
        <v>3</v>
      </c>
      <c r="AN1431" t="s">
        <v>78</v>
      </c>
      <c r="AO1431">
        <v>7</v>
      </c>
      <c r="AP1431" t="s">
        <v>78</v>
      </c>
      <c r="AQ1431">
        <v>7</v>
      </c>
      <c r="AR1431">
        <v>1</v>
      </c>
      <c r="AS1431">
        <v>7</v>
      </c>
    </row>
    <row r="1432" spans="1:4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 t="str">
        <f>IF(Employee_data[[#This Row],[MonthlyIncome]]&lt;5000,"Low Income",
IF(Employee_data[[#This Row],[MonthlyIncome]]&lt;10000,"Medium Income","High Income"))</f>
        <v>High Income</v>
      </c>
      <c r="U1432" t="s">
        <v>90</v>
      </c>
      <c r="V1432" t="s">
        <v>90</v>
      </c>
      <c r="W1432" t="s">
        <v>90</v>
      </c>
      <c r="X1432" t="s">
        <v>90</v>
      </c>
      <c r="Y1432">
        <v>3376</v>
      </c>
      <c r="Z1432">
        <v>3</v>
      </c>
      <c r="AA1432" t="s">
        <v>42</v>
      </c>
      <c r="AB1432" t="s">
        <v>43</v>
      </c>
      <c r="AC1432">
        <v>12</v>
      </c>
      <c r="AD1432">
        <v>3</v>
      </c>
      <c r="AE1432">
        <v>1</v>
      </c>
      <c r="AF1432">
        <v>80</v>
      </c>
      <c r="AG1432">
        <v>1</v>
      </c>
      <c r="AH143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32">
        <v>20</v>
      </c>
      <c r="AJ1432" t="s">
        <v>76</v>
      </c>
      <c r="AK1432">
        <v>3</v>
      </c>
      <c r="AL1432" t="s">
        <v>76</v>
      </c>
      <c r="AM1432">
        <v>3</v>
      </c>
      <c r="AN1432" t="s">
        <v>76</v>
      </c>
      <c r="AO1432">
        <v>18</v>
      </c>
      <c r="AP1432" t="s">
        <v>76</v>
      </c>
      <c r="AQ1432">
        <v>16</v>
      </c>
      <c r="AR1432">
        <v>1</v>
      </c>
      <c r="AS1432">
        <v>11</v>
      </c>
    </row>
    <row r="1433" spans="1:4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 t="str">
        <f>IF(Employee_data[[#This Row],[MonthlyIncome]]&lt;5000,"Low Income",
IF(Employee_data[[#This Row],[MonthlyIncome]]&lt;10000,"Medium Income","High Income"))</f>
        <v>High Income</v>
      </c>
      <c r="U1433" t="s">
        <v>90</v>
      </c>
      <c r="V1433" t="s">
        <v>90</v>
      </c>
      <c r="W1433" t="s">
        <v>90</v>
      </c>
      <c r="X1433" t="s">
        <v>90</v>
      </c>
      <c r="Y1433">
        <v>24032</v>
      </c>
      <c r="Z1433">
        <v>1</v>
      </c>
      <c r="AA1433" t="s">
        <v>42</v>
      </c>
      <c r="AB1433" t="s">
        <v>43</v>
      </c>
      <c r="AC1433">
        <v>19</v>
      </c>
      <c r="AD1433">
        <v>3</v>
      </c>
      <c r="AE1433">
        <v>3</v>
      </c>
      <c r="AF1433">
        <v>80</v>
      </c>
      <c r="AG1433">
        <v>2</v>
      </c>
      <c r="AH143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33">
        <v>14</v>
      </c>
      <c r="AJ1433" t="s">
        <v>75</v>
      </c>
      <c r="AK1433">
        <v>3</v>
      </c>
      <c r="AL1433" t="s">
        <v>75</v>
      </c>
      <c r="AM1433">
        <v>3</v>
      </c>
      <c r="AN1433" t="s">
        <v>75</v>
      </c>
      <c r="AO1433">
        <v>14</v>
      </c>
      <c r="AP1433" t="s">
        <v>75</v>
      </c>
      <c r="AQ1433">
        <v>10</v>
      </c>
      <c r="AR1433">
        <v>5</v>
      </c>
      <c r="AS1433">
        <v>7</v>
      </c>
    </row>
    <row r="1434" spans="1:4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 t="str">
        <f>IF(Employee_data[[#This Row],[MonthlyIncome]]&lt;5000,"Low Income",
IF(Employee_data[[#This Row],[MonthlyIncome]]&lt;10000,"Medium Income","High Income"))</f>
        <v>High Income</v>
      </c>
      <c r="U1434" t="s">
        <v>90</v>
      </c>
      <c r="V1434" t="s">
        <v>90</v>
      </c>
      <c r="W1434" t="s">
        <v>90</v>
      </c>
      <c r="X1434" t="s">
        <v>90</v>
      </c>
      <c r="Y1434">
        <v>15471</v>
      </c>
      <c r="Z1434">
        <v>1</v>
      </c>
      <c r="AA1434" t="s">
        <v>42</v>
      </c>
      <c r="AB1434" t="s">
        <v>35</v>
      </c>
      <c r="AC1434">
        <v>25</v>
      </c>
      <c r="AD1434">
        <v>4</v>
      </c>
      <c r="AE1434">
        <v>1</v>
      </c>
      <c r="AF1434">
        <v>80</v>
      </c>
      <c r="AG1434">
        <v>1</v>
      </c>
      <c r="AH143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34">
        <v>16</v>
      </c>
      <c r="AJ1434" t="s">
        <v>76</v>
      </c>
      <c r="AK1434">
        <v>2</v>
      </c>
      <c r="AL1434" t="s">
        <v>76</v>
      </c>
      <c r="AM1434">
        <v>3</v>
      </c>
      <c r="AN1434" t="s">
        <v>76</v>
      </c>
      <c r="AO1434">
        <v>16</v>
      </c>
      <c r="AP1434" t="s">
        <v>76</v>
      </c>
      <c r="AQ1434">
        <v>11</v>
      </c>
      <c r="AR1434">
        <v>6</v>
      </c>
      <c r="AS1434">
        <v>8</v>
      </c>
    </row>
    <row r="1435" spans="1:4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 t="str">
        <f>IF(Employee_data[[#This Row],[MonthlyIncome]]&lt;5000,"Low Income",
IF(Employee_data[[#This Row],[MonthlyIncome]]&lt;10000,"Medium Income","High Income"))</f>
        <v>Low Income</v>
      </c>
      <c r="U1435" t="s">
        <v>91</v>
      </c>
      <c r="V1435" t="s">
        <v>91</v>
      </c>
      <c r="W1435" t="s">
        <v>91</v>
      </c>
      <c r="X1435" t="s">
        <v>91</v>
      </c>
      <c r="Y1435">
        <v>13684</v>
      </c>
      <c r="Z1435">
        <v>0</v>
      </c>
      <c r="AA1435" t="s">
        <v>42</v>
      </c>
      <c r="AB1435" t="s">
        <v>35</v>
      </c>
      <c r="AC1435">
        <v>22</v>
      </c>
      <c r="AD1435">
        <v>4</v>
      </c>
      <c r="AE1435">
        <v>2</v>
      </c>
      <c r="AF1435">
        <v>80</v>
      </c>
      <c r="AG1435">
        <v>1</v>
      </c>
      <c r="AH143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35">
        <v>6</v>
      </c>
      <c r="AJ1435" t="s">
        <v>78</v>
      </c>
      <c r="AK1435">
        <v>3</v>
      </c>
      <c r="AL1435" t="s">
        <v>78</v>
      </c>
      <c r="AM1435">
        <v>2</v>
      </c>
      <c r="AN1435" t="s">
        <v>78</v>
      </c>
      <c r="AO1435">
        <v>5</v>
      </c>
      <c r="AP1435" t="s">
        <v>78</v>
      </c>
      <c r="AQ1435">
        <v>3</v>
      </c>
      <c r="AR1435">
        <v>0</v>
      </c>
      <c r="AS1435">
        <v>4</v>
      </c>
    </row>
    <row r="1436" spans="1:4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 t="str">
        <f>IF(Employee_data[[#This Row],[MonthlyIncome]]&lt;5000,"Low Income",
IF(Employee_data[[#This Row],[MonthlyIncome]]&lt;10000,"Medium Income","High Income"))</f>
        <v>Low Income</v>
      </c>
      <c r="U1436" t="s">
        <v>91</v>
      </c>
      <c r="V1436" t="s">
        <v>91</v>
      </c>
      <c r="W1436" t="s">
        <v>91</v>
      </c>
      <c r="X1436" t="s">
        <v>91</v>
      </c>
      <c r="Y1436">
        <v>19788</v>
      </c>
      <c r="Z1436">
        <v>2</v>
      </c>
      <c r="AA1436" t="s">
        <v>42</v>
      </c>
      <c r="AB1436" t="s">
        <v>43</v>
      </c>
      <c r="AC1436">
        <v>15</v>
      </c>
      <c r="AD1436">
        <v>3</v>
      </c>
      <c r="AE1436">
        <v>2</v>
      </c>
      <c r="AF1436">
        <v>80</v>
      </c>
      <c r="AG1436">
        <v>2</v>
      </c>
      <c r="AH143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36">
        <v>16</v>
      </c>
      <c r="AJ1436" t="s">
        <v>78</v>
      </c>
      <c r="AK1436">
        <v>3</v>
      </c>
      <c r="AL1436" t="s">
        <v>78</v>
      </c>
      <c r="AM1436">
        <v>2</v>
      </c>
      <c r="AN1436" t="s">
        <v>78</v>
      </c>
      <c r="AO1436">
        <v>9</v>
      </c>
      <c r="AP1436" t="s">
        <v>78</v>
      </c>
      <c r="AQ1436">
        <v>8</v>
      </c>
      <c r="AR1436">
        <v>0</v>
      </c>
      <c r="AS1436">
        <v>0</v>
      </c>
    </row>
    <row r="1437" spans="1:4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 t="str">
        <f>IF(Employee_data[[#This Row],[MonthlyIncome]]&lt;5000,"Low Income",
IF(Employee_data[[#This Row],[MonthlyIncome]]&lt;10000,"Medium Income","High Income"))</f>
        <v>Low Income</v>
      </c>
      <c r="U1437" t="s">
        <v>91</v>
      </c>
      <c r="V1437" t="s">
        <v>91</v>
      </c>
      <c r="W1437" t="s">
        <v>91</v>
      </c>
      <c r="X1437" t="s">
        <v>91</v>
      </c>
      <c r="Y1437">
        <v>13422</v>
      </c>
      <c r="Z1437">
        <v>6</v>
      </c>
      <c r="AA1437" t="s">
        <v>42</v>
      </c>
      <c r="AB1437" t="s">
        <v>35</v>
      </c>
      <c r="AC1437">
        <v>12</v>
      </c>
      <c r="AD1437">
        <v>3</v>
      </c>
      <c r="AE1437">
        <v>3</v>
      </c>
      <c r="AF1437">
        <v>80</v>
      </c>
      <c r="AG1437">
        <v>0</v>
      </c>
      <c r="AH143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37">
        <v>6</v>
      </c>
      <c r="AJ1437" t="s">
        <v>74</v>
      </c>
      <c r="AK1437">
        <v>2</v>
      </c>
      <c r="AL1437" t="s">
        <v>74</v>
      </c>
      <c r="AM1437">
        <v>3</v>
      </c>
      <c r="AN1437" t="s">
        <v>74</v>
      </c>
      <c r="AO1437">
        <v>4</v>
      </c>
      <c r="AP1437" t="s">
        <v>74</v>
      </c>
      <c r="AQ1437">
        <v>3</v>
      </c>
      <c r="AR1437">
        <v>1</v>
      </c>
      <c r="AS1437">
        <v>2</v>
      </c>
    </row>
    <row r="1438" spans="1:4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 t="str">
        <f>IF(Employee_data[[#This Row],[MonthlyIncome]]&lt;5000,"Low Income",
IF(Employee_data[[#This Row],[MonthlyIncome]]&lt;10000,"Medium Income","High Income"))</f>
        <v>Low Income</v>
      </c>
      <c r="U1438" t="s">
        <v>91</v>
      </c>
      <c r="V1438" t="s">
        <v>91</v>
      </c>
      <c r="W1438" t="s">
        <v>91</v>
      </c>
      <c r="X1438" t="s">
        <v>91</v>
      </c>
      <c r="Y1438">
        <v>25479</v>
      </c>
      <c r="Z1438">
        <v>1</v>
      </c>
      <c r="AA1438" t="s">
        <v>42</v>
      </c>
      <c r="AB1438" t="s">
        <v>35</v>
      </c>
      <c r="AC1438">
        <v>11</v>
      </c>
      <c r="AD1438">
        <v>3</v>
      </c>
      <c r="AE1438">
        <v>4</v>
      </c>
      <c r="AF1438">
        <v>80</v>
      </c>
      <c r="AG1438">
        <v>0</v>
      </c>
      <c r="AH143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38">
        <v>2</v>
      </c>
      <c r="AJ1438" t="s">
        <v>74</v>
      </c>
      <c r="AK1438">
        <v>6</v>
      </c>
      <c r="AL1438" t="s">
        <v>74</v>
      </c>
      <c r="AM1438">
        <v>3</v>
      </c>
      <c r="AN1438" t="s">
        <v>74</v>
      </c>
      <c r="AO1438">
        <v>2</v>
      </c>
      <c r="AP1438" t="s">
        <v>74</v>
      </c>
      <c r="AQ1438">
        <v>2</v>
      </c>
      <c r="AR1438">
        <v>1</v>
      </c>
      <c r="AS1438">
        <v>2</v>
      </c>
    </row>
    <row r="1439" spans="1:4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 t="str">
        <f>IF(Employee_data[[#This Row],[MonthlyIncome]]&lt;5000,"Low Income",
IF(Employee_data[[#This Row],[MonthlyIncome]]&lt;10000,"Medium Income","High Income"))</f>
        <v>High Income</v>
      </c>
      <c r="U1439" t="s">
        <v>90</v>
      </c>
      <c r="V1439" t="s">
        <v>90</v>
      </c>
      <c r="W1439" t="s">
        <v>90</v>
      </c>
      <c r="X1439" t="s">
        <v>90</v>
      </c>
      <c r="Y1439">
        <v>15302</v>
      </c>
      <c r="Z1439">
        <v>2</v>
      </c>
      <c r="AA1439" t="s">
        <v>42</v>
      </c>
      <c r="AB1439" t="s">
        <v>43</v>
      </c>
      <c r="AC1439">
        <v>13</v>
      </c>
      <c r="AD1439">
        <v>3</v>
      </c>
      <c r="AE1439">
        <v>3</v>
      </c>
      <c r="AF1439">
        <v>80</v>
      </c>
      <c r="AG1439">
        <v>0</v>
      </c>
      <c r="AH143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39">
        <v>21</v>
      </c>
      <c r="AJ1439" t="s">
        <v>78</v>
      </c>
      <c r="AK1439">
        <v>3</v>
      </c>
      <c r="AL1439" t="s">
        <v>78</v>
      </c>
      <c r="AM1439">
        <v>2</v>
      </c>
      <c r="AN1439" t="s">
        <v>78</v>
      </c>
      <c r="AO1439">
        <v>6</v>
      </c>
      <c r="AP1439" t="s">
        <v>78</v>
      </c>
      <c r="AQ1439">
        <v>0</v>
      </c>
      <c r="AR1439">
        <v>1</v>
      </c>
      <c r="AS1439">
        <v>3</v>
      </c>
    </row>
    <row r="1440" spans="1:4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 t="str">
        <f>IF(Employee_data[[#This Row],[MonthlyIncome]]&lt;5000,"Low Income",
IF(Employee_data[[#This Row],[MonthlyIncome]]&lt;10000,"Medium Income","High Income"))</f>
        <v>Low Income</v>
      </c>
      <c r="U1440" t="s">
        <v>91</v>
      </c>
      <c r="V1440" t="s">
        <v>91</v>
      </c>
      <c r="W1440" t="s">
        <v>91</v>
      </c>
      <c r="X1440" t="s">
        <v>91</v>
      </c>
      <c r="Y1440">
        <v>26956</v>
      </c>
      <c r="Z1440">
        <v>1</v>
      </c>
      <c r="AA1440" t="s">
        <v>42</v>
      </c>
      <c r="AB1440" t="s">
        <v>43</v>
      </c>
      <c r="AC1440">
        <v>19</v>
      </c>
      <c r="AD1440">
        <v>3</v>
      </c>
      <c r="AE1440">
        <v>1</v>
      </c>
      <c r="AF1440">
        <v>80</v>
      </c>
      <c r="AG1440">
        <v>1</v>
      </c>
      <c r="AH144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40">
        <v>1</v>
      </c>
      <c r="AJ1440" t="s">
        <v>74</v>
      </c>
      <c r="AK1440">
        <v>3</v>
      </c>
      <c r="AL1440" t="s">
        <v>74</v>
      </c>
      <c r="AM1440">
        <v>2</v>
      </c>
      <c r="AN1440" t="s">
        <v>74</v>
      </c>
      <c r="AO1440">
        <v>1</v>
      </c>
      <c r="AP1440" t="s">
        <v>74</v>
      </c>
      <c r="AQ1440">
        <v>0</v>
      </c>
      <c r="AR1440">
        <v>1</v>
      </c>
      <c r="AS1440">
        <v>0</v>
      </c>
    </row>
    <row r="1441" spans="1:4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 t="str">
        <f>IF(Employee_data[[#This Row],[MonthlyIncome]]&lt;5000,"Low Income",
IF(Employee_data[[#This Row],[MonthlyIncome]]&lt;10000,"Medium Income","High Income"))</f>
        <v>Medium Income</v>
      </c>
      <c r="U1441" t="s">
        <v>92</v>
      </c>
      <c r="V1441" t="s">
        <v>92</v>
      </c>
      <c r="W1441" t="s">
        <v>92</v>
      </c>
      <c r="X1441" t="s">
        <v>92</v>
      </c>
      <c r="Y1441">
        <v>12695</v>
      </c>
      <c r="Z1441">
        <v>0</v>
      </c>
      <c r="AA1441" t="s">
        <v>42</v>
      </c>
      <c r="AB1441" t="s">
        <v>43</v>
      </c>
      <c r="AC1441">
        <v>19</v>
      </c>
      <c r="AD1441">
        <v>3</v>
      </c>
      <c r="AE1441">
        <v>3</v>
      </c>
      <c r="AF1441">
        <v>80</v>
      </c>
      <c r="AG1441">
        <v>2</v>
      </c>
      <c r="AH144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41">
        <v>10</v>
      </c>
      <c r="AJ1441" t="s">
        <v>78</v>
      </c>
      <c r="AK1441">
        <v>2</v>
      </c>
      <c r="AL1441" t="s">
        <v>78</v>
      </c>
      <c r="AM1441">
        <v>3</v>
      </c>
      <c r="AN1441" t="s">
        <v>78</v>
      </c>
      <c r="AO1441">
        <v>9</v>
      </c>
      <c r="AP1441" t="s">
        <v>78</v>
      </c>
      <c r="AQ1441">
        <v>7</v>
      </c>
      <c r="AR1441">
        <v>3</v>
      </c>
      <c r="AS1441">
        <v>4</v>
      </c>
    </row>
    <row r="1442" spans="1:4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 t="str">
        <f>IF(Employee_data[[#This Row],[MonthlyIncome]]&lt;5000,"Low Income",
IF(Employee_data[[#This Row],[MonthlyIncome]]&lt;10000,"Medium Income","High Income"))</f>
        <v>Medium Income</v>
      </c>
      <c r="U1442" t="s">
        <v>92</v>
      </c>
      <c r="V1442" t="s">
        <v>92</v>
      </c>
      <c r="W1442" t="s">
        <v>92</v>
      </c>
      <c r="X1442" t="s">
        <v>92</v>
      </c>
      <c r="Y1442">
        <v>9192</v>
      </c>
      <c r="Z1442">
        <v>7</v>
      </c>
      <c r="AA1442" t="s">
        <v>42</v>
      </c>
      <c r="AB1442" t="s">
        <v>43</v>
      </c>
      <c r="AC1442">
        <v>13</v>
      </c>
      <c r="AD1442">
        <v>3</v>
      </c>
      <c r="AE1442">
        <v>2</v>
      </c>
      <c r="AF1442">
        <v>80</v>
      </c>
      <c r="AG1442">
        <v>3</v>
      </c>
      <c r="AH144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42">
        <v>18</v>
      </c>
      <c r="AJ1442" t="s">
        <v>74</v>
      </c>
      <c r="AK1442">
        <v>3</v>
      </c>
      <c r="AL1442" t="s">
        <v>74</v>
      </c>
      <c r="AM1442">
        <v>3</v>
      </c>
      <c r="AN1442" t="s">
        <v>74</v>
      </c>
      <c r="AO1442">
        <v>4</v>
      </c>
      <c r="AP1442" t="s">
        <v>74</v>
      </c>
      <c r="AQ1442">
        <v>2</v>
      </c>
      <c r="AR1442">
        <v>0</v>
      </c>
      <c r="AS1442">
        <v>2</v>
      </c>
    </row>
    <row r="1443" spans="1:4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 t="str">
        <f>IF(Employee_data[[#This Row],[MonthlyIncome]]&lt;5000,"Low Income",
IF(Employee_data[[#This Row],[MonthlyIncome]]&lt;10000,"Medium Income","High Income"))</f>
        <v>Medium Income</v>
      </c>
      <c r="U1443" t="s">
        <v>92</v>
      </c>
      <c r="V1443" t="s">
        <v>92</v>
      </c>
      <c r="W1443" t="s">
        <v>92</v>
      </c>
      <c r="X1443" t="s">
        <v>92</v>
      </c>
      <c r="Y1443">
        <v>26236</v>
      </c>
      <c r="Z1443">
        <v>1</v>
      </c>
      <c r="AA1443" t="s">
        <v>42</v>
      </c>
      <c r="AB1443" t="s">
        <v>43</v>
      </c>
      <c r="AC1443">
        <v>21</v>
      </c>
      <c r="AD1443">
        <v>4</v>
      </c>
      <c r="AE1443">
        <v>1</v>
      </c>
      <c r="AF1443">
        <v>80</v>
      </c>
      <c r="AG1443">
        <v>1</v>
      </c>
      <c r="AH144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43">
        <v>13</v>
      </c>
      <c r="AJ1443" t="s">
        <v>75</v>
      </c>
      <c r="AK1443">
        <v>2</v>
      </c>
      <c r="AL1443" t="s">
        <v>75</v>
      </c>
      <c r="AM1443">
        <v>2</v>
      </c>
      <c r="AN1443" t="s">
        <v>75</v>
      </c>
      <c r="AO1443">
        <v>13</v>
      </c>
      <c r="AP1443" t="s">
        <v>75</v>
      </c>
      <c r="AQ1443">
        <v>12</v>
      </c>
      <c r="AR1443">
        <v>1</v>
      </c>
      <c r="AS1443">
        <v>9</v>
      </c>
    </row>
    <row r="1444" spans="1:4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 t="str">
        <f>IF(Employee_data[[#This Row],[MonthlyIncome]]&lt;5000,"Low Income",
IF(Employee_data[[#This Row],[MonthlyIncome]]&lt;10000,"Medium Income","High Income"))</f>
        <v>Low Income</v>
      </c>
      <c r="U1444" t="s">
        <v>91</v>
      </c>
      <c r="V1444" t="s">
        <v>91</v>
      </c>
      <c r="W1444" t="s">
        <v>91</v>
      </c>
      <c r="X1444" t="s">
        <v>91</v>
      </c>
      <c r="Y1444">
        <v>26124</v>
      </c>
      <c r="Z1444">
        <v>9</v>
      </c>
      <c r="AA1444" t="s">
        <v>42</v>
      </c>
      <c r="AB1444" t="s">
        <v>35</v>
      </c>
      <c r="AC1444">
        <v>14</v>
      </c>
      <c r="AD1444">
        <v>3</v>
      </c>
      <c r="AE1444">
        <v>2</v>
      </c>
      <c r="AF1444">
        <v>80</v>
      </c>
      <c r="AG1444">
        <v>3</v>
      </c>
      <c r="AH144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44">
        <v>4</v>
      </c>
      <c r="AJ1444" t="s">
        <v>74</v>
      </c>
      <c r="AK1444">
        <v>3</v>
      </c>
      <c r="AL1444" t="s">
        <v>74</v>
      </c>
      <c r="AM1444">
        <v>4</v>
      </c>
      <c r="AN1444" t="s">
        <v>74</v>
      </c>
      <c r="AO1444">
        <v>2</v>
      </c>
      <c r="AP1444" t="s">
        <v>74</v>
      </c>
      <c r="AQ1444">
        <v>2</v>
      </c>
      <c r="AR1444">
        <v>2</v>
      </c>
      <c r="AS1444">
        <v>2</v>
      </c>
    </row>
    <row r="1445" spans="1:4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 t="str">
        <f>IF(Employee_data[[#This Row],[MonthlyIncome]]&lt;5000,"Low Income",
IF(Employee_data[[#This Row],[MonthlyIncome]]&lt;10000,"Medium Income","High Income"))</f>
        <v>High Income</v>
      </c>
      <c r="U1445" t="s">
        <v>90</v>
      </c>
      <c r="V1445" t="s">
        <v>90</v>
      </c>
      <c r="W1445" t="s">
        <v>90</v>
      </c>
      <c r="X1445" t="s">
        <v>90</v>
      </c>
      <c r="Y1445">
        <v>17312</v>
      </c>
      <c r="Z1445">
        <v>5</v>
      </c>
      <c r="AA1445" t="s">
        <v>42</v>
      </c>
      <c r="AB1445" t="s">
        <v>43</v>
      </c>
      <c r="AC1445">
        <v>11</v>
      </c>
      <c r="AD1445">
        <v>3</v>
      </c>
      <c r="AE1445">
        <v>1</v>
      </c>
      <c r="AF1445">
        <v>80</v>
      </c>
      <c r="AG1445">
        <v>0</v>
      </c>
      <c r="AH144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45">
        <v>24</v>
      </c>
      <c r="AJ1445" t="s">
        <v>76</v>
      </c>
      <c r="AK1445">
        <v>2</v>
      </c>
      <c r="AL1445" t="s">
        <v>76</v>
      </c>
      <c r="AM1445">
        <v>2</v>
      </c>
      <c r="AN1445" t="s">
        <v>76</v>
      </c>
      <c r="AO1445">
        <v>22</v>
      </c>
      <c r="AP1445" t="s">
        <v>76</v>
      </c>
      <c r="AQ1445">
        <v>6</v>
      </c>
      <c r="AR1445">
        <v>4</v>
      </c>
      <c r="AS1445">
        <v>14</v>
      </c>
    </row>
    <row r="1446" spans="1:4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 t="str">
        <f>IF(Employee_data[[#This Row],[MonthlyIncome]]&lt;5000,"Low Income",
IF(Employee_data[[#This Row],[MonthlyIncome]]&lt;10000,"Medium Income","High Income"))</f>
        <v>Low Income</v>
      </c>
      <c r="U1446" t="s">
        <v>91</v>
      </c>
      <c r="V1446" t="s">
        <v>91</v>
      </c>
      <c r="W1446" t="s">
        <v>91</v>
      </c>
      <c r="X1446" t="s">
        <v>91</v>
      </c>
      <c r="Y1446">
        <v>3666</v>
      </c>
      <c r="Z1446">
        <v>8</v>
      </c>
      <c r="AA1446" t="s">
        <v>42</v>
      </c>
      <c r="AB1446" t="s">
        <v>43</v>
      </c>
      <c r="AC1446">
        <v>11</v>
      </c>
      <c r="AD1446">
        <v>3</v>
      </c>
      <c r="AE1446">
        <v>4</v>
      </c>
      <c r="AF1446">
        <v>80</v>
      </c>
      <c r="AG1446">
        <v>1</v>
      </c>
      <c r="AH144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46">
        <v>14</v>
      </c>
      <c r="AJ1446" t="s">
        <v>75</v>
      </c>
      <c r="AK1446">
        <v>4</v>
      </c>
      <c r="AL1446" t="s">
        <v>75</v>
      </c>
      <c r="AM1446">
        <v>1</v>
      </c>
      <c r="AN1446" t="s">
        <v>75</v>
      </c>
      <c r="AO1446">
        <v>10</v>
      </c>
      <c r="AP1446" t="s">
        <v>75</v>
      </c>
      <c r="AQ1446">
        <v>9</v>
      </c>
      <c r="AR1446">
        <v>9</v>
      </c>
      <c r="AS1446">
        <v>8</v>
      </c>
    </row>
    <row r="1447" spans="1:4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 t="str">
        <f>IF(Employee_data[[#This Row],[MonthlyIncome]]&lt;5000,"Low Income",
IF(Employee_data[[#This Row],[MonthlyIncome]]&lt;10000,"Medium Income","High Income"))</f>
        <v>High Income</v>
      </c>
      <c r="U1447" t="s">
        <v>90</v>
      </c>
      <c r="V1447" t="s">
        <v>90</v>
      </c>
      <c r="W1447" t="s">
        <v>90</v>
      </c>
      <c r="X1447" t="s">
        <v>90</v>
      </c>
      <c r="Y1447">
        <v>5640</v>
      </c>
      <c r="Z1447">
        <v>0</v>
      </c>
      <c r="AA1447" t="s">
        <v>42</v>
      </c>
      <c r="AB1447" t="s">
        <v>43</v>
      </c>
      <c r="AC1447">
        <v>23</v>
      </c>
      <c r="AD1447">
        <v>4</v>
      </c>
      <c r="AE1447">
        <v>3</v>
      </c>
      <c r="AF1447">
        <v>80</v>
      </c>
      <c r="AG1447">
        <v>1</v>
      </c>
      <c r="AH144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47">
        <v>21</v>
      </c>
      <c r="AJ1447" t="s">
        <v>76</v>
      </c>
      <c r="AK1447">
        <v>3</v>
      </c>
      <c r="AL1447" t="s">
        <v>76</v>
      </c>
      <c r="AM1447">
        <v>3</v>
      </c>
      <c r="AN1447" t="s">
        <v>76</v>
      </c>
      <c r="AO1447">
        <v>20</v>
      </c>
      <c r="AP1447" t="s">
        <v>76</v>
      </c>
      <c r="AQ1447">
        <v>7</v>
      </c>
      <c r="AR1447">
        <v>0</v>
      </c>
      <c r="AS1447">
        <v>10</v>
      </c>
    </row>
    <row r="1448" spans="1:4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 t="str">
        <f>IF(Employee_data[[#This Row],[MonthlyIncome]]&lt;5000,"Low Income",
IF(Employee_data[[#This Row],[MonthlyIncome]]&lt;10000,"Medium Income","High Income"))</f>
        <v>Medium Income</v>
      </c>
      <c r="U1448" t="s">
        <v>92</v>
      </c>
      <c r="V1448" t="s">
        <v>92</v>
      </c>
      <c r="W1448" t="s">
        <v>92</v>
      </c>
      <c r="X1448" t="s">
        <v>92</v>
      </c>
      <c r="Y1448">
        <v>8978</v>
      </c>
      <c r="Z1448">
        <v>1</v>
      </c>
      <c r="AA1448" t="s">
        <v>42</v>
      </c>
      <c r="AB1448" t="s">
        <v>43</v>
      </c>
      <c r="AC1448">
        <v>21</v>
      </c>
      <c r="AD1448">
        <v>4</v>
      </c>
      <c r="AE1448">
        <v>4</v>
      </c>
      <c r="AF1448">
        <v>80</v>
      </c>
      <c r="AG1448">
        <v>2</v>
      </c>
      <c r="AH144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48">
        <v>8</v>
      </c>
      <c r="AJ1448" t="s">
        <v>78</v>
      </c>
      <c r="AK1448">
        <v>2</v>
      </c>
      <c r="AL1448" t="s">
        <v>78</v>
      </c>
      <c r="AM1448">
        <v>3</v>
      </c>
      <c r="AN1448" t="s">
        <v>78</v>
      </c>
      <c r="AO1448">
        <v>8</v>
      </c>
      <c r="AP1448" t="s">
        <v>78</v>
      </c>
      <c r="AQ1448">
        <v>7</v>
      </c>
      <c r="AR1448">
        <v>1</v>
      </c>
      <c r="AS1448">
        <v>7</v>
      </c>
    </row>
    <row r="1449" spans="1:4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 t="str">
        <f>IF(Employee_data[[#This Row],[MonthlyIncome]]&lt;5000,"Low Income",
IF(Employee_data[[#This Row],[MonthlyIncome]]&lt;10000,"Medium Income","High Income"))</f>
        <v>Medium Income</v>
      </c>
      <c r="U1449" t="s">
        <v>92</v>
      </c>
      <c r="V1449" t="s">
        <v>92</v>
      </c>
      <c r="W1449" t="s">
        <v>92</v>
      </c>
      <c r="X1449" t="s">
        <v>92</v>
      </c>
      <c r="Y1449">
        <v>10436</v>
      </c>
      <c r="Z1449">
        <v>1</v>
      </c>
      <c r="AA1449" t="s">
        <v>42</v>
      </c>
      <c r="AB1449" t="s">
        <v>43</v>
      </c>
      <c r="AC1449">
        <v>24</v>
      </c>
      <c r="AD1449">
        <v>4</v>
      </c>
      <c r="AE1449">
        <v>1</v>
      </c>
      <c r="AF1449">
        <v>80</v>
      </c>
      <c r="AG1449">
        <v>1</v>
      </c>
      <c r="AH144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49">
        <v>15</v>
      </c>
      <c r="AJ1449" t="s">
        <v>76</v>
      </c>
      <c r="AK1449">
        <v>4</v>
      </c>
      <c r="AL1449" t="s">
        <v>76</v>
      </c>
      <c r="AM1449">
        <v>2</v>
      </c>
      <c r="AN1449" t="s">
        <v>76</v>
      </c>
      <c r="AO1449">
        <v>15</v>
      </c>
      <c r="AP1449" t="s">
        <v>76</v>
      </c>
      <c r="AQ1449">
        <v>12</v>
      </c>
      <c r="AR1449">
        <v>11</v>
      </c>
      <c r="AS1449">
        <v>11</v>
      </c>
    </row>
    <row r="1450" spans="1:4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 t="str">
        <f>IF(Employee_data[[#This Row],[MonthlyIncome]]&lt;5000,"Low Income",
IF(Employee_data[[#This Row],[MonthlyIncome]]&lt;10000,"Medium Income","High Income"))</f>
        <v>Medium Income</v>
      </c>
      <c r="U1450" t="s">
        <v>92</v>
      </c>
      <c r="V1450" t="s">
        <v>92</v>
      </c>
      <c r="W1450" t="s">
        <v>92</v>
      </c>
      <c r="X1450" t="s">
        <v>92</v>
      </c>
      <c r="Y1450">
        <v>12227</v>
      </c>
      <c r="Z1450">
        <v>2</v>
      </c>
      <c r="AA1450" t="s">
        <v>42</v>
      </c>
      <c r="AB1450" t="s">
        <v>43</v>
      </c>
      <c r="AC1450">
        <v>11</v>
      </c>
      <c r="AD1450">
        <v>3</v>
      </c>
      <c r="AE1450">
        <v>3</v>
      </c>
      <c r="AF1450">
        <v>80</v>
      </c>
      <c r="AG1450">
        <v>1</v>
      </c>
      <c r="AH145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50">
        <v>14</v>
      </c>
      <c r="AJ1450" t="s">
        <v>78</v>
      </c>
      <c r="AK1450">
        <v>5</v>
      </c>
      <c r="AL1450" t="s">
        <v>78</v>
      </c>
      <c r="AM1450">
        <v>3</v>
      </c>
      <c r="AN1450" t="s">
        <v>78</v>
      </c>
      <c r="AO1450">
        <v>5</v>
      </c>
      <c r="AP1450" t="s">
        <v>78</v>
      </c>
      <c r="AQ1450">
        <v>4</v>
      </c>
      <c r="AR1450">
        <v>0</v>
      </c>
      <c r="AS1450">
        <v>4</v>
      </c>
    </row>
    <row r="1451" spans="1:4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 t="str">
        <f>IF(Employee_data[[#This Row],[MonthlyIncome]]&lt;5000,"Low Income",
IF(Employee_data[[#This Row],[MonthlyIncome]]&lt;10000,"Medium Income","High Income"))</f>
        <v>Low Income</v>
      </c>
      <c r="U1451" t="s">
        <v>91</v>
      </c>
      <c r="V1451" t="s">
        <v>91</v>
      </c>
      <c r="W1451" t="s">
        <v>91</v>
      </c>
      <c r="X1451" t="s">
        <v>91</v>
      </c>
      <c r="Y1451">
        <v>11288</v>
      </c>
      <c r="Z1451">
        <v>1</v>
      </c>
      <c r="AA1451" t="s">
        <v>42</v>
      </c>
      <c r="AB1451" t="s">
        <v>43</v>
      </c>
      <c r="AC1451">
        <v>14</v>
      </c>
      <c r="AD1451">
        <v>3</v>
      </c>
      <c r="AE1451">
        <v>4</v>
      </c>
      <c r="AF1451">
        <v>80</v>
      </c>
      <c r="AG1451">
        <v>0</v>
      </c>
      <c r="AH145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51">
        <v>4</v>
      </c>
      <c r="AJ1451" t="s">
        <v>74</v>
      </c>
      <c r="AK1451">
        <v>4</v>
      </c>
      <c r="AL1451" t="s">
        <v>74</v>
      </c>
      <c r="AM1451">
        <v>3</v>
      </c>
      <c r="AN1451" t="s">
        <v>74</v>
      </c>
      <c r="AO1451">
        <v>4</v>
      </c>
      <c r="AP1451" t="s">
        <v>74</v>
      </c>
      <c r="AQ1451">
        <v>2</v>
      </c>
      <c r="AR1451">
        <v>1</v>
      </c>
      <c r="AS1451">
        <v>2</v>
      </c>
    </row>
    <row r="1452" spans="1:4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 t="str">
        <f>IF(Employee_data[[#This Row],[MonthlyIncome]]&lt;5000,"Low Income",
IF(Employee_data[[#This Row],[MonthlyIncome]]&lt;10000,"Medium Income","High Income"))</f>
        <v>Medium Income</v>
      </c>
      <c r="U1452" t="s">
        <v>92</v>
      </c>
      <c r="V1452" t="s">
        <v>92</v>
      </c>
      <c r="W1452" t="s">
        <v>92</v>
      </c>
      <c r="X1452" t="s">
        <v>92</v>
      </c>
      <c r="Y1452">
        <v>16642</v>
      </c>
      <c r="Z1452">
        <v>1</v>
      </c>
      <c r="AA1452" t="s">
        <v>42</v>
      </c>
      <c r="AB1452" t="s">
        <v>35</v>
      </c>
      <c r="AC1452">
        <v>16</v>
      </c>
      <c r="AD1452">
        <v>3</v>
      </c>
      <c r="AE1452">
        <v>3</v>
      </c>
      <c r="AF1452">
        <v>80</v>
      </c>
      <c r="AG1452">
        <v>0</v>
      </c>
      <c r="AH145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52">
        <v>9</v>
      </c>
      <c r="AJ1452" t="s">
        <v>78</v>
      </c>
      <c r="AK1452">
        <v>2</v>
      </c>
      <c r="AL1452" t="s">
        <v>78</v>
      </c>
      <c r="AM1452">
        <v>3</v>
      </c>
      <c r="AN1452" t="s">
        <v>78</v>
      </c>
      <c r="AO1452">
        <v>9</v>
      </c>
      <c r="AP1452" t="s">
        <v>78</v>
      </c>
      <c r="AQ1452">
        <v>0</v>
      </c>
      <c r="AR1452">
        <v>1</v>
      </c>
      <c r="AS1452">
        <v>7</v>
      </c>
    </row>
    <row r="1453" spans="1:4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 t="str">
        <f>IF(Employee_data[[#This Row],[MonthlyIncome]]&lt;5000,"Low Income",
IF(Employee_data[[#This Row],[MonthlyIncome]]&lt;10000,"Medium Income","High Income"))</f>
        <v>Medium Income</v>
      </c>
      <c r="U1453" t="s">
        <v>92</v>
      </c>
      <c r="V1453" t="s">
        <v>92</v>
      </c>
      <c r="W1453" t="s">
        <v>92</v>
      </c>
      <c r="X1453" t="s">
        <v>92</v>
      </c>
      <c r="Y1453">
        <v>5982</v>
      </c>
      <c r="Z1453">
        <v>1</v>
      </c>
      <c r="AA1453" t="s">
        <v>42</v>
      </c>
      <c r="AB1453" t="s">
        <v>43</v>
      </c>
      <c r="AC1453">
        <v>11</v>
      </c>
      <c r="AD1453">
        <v>3</v>
      </c>
      <c r="AE1453">
        <v>3</v>
      </c>
      <c r="AF1453">
        <v>80</v>
      </c>
      <c r="AG1453">
        <v>1</v>
      </c>
      <c r="AH145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53">
        <v>10</v>
      </c>
      <c r="AJ1453" t="s">
        <v>75</v>
      </c>
      <c r="AK1453">
        <v>1</v>
      </c>
      <c r="AL1453" t="s">
        <v>75</v>
      </c>
      <c r="AM1453">
        <v>3</v>
      </c>
      <c r="AN1453" t="s">
        <v>75</v>
      </c>
      <c r="AO1453">
        <v>10</v>
      </c>
      <c r="AP1453" t="s">
        <v>75</v>
      </c>
      <c r="AQ1453">
        <v>7</v>
      </c>
      <c r="AR1453">
        <v>1</v>
      </c>
      <c r="AS1453">
        <v>9</v>
      </c>
    </row>
    <row r="1454" spans="1:4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 t="str">
        <f>IF(Employee_data[[#This Row],[MonthlyIncome]]&lt;5000,"Low Income",
IF(Employee_data[[#This Row],[MonthlyIncome]]&lt;10000,"Medium Income","High Income"))</f>
        <v>Medium Income</v>
      </c>
      <c r="U1454" t="s">
        <v>92</v>
      </c>
      <c r="V1454" t="s">
        <v>92</v>
      </c>
      <c r="W1454" t="s">
        <v>92</v>
      </c>
      <c r="X1454" t="s">
        <v>92</v>
      </c>
      <c r="Y1454">
        <v>14255</v>
      </c>
      <c r="Z1454">
        <v>7</v>
      </c>
      <c r="AA1454" t="s">
        <v>42</v>
      </c>
      <c r="AB1454" t="s">
        <v>43</v>
      </c>
      <c r="AC1454">
        <v>12</v>
      </c>
      <c r="AD1454">
        <v>3</v>
      </c>
      <c r="AE1454">
        <v>4</v>
      </c>
      <c r="AF1454">
        <v>80</v>
      </c>
      <c r="AG1454">
        <v>2</v>
      </c>
      <c r="AH145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54">
        <v>12</v>
      </c>
      <c r="AJ1454" t="s">
        <v>78</v>
      </c>
      <c r="AK1454">
        <v>3</v>
      </c>
      <c r="AL1454" t="s">
        <v>78</v>
      </c>
      <c r="AM1454">
        <v>3</v>
      </c>
      <c r="AN1454" t="s">
        <v>78</v>
      </c>
      <c r="AO1454">
        <v>6</v>
      </c>
      <c r="AP1454" t="s">
        <v>78</v>
      </c>
      <c r="AQ1454">
        <v>3</v>
      </c>
      <c r="AR1454">
        <v>0</v>
      </c>
      <c r="AS1454">
        <v>1</v>
      </c>
    </row>
    <row r="1455" spans="1:4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 t="str">
        <f>IF(Employee_data[[#This Row],[MonthlyIncome]]&lt;5000,"Low Income",
IF(Employee_data[[#This Row],[MonthlyIncome]]&lt;10000,"Medium Income","High Income"))</f>
        <v>Medium Income</v>
      </c>
      <c r="U1455" t="s">
        <v>92</v>
      </c>
      <c r="V1455" t="s">
        <v>92</v>
      </c>
      <c r="W1455" t="s">
        <v>92</v>
      </c>
      <c r="X1455" t="s">
        <v>92</v>
      </c>
      <c r="Y1455">
        <v>14369</v>
      </c>
      <c r="Z1455">
        <v>4</v>
      </c>
      <c r="AA1455" t="s">
        <v>42</v>
      </c>
      <c r="AB1455" t="s">
        <v>43</v>
      </c>
      <c r="AC1455">
        <v>13</v>
      </c>
      <c r="AD1455">
        <v>3</v>
      </c>
      <c r="AE1455">
        <v>1</v>
      </c>
      <c r="AF1455">
        <v>80</v>
      </c>
      <c r="AG1455">
        <v>1</v>
      </c>
      <c r="AH145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55">
        <v>8</v>
      </c>
      <c r="AJ1455" t="s">
        <v>78</v>
      </c>
      <c r="AK1455">
        <v>2</v>
      </c>
      <c r="AL1455" t="s">
        <v>78</v>
      </c>
      <c r="AM1455">
        <v>2</v>
      </c>
      <c r="AN1455" t="s">
        <v>78</v>
      </c>
      <c r="AO1455">
        <v>6</v>
      </c>
      <c r="AP1455" t="s">
        <v>78</v>
      </c>
      <c r="AQ1455">
        <v>3</v>
      </c>
      <c r="AR1455">
        <v>0</v>
      </c>
      <c r="AS1455">
        <v>0</v>
      </c>
    </row>
    <row r="1456" spans="1:4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 t="str">
        <f>IF(Employee_data[[#This Row],[MonthlyIncome]]&lt;5000,"Low Income",
IF(Employee_data[[#This Row],[MonthlyIncome]]&lt;10000,"Medium Income","High Income"))</f>
        <v>Low Income</v>
      </c>
      <c r="U1456" t="s">
        <v>91</v>
      </c>
      <c r="V1456" t="s">
        <v>91</v>
      </c>
      <c r="W1456" t="s">
        <v>91</v>
      </c>
      <c r="X1456" t="s">
        <v>91</v>
      </c>
      <c r="Y1456">
        <v>23333</v>
      </c>
      <c r="Z1456">
        <v>8</v>
      </c>
      <c r="AA1456" t="s">
        <v>42</v>
      </c>
      <c r="AB1456" t="s">
        <v>43</v>
      </c>
      <c r="AC1456">
        <v>15</v>
      </c>
      <c r="AD1456">
        <v>3</v>
      </c>
      <c r="AE1456">
        <v>3</v>
      </c>
      <c r="AF1456">
        <v>80</v>
      </c>
      <c r="AG1456">
        <v>0</v>
      </c>
      <c r="AH145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56">
        <v>8</v>
      </c>
      <c r="AJ1456" t="s">
        <v>78</v>
      </c>
      <c r="AK1456">
        <v>3</v>
      </c>
      <c r="AL1456" t="s">
        <v>78</v>
      </c>
      <c r="AM1456">
        <v>3</v>
      </c>
      <c r="AN1456" t="s">
        <v>78</v>
      </c>
      <c r="AO1456">
        <v>5</v>
      </c>
      <c r="AP1456" t="s">
        <v>78</v>
      </c>
      <c r="AQ1456">
        <v>3</v>
      </c>
      <c r="AR1456">
        <v>0</v>
      </c>
      <c r="AS1456">
        <v>1</v>
      </c>
    </row>
    <row r="1457" spans="1:4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 t="str">
        <f>IF(Employee_data[[#This Row],[MonthlyIncome]]&lt;5000,"Low Income",
IF(Employee_data[[#This Row],[MonthlyIncome]]&lt;10000,"Medium Income","High Income"))</f>
        <v>Low Income</v>
      </c>
      <c r="U1457" t="s">
        <v>91</v>
      </c>
      <c r="V1457" t="s">
        <v>91</v>
      </c>
      <c r="W1457" t="s">
        <v>91</v>
      </c>
      <c r="X1457" t="s">
        <v>91</v>
      </c>
      <c r="Y1457">
        <v>2725</v>
      </c>
      <c r="Z1457">
        <v>2</v>
      </c>
      <c r="AA1457" t="s">
        <v>42</v>
      </c>
      <c r="AB1457" t="s">
        <v>43</v>
      </c>
      <c r="AC1457">
        <v>14</v>
      </c>
      <c r="AD1457">
        <v>3</v>
      </c>
      <c r="AE1457">
        <v>4</v>
      </c>
      <c r="AF1457">
        <v>80</v>
      </c>
      <c r="AG1457">
        <v>0</v>
      </c>
      <c r="AH145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57">
        <v>8</v>
      </c>
      <c r="AJ1457" t="s">
        <v>74</v>
      </c>
      <c r="AK1457">
        <v>2</v>
      </c>
      <c r="AL1457" t="s">
        <v>74</v>
      </c>
      <c r="AM1457">
        <v>3</v>
      </c>
      <c r="AN1457" t="s">
        <v>74</v>
      </c>
      <c r="AO1457">
        <v>2</v>
      </c>
      <c r="AP1457" t="s">
        <v>74</v>
      </c>
      <c r="AQ1457">
        <v>2</v>
      </c>
      <c r="AR1457">
        <v>2</v>
      </c>
      <c r="AS1457">
        <v>2</v>
      </c>
    </row>
    <row r="1458" spans="1:4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 t="str">
        <f>IF(Employee_data[[#This Row],[MonthlyIncome]]&lt;5000,"Low Income",
IF(Employee_data[[#This Row],[MonthlyIncome]]&lt;10000,"Medium Income","High Income"))</f>
        <v>Medium Income</v>
      </c>
      <c r="U1458" t="s">
        <v>92</v>
      </c>
      <c r="V1458" t="s">
        <v>92</v>
      </c>
      <c r="W1458" t="s">
        <v>92</v>
      </c>
      <c r="X1458" t="s">
        <v>92</v>
      </c>
      <c r="Y1458">
        <v>24594</v>
      </c>
      <c r="Z1458">
        <v>1</v>
      </c>
      <c r="AA1458" t="s">
        <v>42</v>
      </c>
      <c r="AB1458" t="s">
        <v>35</v>
      </c>
      <c r="AC1458">
        <v>14</v>
      </c>
      <c r="AD1458">
        <v>3</v>
      </c>
      <c r="AE1458">
        <v>4</v>
      </c>
      <c r="AF1458">
        <v>80</v>
      </c>
      <c r="AG1458">
        <v>2</v>
      </c>
      <c r="AH145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10-14 Years</v>
      </c>
      <c r="AI1458">
        <v>10</v>
      </c>
      <c r="AJ1458" t="s">
        <v>75</v>
      </c>
      <c r="AK1458">
        <v>2</v>
      </c>
      <c r="AL1458" t="s">
        <v>75</v>
      </c>
      <c r="AM1458">
        <v>4</v>
      </c>
      <c r="AN1458" t="s">
        <v>75</v>
      </c>
      <c r="AO1458">
        <v>10</v>
      </c>
      <c r="AP1458" t="s">
        <v>75</v>
      </c>
      <c r="AQ1458">
        <v>2</v>
      </c>
      <c r="AR1458">
        <v>0</v>
      </c>
      <c r="AS1458">
        <v>2</v>
      </c>
    </row>
    <row r="1459" spans="1:4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 t="str">
        <f>IF(Employee_data[[#This Row],[MonthlyIncome]]&lt;5000,"Low Income",
IF(Employee_data[[#This Row],[MonthlyIncome]]&lt;10000,"Medium Income","High Income"))</f>
        <v>Low Income</v>
      </c>
      <c r="U1459" t="s">
        <v>91</v>
      </c>
      <c r="V1459" t="s">
        <v>91</v>
      </c>
      <c r="W1459" t="s">
        <v>91</v>
      </c>
      <c r="X1459" t="s">
        <v>91</v>
      </c>
      <c r="Y1459">
        <v>12549</v>
      </c>
      <c r="Z1459">
        <v>2</v>
      </c>
      <c r="AA1459" t="s">
        <v>42</v>
      </c>
      <c r="AB1459" t="s">
        <v>43</v>
      </c>
      <c r="AC1459">
        <v>14</v>
      </c>
      <c r="AD1459">
        <v>3</v>
      </c>
      <c r="AE1459">
        <v>2</v>
      </c>
      <c r="AF1459">
        <v>80</v>
      </c>
      <c r="AG1459">
        <v>3</v>
      </c>
      <c r="AH145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59">
        <v>20</v>
      </c>
      <c r="AJ1459" t="s">
        <v>78</v>
      </c>
      <c r="AK1459">
        <v>2</v>
      </c>
      <c r="AL1459" t="s">
        <v>78</v>
      </c>
      <c r="AM1459">
        <v>3</v>
      </c>
      <c r="AN1459" t="s">
        <v>78</v>
      </c>
      <c r="AO1459">
        <v>5</v>
      </c>
      <c r="AP1459" t="s">
        <v>78</v>
      </c>
      <c r="AQ1459">
        <v>3</v>
      </c>
      <c r="AR1459">
        <v>0</v>
      </c>
      <c r="AS1459">
        <v>2</v>
      </c>
    </row>
    <row r="1460" spans="1:4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 t="str">
        <f>IF(Employee_data[[#This Row],[MonthlyIncome]]&lt;5000,"Low Income",
IF(Employee_data[[#This Row],[MonthlyIncome]]&lt;10000,"Medium Income","High Income"))</f>
        <v>Low Income</v>
      </c>
      <c r="U1460" t="s">
        <v>91</v>
      </c>
      <c r="V1460" t="s">
        <v>91</v>
      </c>
      <c r="W1460" t="s">
        <v>91</v>
      </c>
      <c r="X1460" t="s">
        <v>91</v>
      </c>
      <c r="Y1460">
        <v>8952</v>
      </c>
      <c r="Z1460">
        <v>1</v>
      </c>
      <c r="AA1460" t="s">
        <v>42</v>
      </c>
      <c r="AB1460" t="s">
        <v>43</v>
      </c>
      <c r="AC1460">
        <v>12</v>
      </c>
      <c r="AD1460">
        <v>3</v>
      </c>
      <c r="AE1460">
        <v>4</v>
      </c>
      <c r="AF1460">
        <v>80</v>
      </c>
      <c r="AG1460">
        <v>1</v>
      </c>
      <c r="AH146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60">
        <v>4</v>
      </c>
      <c r="AJ1460" t="s">
        <v>74</v>
      </c>
      <c r="AK1460">
        <v>5</v>
      </c>
      <c r="AL1460" t="s">
        <v>74</v>
      </c>
      <c r="AM1460">
        <v>3</v>
      </c>
      <c r="AN1460" t="s">
        <v>74</v>
      </c>
      <c r="AO1460">
        <v>4</v>
      </c>
      <c r="AP1460" t="s">
        <v>74</v>
      </c>
      <c r="AQ1460">
        <v>3</v>
      </c>
      <c r="AR1460">
        <v>1</v>
      </c>
      <c r="AS1460">
        <v>1</v>
      </c>
    </row>
    <row r="1461" spans="1:4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 t="str">
        <f>IF(Employee_data[[#This Row],[MonthlyIncome]]&lt;5000,"Low Income",
IF(Employee_data[[#This Row],[MonthlyIncome]]&lt;10000,"Medium Income","High Income"))</f>
        <v>Low Income</v>
      </c>
      <c r="U1461" t="s">
        <v>91</v>
      </c>
      <c r="V1461" t="s">
        <v>91</v>
      </c>
      <c r="W1461" t="s">
        <v>91</v>
      </c>
      <c r="X1461" t="s">
        <v>91</v>
      </c>
      <c r="Y1461">
        <v>23679</v>
      </c>
      <c r="Z1461">
        <v>4</v>
      </c>
      <c r="AA1461" t="s">
        <v>42</v>
      </c>
      <c r="AB1461" t="s">
        <v>35</v>
      </c>
      <c r="AC1461">
        <v>13</v>
      </c>
      <c r="AD1461">
        <v>3</v>
      </c>
      <c r="AE1461">
        <v>1</v>
      </c>
      <c r="AF1461">
        <v>80</v>
      </c>
      <c r="AG1461">
        <v>1</v>
      </c>
      <c r="AH146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61">
        <v>10</v>
      </c>
      <c r="AJ1461" t="s">
        <v>74</v>
      </c>
      <c r="AK1461">
        <v>2</v>
      </c>
      <c r="AL1461" t="s">
        <v>74</v>
      </c>
      <c r="AM1461">
        <v>3</v>
      </c>
      <c r="AN1461" t="s">
        <v>74</v>
      </c>
      <c r="AO1461">
        <v>4</v>
      </c>
      <c r="AP1461" t="s">
        <v>74</v>
      </c>
      <c r="AQ1461">
        <v>3</v>
      </c>
      <c r="AR1461">
        <v>0</v>
      </c>
      <c r="AS1461">
        <v>3</v>
      </c>
    </row>
    <row r="1462" spans="1:4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 t="str">
        <f>IF(Employee_data[[#This Row],[MonthlyIncome]]&lt;5000,"Low Income",
IF(Employee_data[[#This Row],[MonthlyIncome]]&lt;10000,"Medium Income","High Income"))</f>
        <v>Low Income</v>
      </c>
      <c r="U1462" t="s">
        <v>91</v>
      </c>
      <c r="V1462" t="s">
        <v>91</v>
      </c>
      <c r="W1462" t="s">
        <v>91</v>
      </c>
      <c r="X1462" t="s">
        <v>91</v>
      </c>
      <c r="Y1462">
        <v>8489</v>
      </c>
      <c r="Z1462">
        <v>1</v>
      </c>
      <c r="AA1462" t="s">
        <v>42</v>
      </c>
      <c r="AB1462" t="s">
        <v>43</v>
      </c>
      <c r="AC1462">
        <v>14</v>
      </c>
      <c r="AD1462">
        <v>3</v>
      </c>
      <c r="AE1462">
        <v>2</v>
      </c>
      <c r="AF1462">
        <v>80</v>
      </c>
      <c r="AG1462">
        <v>0</v>
      </c>
      <c r="AH1462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62">
        <v>5</v>
      </c>
      <c r="AJ1462" t="s">
        <v>78</v>
      </c>
      <c r="AK1462">
        <v>3</v>
      </c>
      <c r="AL1462" t="s">
        <v>78</v>
      </c>
      <c r="AM1462">
        <v>1</v>
      </c>
      <c r="AN1462" t="s">
        <v>78</v>
      </c>
      <c r="AO1462">
        <v>5</v>
      </c>
      <c r="AP1462" t="s">
        <v>78</v>
      </c>
      <c r="AQ1462">
        <v>4</v>
      </c>
      <c r="AR1462">
        <v>0</v>
      </c>
      <c r="AS1462">
        <v>4</v>
      </c>
    </row>
    <row r="1463" spans="1:4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 t="str">
        <f>IF(Employee_data[[#This Row],[MonthlyIncome]]&lt;5000,"Low Income",
IF(Employee_data[[#This Row],[MonthlyIncome]]&lt;10000,"Medium Income","High Income"))</f>
        <v>High Income</v>
      </c>
      <c r="U1463" t="s">
        <v>90</v>
      </c>
      <c r="V1463" t="s">
        <v>90</v>
      </c>
      <c r="W1463" t="s">
        <v>90</v>
      </c>
      <c r="X1463" t="s">
        <v>90</v>
      </c>
      <c r="Y1463">
        <v>16586</v>
      </c>
      <c r="Z1463">
        <v>4</v>
      </c>
      <c r="AA1463" t="s">
        <v>42</v>
      </c>
      <c r="AB1463" t="s">
        <v>35</v>
      </c>
      <c r="AC1463">
        <v>13</v>
      </c>
      <c r="AD1463">
        <v>3</v>
      </c>
      <c r="AE1463">
        <v>2</v>
      </c>
      <c r="AF1463">
        <v>80</v>
      </c>
      <c r="AG1463">
        <v>1</v>
      </c>
      <c r="AH1463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63">
        <v>20</v>
      </c>
      <c r="AJ1463" t="s">
        <v>74</v>
      </c>
      <c r="AK1463">
        <v>3</v>
      </c>
      <c r="AL1463" t="s">
        <v>74</v>
      </c>
      <c r="AM1463">
        <v>3</v>
      </c>
      <c r="AN1463" t="s">
        <v>74</v>
      </c>
      <c r="AO1463">
        <v>3</v>
      </c>
      <c r="AP1463" t="s">
        <v>74</v>
      </c>
      <c r="AQ1463">
        <v>2</v>
      </c>
      <c r="AR1463">
        <v>2</v>
      </c>
      <c r="AS1463">
        <v>0</v>
      </c>
    </row>
    <row r="1464" spans="1:4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 t="str">
        <f>IF(Employee_data[[#This Row],[MonthlyIncome]]&lt;5000,"Low Income",
IF(Employee_data[[#This Row],[MonthlyIncome]]&lt;10000,"Medium Income","High Income"))</f>
        <v>High Income</v>
      </c>
      <c r="U1464" t="s">
        <v>90</v>
      </c>
      <c r="V1464" t="s">
        <v>90</v>
      </c>
      <c r="W1464" t="s">
        <v>90</v>
      </c>
      <c r="X1464" t="s">
        <v>90</v>
      </c>
      <c r="Y1464">
        <v>8828</v>
      </c>
      <c r="Z1464">
        <v>0</v>
      </c>
      <c r="AA1464" t="s">
        <v>42</v>
      </c>
      <c r="AB1464" t="s">
        <v>43</v>
      </c>
      <c r="AC1464">
        <v>11</v>
      </c>
      <c r="AD1464">
        <v>3</v>
      </c>
      <c r="AE1464">
        <v>1</v>
      </c>
      <c r="AF1464">
        <v>80</v>
      </c>
      <c r="AG1464">
        <v>1</v>
      </c>
      <c r="AH1464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15-24 Years</v>
      </c>
      <c r="AI1464">
        <v>21</v>
      </c>
      <c r="AJ1464" t="s">
        <v>76</v>
      </c>
      <c r="AK1464">
        <v>2</v>
      </c>
      <c r="AL1464" t="s">
        <v>76</v>
      </c>
      <c r="AM1464">
        <v>2</v>
      </c>
      <c r="AN1464" t="s">
        <v>76</v>
      </c>
      <c r="AO1464">
        <v>20</v>
      </c>
      <c r="AP1464" t="s">
        <v>76</v>
      </c>
      <c r="AQ1464">
        <v>9</v>
      </c>
      <c r="AR1464">
        <v>9</v>
      </c>
      <c r="AS1464">
        <v>6</v>
      </c>
    </row>
    <row r="1465" spans="1:4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 t="str">
        <f>IF(Employee_data[[#This Row],[MonthlyIncome]]&lt;5000,"Low Income",
IF(Employee_data[[#This Row],[MonthlyIncome]]&lt;10000,"Medium Income","High Income"))</f>
        <v>Medium Income</v>
      </c>
      <c r="U1465" t="s">
        <v>92</v>
      </c>
      <c r="V1465" t="s">
        <v>92</v>
      </c>
      <c r="W1465" t="s">
        <v>92</v>
      </c>
      <c r="X1465" t="s">
        <v>92</v>
      </c>
      <c r="Y1465">
        <v>3787</v>
      </c>
      <c r="Z1465">
        <v>0</v>
      </c>
      <c r="AA1465" t="s">
        <v>42</v>
      </c>
      <c r="AB1465" t="s">
        <v>43</v>
      </c>
      <c r="AC1465">
        <v>19</v>
      </c>
      <c r="AD1465">
        <v>3</v>
      </c>
      <c r="AE1465">
        <v>2</v>
      </c>
      <c r="AF1465">
        <v>80</v>
      </c>
      <c r="AG1465">
        <v>0</v>
      </c>
      <c r="AH1465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65">
        <v>10</v>
      </c>
      <c r="AJ1465" t="s">
        <v>78</v>
      </c>
      <c r="AK1465">
        <v>2</v>
      </c>
      <c r="AL1465" t="s">
        <v>78</v>
      </c>
      <c r="AM1465">
        <v>3</v>
      </c>
      <c r="AN1465" t="s">
        <v>78</v>
      </c>
      <c r="AO1465">
        <v>9</v>
      </c>
      <c r="AP1465" t="s">
        <v>78</v>
      </c>
      <c r="AQ1465">
        <v>4</v>
      </c>
      <c r="AR1465">
        <v>1</v>
      </c>
      <c r="AS1465">
        <v>7</v>
      </c>
    </row>
    <row r="1466" spans="1:4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 t="str">
        <f>IF(Employee_data[[#This Row],[MonthlyIncome]]&lt;5000,"Low Income",
IF(Employee_data[[#This Row],[MonthlyIncome]]&lt;10000,"Medium Income","High Income"))</f>
        <v>Low Income</v>
      </c>
      <c r="U1466" t="s">
        <v>91</v>
      </c>
      <c r="V1466" t="s">
        <v>91</v>
      </c>
      <c r="W1466" t="s">
        <v>91</v>
      </c>
      <c r="X1466" t="s">
        <v>91</v>
      </c>
      <c r="Y1466">
        <v>21378</v>
      </c>
      <c r="Z1466">
        <v>0</v>
      </c>
      <c r="AA1466" t="s">
        <v>42</v>
      </c>
      <c r="AB1466" t="s">
        <v>43</v>
      </c>
      <c r="AC1466">
        <v>18</v>
      </c>
      <c r="AD1466">
        <v>3</v>
      </c>
      <c r="AE1466">
        <v>4</v>
      </c>
      <c r="AF1466">
        <v>80</v>
      </c>
      <c r="AG1466">
        <v>0</v>
      </c>
      <c r="AH1466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66">
        <v>5</v>
      </c>
      <c r="AJ1466" t="s">
        <v>74</v>
      </c>
      <c r="AK1466">
        <v>2</v>
      </c>
      <c r="AL1466" t="s">
        <v>74</v>
      </c>
      <c r="AM1466">
        <v>3</v>
      </c>
      <c r="AN1466" t="s">
        <v>74</v>
      </c>
      <c r="AO1466">
        <v>4</v>
      </c>
      <c r="AP1466" t="s">
        <v>74</v>
      </c>
      <c r="AQ1466">
        <v>2</v>
      </c>
      <c r="AR1466">
        <v>0</v>
      </c>
      <c r="AS1466">
        <v>0</v>
      </c>
    </row>
    <row r="1467" spans="1:4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 t="str">
        <f>IF(Employee_data[[#This Row],[MonthlyIncome]]&lt;5000,"Low Income",
IF(Employee_data[[#This Row],[MonthlyIncome]]&lt;10000,"Medium Income","High Income"))</f>
        <v>Low Income</v>
      </c>
      <c r="U1467" t="s">
        <v>91</v>
      </c>
      <c r="V1467" t="s">
        <v>91</v>
      </c>
      <c r="W1467" t="s">
        <v>91</v>
      </c>
      <c r="X1467" t="s">
        <v>91</v>
      </c>
      <c r="Y1467">
        <v>12290</v>
      </c>
      <c r="Z1467">
        <v>4</v>
      </c>
      <c r="AA1467" t="s">
        <v>42</v>
      </c>
      <c r="AB1467" t="s">
        <v>43</v>
      </c>
      <c r="AC1467">
        <v>17</v>
      </c>
      <c r="AD1467">
        <v>3</v>
      </c>
      <c r="AE1467">
        <v>3</v>
      </c>
      <c r="AF1467">
        <v>80</v>
      </c>
      <c r="AG1467">
        <v>1</v>
      </c>
      <c r="AH1467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67">
        <v>17</v>
      </c>
      <c r="AJ1467" t="s">
        <v>78</v>
      </c>
      <c r="AK1467">
        <v>3</v>
      </c>
      <c r="AL1467" t="s">
        <v>78</v>
      </c>
      <c r="AM1467">
        <v>3</v>
      </c>
      <c r="AN1467" t="s">
        <v>78</v>
      </c>
      <c r="AO1467">
        <v>5</v>
      </c>
      <c r="AP1467" t="s">
        <v>78</v>
      </c>
      <c r="AQ1467">
        <v>2</v>
      </c>
      <c r="AR1467">
        <v>0</v>
      </c>
      <c r="AS1467">
        <v>3</v>
      </c>
    </row>
    <row r="1468" spans="1:4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 t="str">
        <f>IF(Employee_data[[#This Row],[MonthlyIncome]]&lt;5000,"Low Income",
IF(Employee_data[[#This Row],[MonthlyIncome]]&lt;10000,"Medium Income","High Income"))</f>
        <v>Medium Income</v>
      </c>
      <c r="U1468" t="s">
        <v>92</v>
      </c>
      <c r="V1468" t="s">
        <v>92</v>
      </c>
      <c r="W1468" t="s">
        <v>92</v>
      </c>
      <c r="X1468" t="s">
        <v>92</v>
      </c>
      <c r="Y1468">
        <v>21457</v>
      </c>
      <c r="Z1468">
        <v>4</v>
      </c>
      <c r="AA1468" t="s">
        <v>42</v>
      </c>
      <c r="AB1468" t="s">
        <v>43</v>
      </c>
      <c r="AC1468">
        <v>15</v>
      </c>
      <c r="AD1468">
        <v>3</v>
      </c>
      <c r="AE1468">
        <v>1</v>
      </c>
      <c r="AF1468">
        <v>80</v>
      </c>
      <c r="AG1468">
        <v>1</v>
      </c>
      <c r="AH1468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68">
        <v>9</v>
      </c>
      <c r="AJ1468" t="s">
        <v>78</v>
      </c>
      <c r="AK1468">
        <v>5</v>
      </c>
      <c r="AL1468" t="s">
        <v>78</v>
      </c>
      <c r="AM1468">
        <v>3</v>
      </c>
      <c r="AN1468" t="s">
        <v>78</v>
      </c>
      <c r="AO1468">
        <v>7</v>
      </c>
      <c r="AP1468" t="s">
        <v>78</v>
      </c>
      <c r="AQ1468">
        <v>7</v>
      </c>
      <c r="AR1468">
        <v>1</v>
      </c>
      <c r="AS1468">
        <v>7</v>
      </c>
    </row>
    <row r="1469" spans="1:4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 t="str">
        <f>IF(Employee_data[[#This Row],[MonthlyIncome]]&lt;5000,"Low Income",
IF(Employee_data[[#This Row],[MonthlyIncome]]&lt;10000,"Medium Income","High Income"))</f>
        <v>Medium Income</v>
      </c>
      <c r="U1469" t="s">
        <v>92</v>
      </c>
      <c r="V1469" t="s">
        <v>92</v>
      </c>
      <c r="W1469" t="s">
        <v>92</v>
      </c>
      <c r="X1469" t="s">
        <v>92</v>
      </c>
      <c r="Y1469">
        <v>5174</v>
      </c>
      <c r="Z1469">
        <v>1</v>
      </c>
      <c r="AA1469" t="s">
        <v>42</v>
      </c>
      <c r="AB1469" t="s">
        <v>35</v>
      </c>
      <c r="AC1469">
        <v>20</v>
      </c>
      <c r="AD1469">
        <v>4</v>
      </c>
      <c r="AE1469">
        <v>2</v>
      </c>
      <c r="AF1469">
        <v>80</v>
      </c>
      <c r="AG1469">
        <v>1</v>
      </c>
      <c r="AH1469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69">
        <v>6</v>
      </c>
      <c r="AJ1469" t="s">
        <v>78</v>
      </c>
      <c r="AK1469">
        <v>0</v>
      </c>
      <c r="AL1469" t="s">
        <v>78</v>
      </c>
      <c r="AM1469">
        <v>3</v>
      </c>
      <c r="AN1469" t="s">
        <v>78</v>
      </c>
      <c r="AO1469">
        <v>6</v>
      </c>
      <c r="AP1469" t="s">
        <v>78</v>
      </c>
      <c r="AQ1469">
        <v>2</v>
      </c>
      <c r="AR1469">
        <v>0</v>
      </c>
      <c r="AS1469">
        <v>3</v>
      </c>
    </row>
    <row r="1470" spans="1:4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 t="str">
        <f>IF(Employee_data[[#This Row],[MonthlyIncome]]&lt;5000,"Low Income",
IF(Employee_data[[#This Row],[MonthlyIncome]]&lt;10000,"Medium Income","High Income"))</f>
        <v>Medium Income</v>
      </c>
      <c r="U1470" t="s">
        <v>92</v>
      </c>
      <c r="V1470" t="s">
        <v>92</v>
      </c>
      <c r="W1470" t="s">
        <v>92</v>
      </c>
      <c r="X1470" t="s">
        <v>92</v>
      </c>
      <c r="Y1470">
        <v>13243</v>
      </c>
      <c r="Z1470">
        <v>2</v>
      </c>
      <c r="AA1470" t="s">
        <v>42</v>
      </c>
      <c r="AB1470" t="s">
        <v>43</v>
      </c>
      <c r="AC1470">
        <v>14</v>
      </c>
      <c r="AD1470">
        <v>3</v>
      </c>
      <c r="AE1470">
        <v>4</v>
      </c>
      <c r="AF1470">
        <v>80</v>
      </c>
      <c r="AG1470">
        <v>0</v>
      </c>
      <c r="AH1470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5-9 Years</v>
      </c>
      <c r="AI1470">
        <v>17</v>
      </c>
      <c r="AJ1470" t="s">
        <v>78</v>
      </c>
      <c r="AK1470">
        <v>3</v>
      </c>
      <c r="AL1470" t="s">
        <v>78</v>
      </c>
      <c r="AM1470">
        <v>2</v>
      </c>
      <c r="AN1470" t="s">
        <v>78</v>
      </c>
      <c r="AO1470">
        <v>9</v>
      </c>
      <c r="AP1470" t="s">
        <v>78</v>
      </c>
      <c r="AQ1470">
        <v>6</v>
      </c>
      <c r="AR1470">
        <v>0</v>
      </c>
      <c r="AS1470">
        <v>8</v>
      </c>
    </row>
    <row r="1471" spans="1:4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 t="str">
        <f>IF(Employee_data[[#This Row],[MonthlyIncome]]&lt;5000,"Low Income",
IF(Employee_data[[#This Row],[MonthlyIncome]]&lt;10000,"Medium Income","High Income"))</f>
        <v>Low Income</v>
      </c>
      <c r="U1471" t="s">
        <v>91</v>
      </c>
      <c r="V1471" t="s">
        <v>91</v>
      </c>
      <c r="W1471" t="s">
        <v>91</v>
      </c>
      <c r="X1471" t="s">
        <v>91</v>
      </c>
      <c r="Y1471">
        <v>10228</v>
      </c>
      <c r="Z1471">
        <v>2</v>
      </c>
      <c r="AA1471" t="s">
        <v>42</v>
      </c>
      <c r="AB1471" t="s">
        <v>43</v>
      </c>
      <c r="AC1471">
        <v>12</v>
      </c>
      <c r="AD1471">
        <v>3</v>
      </c>
      <c r="AE1471">
        <v>1</v>
      </c>
      <c r="AF1471">
        <v>80</v>
      </c>
      <c r="AG1471">
        <v>0</v>
      </c>
      <c r="AH1471" t="str">
        <f>IF(Employee_data[[#This Row],[YearsAtCompany]]&lt;=4,"0-4 Years",
IF(Employee_data[[#This Row],[YearsAtCompany]]&lt;=9,"5-9 Years",
IF(Employee_data[[#This Row],[YearsAtCompany]]&lt;=14,"10-14 Years",
IF(Employee_data[[#This Row],[YearsAtCompany]]&lt;=24,"15-24 Years","25+ Years"))))</f>
        <v>0-4 Years</v>
      </c>
      <c r="AI1471">
        <v>6</v>
      </c>
      <c r="AJ1471" t="s">
        <v>74</v>
      </c>
      <c r="AK1471">
        <v>3</v>
      </c>
      <c r="AL1471" t="s">
        <v>74</v>
      </c>
      <c r="AM1471">
        <v>4</v>
      </c>
      <c r="AN1471" t="s">
        <v>74</v>
      </c>
      <c r="AO1471">
        <v>4</v>
      </c>
      <c r="AP1471" t="s">
        <v>74</v>
      </c>
      <c r="AQ1471">
        <v>3</v>
      </c>
      <c r="AR1471">
        <v>1</v>
      </c>
      <c r="AS1471">
        <v>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0BC3-3EA9-46FD-876A-C45591AE632E}">
  <dimension ref="A2:AC35"/>
  <sheetViews>
    <sheetView topLeftCell="A3" workbookViewId="0">
      <selection activeCell="F16" sqref="F16"/>
    </sheetView>
  </sheetViews>
  <sheetFormatPr defaultRowHeight="14.4" x14ac:dyDescent="0.3"/>
  <cols>
    <col min="1" max="1" width="23.44140625" bestFit="1" customWidth="1"/>
    <col min="2" max="2" width="15.5546875" bestFit="1" customWidth="1"/>
    <col min="3" max="3" width="3.88671875" customWidth="1"/>
    <col min="4" max="4" width="10.5546875" bestFit="1" customWidth="1"/>
    <col min="5" max="5" width="14.109375" customWidth="1"/>
    <col min="6" max="7" width="23.44140625" bestFit="1" customWidth="1"/>
    <col min="8" max="8" width="15.5546875" bestFit="1" customWidth="1"/>
    <col min="9" max="9" width="7.21875" customWidth="1"/>
    <col min="10" max="11" width="16.33203125" customWidth="1"/>
    <col min="12" max="12" width="23.44140625" bestFit="1" customWidth="1"/>
    <col min="13" max="13" width="15.5546875" bestFit="1" customWidth="1"/>
    <col min="14" max="14" width="4" bestFit="1" customWidth="1"/>
    <col min="15" max="15" width="23.44140625" bestFit="1" customWidth="1"/>
    <col min="16" max="16" width="15.5546875" bestFit="1" customWidth="1"/>
    <col min="17" max="17" width="4" bestFit="1" customWidth="1"/>
    <col min="18" max="18" width="3.88671875" bestFit="1" customWidth="1"/>
    <col min="19" max="19" width="23.44140625" bestFit="1" customWidth="1"/>
    <col min="20" max="20" width="15.5546875" bestFit="1" customWidth="1"/>
    <col min="21" max="21" width="4" bestFit="1" customWidth="1"/>
    <col min="23" max="23" width="12.5546875" customWidth="1"/>
  </cols>
  <sheetData>
    <row r="2" spans="1:29" x14ac:dyDescent="0.3">
      <c r="A2" t="s">
        <v>62</v>
      </c>
      <c r="C2" t="s">
        <v>63</v>
      </c>
      <c r="E2" t="s">
        <v>64</v>
      </c>
      <c r="G2" t="s">
        <v>65</v>
      </c>
      <c r="I2" t="s">
        <v>66</v>
      </c>
      <c r="M2" t="s">
        <v>67</v>
      </c>
    </row>
    <row r="3" spans="1:29" x14ac:dyDescent="0.3">
      <c r="A3">
        <f>COUNTA(Employee_data[EmployeeNumber])</f>
        <v>1470</v>
      </c>
      <c r="C3">
        <f>COUNTIF(Employee_data[Attrition],"Yes")</f>
        <v>237</v>
      </c>
      <c r="E3" s="1">
        <f>C3/A3</f>
        <v>0.16122448979591836</v>
      </c>
      <c r="G3" s="14">
        <f>AVERAGE(Employee_data[MonthlyIncome])</f>
        <v>6502.931292517007</v>
      </c>
      <c r="I3" s="13" t="str">
        <f>TEXT(AVERAGE(Employee_data[YearsAtCompany]),"0")&amp;" Years"</f>
        <v>7 Years</v>
      </c>
      <c r="M3" s="5" t="str">
        <f>TEXT(AVERAGE(Employee_data[JobSatisfaction]),"0.00")&amp;" / 4"</f>
        <v>2.73 / 4</v>
      </c>
    </row>
    <row r="6" spans="1:29" x14ac:dyDescent="0.3">
      <c r="B6" t="s">
        <v>72</v>
      </c>
    </row>
    <row r="7" spans="1:29" ht="18" customHeight="1" x14ac:dyDescent="0.3">
      <c r="B7" t="s">
        <v>87</v>
      </c>
      <c r="F7" s="2" t="s">
        <v>69</v>
      </c>
      <c r="G7" s="2" t="s">
        <v>70</v>
      </c>
      <c r="L7" s="2" t="s">
        <v>69</v>
      </c>
      <c r="M7" s="2" t="s">
        <v>70</v>
      </c>
      <c r="P7" s="2" t="s">
        <v>69</v>
      </c>
      <c r="Q7" s="2" t="s">
        <v>70</v>
      </c>
      <c r="S7" s="7"/>
      <c r="T7" s="7" t="s">
        <v>4</v>
      </c>
      <c r="U7" s="9" t="s">
        <v>80</v>
      </c>
      <c r="V7" s="9" t="s">
        <v>81</v>
      </c>
      <c r="W7" s="9" t="s">
        <v>82</v>
      </c>
      <c r="X7" s="9" t="s">
        <v>64</v>
      </c>
      <c r="Y7" s="7"/>
      <c r="Z7" s="9"/>
      <c r="AA7" s="9"/>
      <c r="AB7" s="9"/>
      <c r="AC7" s="9"/>
    </row>
    <row r="8" spans="1:29" x14ac:dyDescent="0.3">
      <c r="F8" s="2" t="s">
        <v>68</v>
      </c>
      <c r="G8" t="s">
        <v>43</v>
      </c>
      <c r="H8" t="s">
        <v>35</v>
      </c>
      <c r="L8" s="2" t="s">
        <v>68</v>
      </c>
      <c r="M8" t="s">
        <v>43</v>
      </c>
      <c r="N8" t="s">
        <v>35</v>
      </c>
      <c r="P8" s="2" t="s">
        <v>68</v>
      </c>
      <c r="Q8" t="s">
        <v>43</v>
      </c>
      <c r="R8" t="s">
        <v>35</v>
      </c>
      <c r="S8" s="10"/>
      <c r="T8" s="10" t="s">
        <v>37</v>
      </c>
      <c r="U8" s="8">
        <v>354</v>
      </c>
      <c r="V8" s="8">
        <v>92</v>
      </c>
      <c r="W8" s="8">
        <v>446</v>
      </c>
      <c r="X8" s="11">
        <f>V8/W8</f>
        <v>0.20627802690582961</v>
      </c>
      <c r="Y8" s="10"/>
      <c r="Z8" s="8"/>
      <c r="AA8" s="8"/>
      <c r="AB8" s="8"/>
      <c r="AC8" s="11"/>
    </row>
    <row r="9" spans="1:29" ht="25.8" customHeight="1" x14ac:dyDescent="0.3">
      <c r="D9" s="1"/>
      <c r="F9" s="3">
        <v>1</v>
      </c>
      <c r="G9">
        <v>223</v>
      </c>
      <c r="H9">
        <v>66</v>
      </c>
      <c r="L9" s="3" t="s">
        <v>74</v>
      </c>
      <c r="M9">
        <v>439</v>
      </c>
      <c r="N9">
        <v>141</v>
      </c>
      <c r="P9" s="3" t="s">
        <v>61</v>
      </c>
      <c r="Q9">
        <v>51</v>
      </c>
      <c r="R9">
        <v>12</v>
      </c>
      <c r="S9" s="10"/>
      <c r="T9" s="10" t="s">
        <v>61</v>
      </c>
      <c r="U9" s="8">
        <v>51</v>
      </c>
      <c r="V9" s="8">
        <v>12</v>
      </c>
      <c r="W9" s="8">
        <v>63</v>
      </c>
      <c r="X9" s="11">
        <f>V9/W9</f>
        <v>0.19047619047619047</v>
      </c>
      <c r="Y9" s="10"/>
      <c r="Z9" s="8"/>
      <c r="AA9" s="8"/>
      <c r="AB9" s="8"/>
      <c r="AC9" s="11"/>
    </row>
    <row r="10" spans="1:29" ht="26.4" customHeight="1" x14ac:dyDescent="0.3">
      <c r="D10" s="5"/>
      <c r="F10" s="3">
        <v>2</v>
      </c>
      <c r="G10">
        <v>234</v>
      </c>
      <c r="H10">
        <v>46</v>
      </c>
      <c r="L10" s="3" t="s">
        <v>75</v>
      </c>
      <c r="M10">
        <v>184</v>
      </c>
      <c r="N10">
        <v>24</v>
      </c>
      <c r="S10" s="10"/>
      <c r="T10" s="10" t="s">
        <v>45</v>
      </c>
      <c r="U10" s="8">
        <v>828</v>
      </c>
      <c r="V10" s="8">
        <v>133</v>
      </c>
      <c r="W10" s="8">
        <v>961</v>
      </c>
      <c r="X10" s="11">
        <f>V10/W10</f>
        <v>0.13839750260145681</v>
      </c>
      <c r="Y10" s="10"/>
      <c r="Z10" s="8"/>
      <c r="AA10" s="8"/>
      <c r="AB10" s="8"/>
      <c r="AC10" s="11"/>
    </row>
    <row r="11" spans="1:29" x14ac:dyDescent="0.3">
      <c r="F11" s="3">
        <v>3</v>
      </c>
      <c r="G11">
        <v>369</v>
      </c>
      <c r="H11">
        <v>73</v>
      </c>
      <c r="L11" s="3" t="s">
        <v>76</v>
      </c>
      <c r="M11">
        <v>119</v>
      </c>
      <c r="N11">
        <v>10</v>
      </c>
    </row>
    <row r="12" spans="1:29" x14ac:dyDescent="0.3">
      <c r="A12" s="2" t="s">
        <v>69</v>
      </c>
      <c r="B12" s="2" t="s">
        <v>70</v>
      </c>
      <c r="F12" s="3">
        <v>4</v>
      </c>
      <c r="G12">
        <v>407</v>
      </c>
      <c r="H12">
        <v>52</v>
      </c>
      <c r="L12" s="3" t="s">
        <v>77</v>
      </c>
      <c r="M12">
        <v>25</v>
      </c>
      <c r="N12">
        <v>4</v>
      </c>
    </row>
    <row r="13" spans="1:29" x14ac:dyDescent="0.3">
      <c r="A13" s="2" t="s">
        <v>68</v>
      </c>
      <c r="B13" t="s">
        <v>43</v>
      </c>
      <c r="C13" t="s">
        <v>35</v>
      </c>
      <c r="L13" s="3" t="s">
        <v>78</v>
      </c>
      <c r="M13">
        <v>466</v>
      </c>
      <c r="N13">
        <v>58</v>
      </c>
    </row>
    <row r="14" spans="1:29" x14ac:dyDescent="0.3">
      <c r="A14" s="3" t="s">
        <v>54</v>
      </c>
      <c r="B14">
        <v>122</v>
      </c>
      <c r="C14">
        <v>9</v>
      </c>
      <c r="F14" s="4" t="s">
        <v>71</v>
      </c>
      <c r="G14" s="4" t="s">
        <v>43</v>
      </c>
      <c r="H14" s="4" t="s">
        <v>35</v>
      </c>
      <c r="I14" s="6" t="s">
        <v>72</v>
      </c>
      <c r="J14" s="6" t="s">
        <v>97</v>
      </c>
      <c r="K14" s="6"/>
      <c r="S14" s="2" t="s">
        <v>69</v>
      </c>
      <c r="T14" s="2" t="s">
        <v>70</v>
      </c>
    </row>
    <row r="15" spans="1:29" x14ac:dyDescent="0.3">
      <c r="A15" s="3" t="s">
        <v>61</v>
      </c>
      <c r="B15">
        <v>40</v>
      </c>
      <c r="C15">
        <v>12</v>
      </c>
      <c r="F15" s="3">
        <v>1</v>
      </c>
      <c r="G15">
        <v>223</v>
      </c>
      <c r="H15">
        <v>66</v>
      </c>
      <c r="I15" s="1">
        <f>H15/J15</f>
        <v>0.22837370242214533</v>
      </c>
      <c r="J15">
        <f>SUM(G15+H15)</f>
        <v>289</v>
      </c>
      <c r="L15" s="7" t="s">
        <v>79</v>
      </c>
      <c r="M15" s="9" t="s">
        <v>80</v>
      </c>
      <c r="N15" s="9" t="s">
        <v>81</v>
      </c>
      <c r="O15" s="9" t="s">
        <v>82</v>
      </c>
      <c r="P15" s="9" t="s">
        <v>64</v>
      </c>
      <c r="S15" s="2" t="s">
        <v>68</v>
      </c>
      <c r="T15" t="s">
        <v>43</v>
      </c>
      <c r="U15" t="s">
        <v>35</v>
      </c>
    </row>
    <row r="16" spans="1:29" x14ac:dyDescent="0.3">
      <c r="A16" s="3" t="s">
        <v>50</v>
      </c>
      <c r="B16">
        <v>197</v>
      </c>
      <c r="C16">
        <v>62</v>
      </c>
      <c r="F16" s="3">
        <v>2</v>
      </c>
      <c r="G16">
        <v>234</v>
      </c>
      <c r="H16">
        <v>46</v>
      </c>
      <c r="I16" s="1">
        <f>H16/J16</f>
        <v>0.16428571428571428</v>
      </c>
      <c r="J16">
        <f>SUM(G16+H16)</f>
        <v>280</v>
      </c>
      <c r="L16" s="10" t="s">
        <v>83</v>
      </c>
      <c r="M16" s="8">
        <v>439</v>
      </c>
      <c r="N16" s="8">
        <v>141</v>
      </c>
      <c r="O16" s="8">
        <v>580</v>
      </c>
      <c r="P16" s="11">
        <f>N16/O16</f>
        <v>0.24310344827586206</v>
      </c>
      <c r="S16" s="3" t="s">
        <v>43</v>
      </c>
      <c r="T16">
        <v>944</v>
      </c>
      <c r="U16">
        <v>110</v>
      </c>
    </row>
    <row r="17" spans="1:22" x14ac:dyDescent="0.3">
      <c r="A17" s="3" t="s">
        <v>56</v>
      </c>
      <c r="B17">
        <v>97</v>
      </c>
      <c r="C17">
        <v>5</v>
      </c>
      <c r="F17" s="3">
        <v>3</v>
      </c>
      <c r="G17">
        <v>369</v>
      </c>
      <c r="H17">
        <v>73</v>
      </c>
      <c r="I17" s="1">
        <f>H17/J17</f>
        <v>0.16515837104072398</v>
      </c>
      <c r="J17">
        <f>SUM(G17+H17)</f>
        <v>442</v>
      </c>
      <c r="L17" s="10" t="s">
        <v>77</v>
      </c>
      <c r="M17" s="8">
        <v>25</v>
      </c>
      <c r="N17" s="8">
        <v>4</v>
      </c>
      <c r="O17" s="8">
        <v>29</v>
      </c>
      <c r="P17" s="11">
        <f>N17/O17</f>
        <v>0.13793103448275862</v>
      </c>
      <c r="S17" s="3" t="s">
        <v>35</v>
      </c>
      <c r="T17">
        <v>289</v>
      </c>
      <c r="U17">
        <v>127</v>
      </c>
    </row>
    <row r="18" spans="1:22" x14ac:dyDescent="0.3">
      <c r="A18" s="3" t="s">
        <v>53</v>
      </c>
      <c r="B18">
        <v>135</v>
      </c>
      <c r="C18">
        <v>10</v>
      </c>
      <c r="F18" s="3">
        <v>4</v>
      </c>
      <c r="G18">
        <v>407</v>
      </c>
      <c r="H18">
        <v>52</v>
      </c>
      <c r="I18" s="1">
        <f>H18/J18</f>
        <v>0.11328976034858387</v>
      </c>
      <c r="J18">
        <f>SUM(G18+H18)</f>
        <v>459</v>
      </c>
      <c r="L18" s="10" t="s">
        <v>85</v>
      </c>
      <c r="M18" s="8">
        <v>184</v>
      </c>
      <c r="N18" s="8">
        <v>24</v>
      </c>
      <c r="O18" s="8">
        <v>208</v>
      </c>
      <c r="P18" s="11">
        <f>N18/O18</f>
        <v>0.11538461538461539</v>
      </c>
    </row>
    <row r="19" spans="1:22" ht="18" customHeight="1" x14ac:dyDescent="0.3">
      <c r="A19" s="3" t="s">
        <v>58</v>
      </c>
      <c r="B19">
        <v>78</v>
      </c>
      <c r="C19">
        <v>2</v>
      </c>
      <c r="L19" s="10" t="s">
        <v>84</v>
      </c>
      <c r="M19" s="8">
        <v>466</v>
      </c>
      <c r="N19" s="8">
        <v>58</v>
      </c>
      <c r="O19" s="8">
        <v>524</v>
      </c>
      <c r="P19" s="11">
        <f>N19/O19</f>
        <v>0.11068702290076336</v>
      </c>
      <c r="S19" s="7" t="s">
        <v>22</v>
      </c>
      <c r="T19" s="9" t="s">
        <v>62</v>
      </c>
      <c r="U19" s="9" t="s">
        <v>98</v>
      </c>
      <c r="V19" s="9" t="s">
        <v>64</v>
      </c>
    </row>
    <row r="20" spans="1:22" x14ac:dyDescent="0.3">
      <c r="A20" s="3" t="s">
        <v>47</v>
      </c>
      <c r="B20">
        <v>245</v>
      </c>
      <c r="C20">
        <v>47</v>
      </c>
      <c r="L20" s="10" t="s">
        <v>86</v>
      </c>
      <c r="M20" s="8">
        <v>119</v>
      </c>
      <c r="N20" s="8">
        <v>10</v>
      </c>
      <c r="O20" s="8">
        <v>129</v>
      </c>
      <c r="P20" s="11">
        <f>N20/O20</f>
        <v>7.7519379844961239E-2</v>
      </c>
      <c r="S20" s="10" t="s">
        <v>43</v>
      </c>
      <c r="T20" s="8">
        <v>1054</v>
      </c>
      <c r="U20" s="8">
        <v>110</v>
      </c>
      <c r="V20" s="11">
        <f>U20/T20</f>
        <v>0.10436432637571158</v>
      </c>
    </row>
    <row r="21" spans="1:22" x14ac:dyDescent="0.3">
      <c r="A21" s="3" t="s">
        <v>40</v>
      </c>
      <c r="B21">
        <v>269</v>
      </c>
      <c r="C21">
        <v>57</v>
      </c>
      <c r="F21" t="s">
        <v>72</v>
      </c>
      <c r="S21" s="10" t="s">
        <v>35</v>
      </c>
      <c r="T21" s="8">
        <v>416</v>
      </c>
      <c r="U21" s="8">
        <v>127</v>
      </c>
      <c r="V21" s="11">
        <f>U21/T21</f>
        <v>0.30528846153846156</v>
      </c>
    </row>
    <row r="22" spans="1:22" x14ac:dyDescent="0.3">
      <c r="A22" s="3" t="s">
        <v>57</v>
      </c>
      <c r="B22">
        <v>50</v>
      </c>
      <c r="C22">
        <v>33</v>
      </c>
      <c r="F22" t="s">
        <v>87</v>
      </c>
    </row>
    <row r="24" spans="1:22" x14ac:dyDescent="0.3">
      <c r="A24" s="7" t="s">
        <v>88</v>
      </c>
      <c r="B24" s="9" t="s">
        <v>80</v>
      </c>
      <c r="C24" s="9" t="s">
        <v>81</v>
      </c>
      <c r="D24" s="9" t="s">
        <v>82</v>
      </c>
      <c r="E24" s="9" t="s">
        <v>64</v>
      </c>
      <c r="G24" s="2" t="s">
        <v>69</v>
      </c>
      <c r="H24" s="2" t="s">
        <v>70</v>
      </c>
      <c r="O24" s="2" t="s">
        <v>69</v>
      </c>
      <c r="P24" s="2" t="s">
        <v>70</v>
      </c>
    </row>
    <row r="25" spans="1:22" x14ac:dyDescent="0.3">
      <c r="A25" s="10" t="s">
        <v>58</v>
      </c>
      <c r="B25" s="8">
        <v>78</v>
      </c>
      <c r="C25" s="8">
        <v>2</v>
      </c>
      <c r="D25" s="8">
        <v>80</v>
      </c>
      <c r="E25" s="11">
        <f t="shared" ref="E25:E33" si="0">C25/D25</f>
        <v>2.5000000000000001E-2</v>
      </c>
      <c r="G25" s="2" t="s">
        <v>68</v>
      </c>
      <c r="H25" t="s">
        <v>43</v>
      </c>
      <c r="I25" t="s">
        <v>35</v>
      </c>
      <c r="O25" s="2" t="s">
        <v>68</v>
      </c>
      <c r="P25" t="s">
        <v>43</v>
      </c>
      <c r="Q25" t="s">
        <v>35</v>
      </c>
    </row>
    <row r="26" spans="1:22" x14ac:dyDescent="0.3">
      <c r="A26" s="10" t="s">
        <v>56</v>
      </c>
      <c r="B26" s="8">
        <v>97</v>
      </c>
      <c r="C26" s="8">
        <v>5</v>
      </c>
      <c r="D26" s="8">
        <v>102</v>
      </c>
      <c r="E26" s="11">
        <f t="shared" si="0"/>
        <v>4.9019607843137254E-2</v>
      </c>
      <c r="G26" s="3" t="s">
        <v>90</v>
      </c>
      <c r="H26">
        <v>256</v>
      </c>
      <c r="I26">
        <v>25</v>
      </c>
      <c r="O26" s="3">
        <v>1</v>
      </c>
      <c r="P26">
        <v>55</v>
      </c>
      <c r="Q26">
        <v>25</v>
      </c>
    </row>
    <row r="27" spans="1:22" x14ac:dyDescent="0.3">
      <c r="A27" s="10" t="s">
        <v>54</v>
      </c>
      <c r="B27" s="8">
        <v>122</v>
      </c>
      <c r="C27" s="8">
        <v>9</v>
      </c>
      <c r="D27" s="8">
        <v>131</v>
      </c>
      <c r="E27" s="11">
        <f t="shared" si="0"/>
        <v>6.8702290076335881E-2</v>
      </c>
      <c r="G27" s="3" t="s">
        <v>91</v>
      </c>
      <c r="H27">
        <v>586</v>
      </c>
      <c r="I27">
        <v>163</v>
      </c>
      <c r="O27" s="3">
        <v>2</v>
      </c>
      <c r="P27">
        <v>286</v>
      </c>
      <c r="Q27">
        <v>58</v>
      </c>
    </row>
    <row r="28" spans="1:22" x14ac:dyDescent="0.3">
      <c r="A28" s="10" t="s">
        <v>53</v>
      </c>
      <c r="B28" s="8">
        <v>135</v>
      </c>
      <c r="C28" s="8">
        <v>10</v>
      </c>
      <c r="D28" s="8">
        <v>145</v>
      </c>
      <c r="E28" s="11">
        <f t="shared" si="0"/>
        <v>6.8965517241379309E-2</v>
      </c>
      <c r="G28" s="3" t="s">
        <v>92</v>
      </c>
      <c r="H28">
        <v>391</v>
      </c>
      <c r="I28">
        <v>49</v>
      </c>
      <c r="O28" s="3">
        <v>3</v>
      </c>
      <c r="P28">
        <v>766</v>
      </c>
      <c r="Q28">
        <v>127</v>
      </c>
    </row>
    <row r="29" spans="1:22" x14ac:dyDescent="0.3">
      <c r="A29" s="10" t="s">
        <v>47</v>
      </c>
      <c r="B29" s="8">
        <v>245</v>
      </c>
      <c r="C29" s="8">
        <v>47</v>
      </c>
      <c r="D29" s="8">
        <v>292</v>
      </c>
      <c r="E29" s="11">
        <f t="shared" si="0"/>
        <v>0.16095890410958905</v>
      </c>
      <c r="G29" s="7" t="s">
        <v>93</v>
      </c>
      <c r="H29" s="9" t="s">
        <v>80</v>
      </c>
      <c r="I29" s="9" t="s">
        <v>81</v>
      </c>
      <c r="J29" s="9" t="s">
        <v>82</v>
      </c>
      <c r="K29" s="9"/>
      <c r="L29" s="9" t="s">
        <v>64</v>
      </c>
      <c r="O29" s="3">
        <v>4</v>
      </c>
      <c r="P29">
        <v>126</v>
      </c>
      <c r="Q29">
        <v>27</v>
      </c>
    </row>
    <row r="30" spans="1:22" x14ac:dyDescent="0.3">
      <c r="A30" s="10" t="s">
        <v>40</v>
      </c>
      <c r="B30" s="8">
        <v>269</v>
      </c>
      <c r="C30" s="8">
        <v>57</v>
      </c>
      <c r="D30" s="8">
        <v>326</v>
      </c>
      <c r="E30" s="11">
        <f t="shared" si="0"/>
        <v>0.17484662576687116</v>
      </c>
      <c r="G30" s="10" t="s">
        <v>91</v>
      </c>
      <c r="H30" s="8">
        <v>586</v>
      </c>
      <c r="I30" s="8">
        <v>163</v>
      </c>
      <c r="J30" s="8">
        <v>749</v>
      </c>
      <c r="K30" s="8"/>
      <c r="L30" s="11">
        <f>I30/J30</f>
        <v>0.21762349799732977</v>
      </c>
    </row>
    <row r="31" spans="1:22" ht="28.8" x14ac:dyDescent="0.3">
      <c r="A31" s="10" t="s">
        <v>61</v>
      </c>
      <c r="B31" s="8">
        <v>40</v>
      </c>
      <c r="C31" s="8">
        <v>12</v>
      </c>
      <c r="D31" s="8">
        <v>52</v>
      </c>
      <c r="E31" s="11">
        <f t="shared" si="0"/>
        <v>0.23076923076923078</v>
      </c>
      <c r="G31" s="10" t="s">
        <v>92</v>
      </c>
      <c r="H31" s="8">
        <v>391</v>
      </c>
      <c r="I31" s="8">
        <v>49</v>
      </c>
      <c r="J31" s="8">
        <v>440</v>
      </c>
      <c r="K31" s="8"/>
      <c r="L31" s="11">
        <f>I31/J31</f>
        <v>0.11136363636363636</v>
      </c>
      <c r="O31" s="9" t="s">
        <v>94</v>
      </c>
      <c r="P31" s="9" t="s">
        <v>80</v>
      </c>
      <c r="Q31" s="9" t="s">
        <v>81</v>
      </c>
      <c r="R31" s="9" t="s">
        <v>82</v>
      </c>
      <c r="S31" s="9" t="s">
        <v>64</v>
      </c>
    </row>
    <row r="32" spans="1:22" x14ac:dyDescent="0.3">
      <c r="A32" s="10" t="s">
        <v>50</v>
      </c>
      <c r="B32" s="8">
        <v>197</v>
      </c>
      <c r="C32" s="8">
        <v>62</v>
      </c>
      <c r="D32" s="8">
        <v>259</v>
      </c>
      <c r="E32" s="11">
        <f t="shared" si="0"/>
        <v>0.23938223938223938</v>
      </c>
      <c r="G32" s="10" t="s">
        <v>90</v>
      </c>
      <c r="H32" s="8">
        <v>256</v>
      </c>
      <c r="I32" s="8">
        <v>25</v>
      </c>
      <c r="J32" s="8">
        <v>281</v>
      </c>
      <c r="K32" s="8"/>
      <c r="L32" s="11">
        <f>I32/J32</f>
        <v>8.8967971530249115E-2</v>
      </c>
      <c r="O32" s="8" t="s">
        <v>95</v>
      </c>
      <c r="P32" s="8">
        <v>55</v>
      </c>
      <c r="Q32" s="8">
        <v>25</v>
      </c>
      <c r="R32" s="8">
        <v>80</v>
      </c>
      <c r="S32" s="11">
        <f>Q32/R32</f>
        <v>0.3125</v>
      </c>
    </row>
    <row r="33" spans="1:19" x14ac:dyDescent="0.3">
      <c r="A33" s="10" t="s">
        <v>57</v>
      </c>
      <c r="B33" s="8">
        <v>50</v>
      </c>
      <c r="C33" s="8">
        <v>33</v>
      </c>
      <c r="D33" s="8">
        <v>83</v>
      </c>
      <c r="E33" s="11">
        <f t="shared" si="0"/>
        <v>0.39759036144578314</v>
      </c>
      <c r="O33" s="8">
        <v>2</v>
      </c>
      <c r="P33" s="8">
        <v>286</v>
      </c>
      <c r="Q33" s="8">
        <v>58</v>
      </c>
      <c r="R33" s="8">
        <v>344</v>
      </c>
      <c r="S33" s="11">
        <f t="shared" ref="S33:S35" si="1">Q33/R33</f>
        <v>0.16860465116279069</v>
      </c>
    </row>
    <row r="34" spans="1:19" x14ac:dyDescent="0.3">
      <c r="O34" s="8">
        <v>3</v>
      </c>
      <c r="P34" s="8">
        <v>766</v>
      </c>
      <c r="Q34" s="8">
        <v>127</v>
      </c>
      <c r="R34" s="8">
        <v>893</v>
      </c>
      <c r="S34" s="11">
        <f t="shared" si="1"/>
        <v>0.14221724524076149</v>
      </c>
    </row>
    <row r="35" spans="1:19" x14ac:dyDescent="0.3">
      <c r="O35" s="8" t="s">
        <v>96</v>
      </c>
      <c r="P35" s="8">
        <v>126</v>
      </c>
      <c r="Q35" s="8">
        <v>27</v>
      </c>
      <c r="R35" s="8">
        <v>153</v>
      </c>
      <c r="S35" s="11">
        <f t="shared" si="1"/>
        <v>0.17647058823529413</v>
      </c>
    </row>
  </sheetData>
  <sortState xmlns:xlrd2="http://schemas.microsoft.com/office/spreadsheetml/2017/richdata2" ref="F15:J18">
    <sortCondition ref="F15:F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F00A-A2ED-490A-95F0-6249EE20E432}">
  <dimension ref="G11:Z22"/>
  <sheetViews>
    <sheetView showGridLines="0" tabSelected="1" workbookViewId="0">
      <selection activeCell="Z22" sqref="Z22"/>
    </sheetView>
  </sheetViews>
  <sheetFormatPr defaultRowHeight="14.4" x14ac:dyDescent="0.3"/>
  <cols>
    <col min="1" max="16384" width="8.88671875" style="12"/>
  </cols>
  <sheetData>
    <row r="11" spans="7:21" x14ac:dyDescent="0.3">
      <c r="G11" s="12" t="e" vm="1">
        <v>#VALUE!</v>
      </c>
    </row>
    <row r="16" spans="7:21" x14ac:dyDescent="0.3">
      <c r="U16" s="12" t="s">
        <v>101</v>
      </c>
    </row>
    <row r="22" spans="26:26" x14ac:dyDescent="0.3">
      <c r="Z22" s="12" t="s">
        <v>101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C75ACE-453A-4F48-AC10-F582A0E468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Tanusri</dc:creator>
  <cp:lastModifiedBy>Thanu N</cp:lastModifiedBy>
  <dcterms:created xsi:type="dcterms:W3CDTF">2026-06-29T17:02:02Z</dcterms:created>
  <dcterms:modified xsi:type="dcterms:W3CDTF">2026-06-30T13:20:12Z</dcterms:modified>
</cp:coreProperties>
</file>